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side" sheetId="1" state="visible" r:id="rId1"/>
    <sheet xmlns:r="http://schemas.openxmlformats.org/officeDocument/2006/relationships" name="Metodebeskrivelse" sheetId="2" state="visible" r:id="rId2"/>
    <sheet xmlns:r="http://schemas.openxmlformats.org/officeDocument/2006/relationships" name="Prediksjon_2027" sheetId="3" state="visible" r:id="rId3"/>
    <sheet xmlns:r="http://schemas.openxmlformats.org/officeDocument/2006/relationships" name="Pivot_Region" sheetId="4" state="visible" r:id="rId4"/>
    <sheet xmlns:r="http://schemas.openxmlformats.org/officeDocument/2006/relationships" name="Pivot_Kategori" sheetId="5" state="visible" r:id="rId5"/>
    <sheet xmlns:r="http://schemas.openxmlformats.org/officeDocument/2006/relationships" name="Per_Enhet" sheetId="6" state="visible" r:id="rId6"/>
    <sheet xmlns:r="http://schemas.openxmlformats.org/officeDocument/2006/relationships" name="Slik beregnet vi" sheetId="7" state="visible" r:id="rId7"/>
    <sheet xmlns:r="http://schemas.openxmlformats.org/officeDocument/2006/relationships" name="Tilbakemelding_Økonom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4">
    <font>
      <name val="Calibri"/>
      <family val="2"/>
      <color theme="1"/>
      <sz val="11"/>
      <scheme val="minor"/>
    </font>
    <font>
      <b val="1"/>
      <color rgb="00FFFFFF"/>
      <sz val="28"/>
    </font>
    <font>
      <b val="1"/>
      <color rgb="002E6DA4"/>
      <sz val="13"/>
    </font>
    <font>
      <b val="1"/>
      <color rgb="001B3A5C"/>
      <sz val="11"/>
    </font>
    <font>
      <sz val="11"/>
    </font>
    <font>
      <b val="1"/>
      <sz val="11"/>
    </font>
    <font>
      <b val="1"/>
      <color rgb="001B3A5C"/>
      <sz val="12"/>
    </font>
    <font>
      <i val="1"/>
      <color rgb="00666666"/>
      <sz val="10"/>
    </font>
    <font>
      <b val="1"/>
      <color rgb="00FFFFFF"/>
      <sz val="14"/>
    </font>
    <font>
      <sz val="10"/>
    </font>
    <font>
      <b val="1"/>
      <color rgb="00FFFFFF"/>
      <sz val="11"/>
    </font>
    <font>
      <b val="1"/>
      <sz val="10"/>
    </font>
    <font>
      <color rgb="00000000"/>
      <sz val="11"/>
    </font>
    <font>
      <b val="1"/>
      <color rgb="00000000"/>
      <sz val="11"/>
    </font>
    <font>
      <b val="1"/>
      <i val="1"/>
      <sz val="10"/>
    </font>
    <font>
      <b val="1"/>
      <color rgb="00FFFFFF"/>
    </font>
    <font>
      <sz val="9"/>
    </font>
    <font>
      <b val="1"/>
      <color rgb="00FFFFFF"/>
      <sz val="13"/>
    </font>
    <font>
      <name val="Calibri"/>
      <sz val="10"/>
    </font>
    <font>
      <name val="Courier New"/>
      <sz val="10"/>
    </font>
    <font>
      <i val="1"/>
      <sz val="10"/>
    </font>
    <font>
      <b val="1"/>
      <color rgb="00FFFFFF"/>
      <sz val="10"/>
    </font>
    <font>
      <b val="1"/>
    </font>
    <font>
      <i val="1"/>
      <color rgb="00888888"/>
      <sz val="9"/>
    </font>
  </fonts>
  <fills count="11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7F9FC"/>
      </patternFill>
    </fill>
    <fill>
      <patternFill patternType="solid">
        <fgColor rgb="002E6DA4"/>
      </patternFill>
    </fill>
    <fill>
      <patternFill patternType="solid">
        <fgColor rgb="0017A589"/>
      </patternFill>
    </fill>
    <fill>
      <patternFill patternType="solid">
        <fgColor rgb="00E67E22"/>
      </patternFill>
    </fill>
    <fill>
      <patternFill patternType="solid">
        <fgColor rgb="00FFFFFF"/>
      </patternFill>
    </fill>
    <fill>
      <patternFill patternType="solid">
        <fgColor rgb="00E8F8F5"/>
      </patternFill>
    </fill>
    <fill>
      <patternFill patternType="solid">
        <fgColor rgb="00D5E8F5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6" fillId="3" borderId="0" pivotButton="0" quotePrefix="0" xfId="0"/>
    <xf numFmtId="0" fontId="9" fillId="0" borderId="0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7" borderId="0" pivotButton="0" quotePrefix="0" xfId="0"/>
    <xf numFmtId="0" fontId="9" fillId="7" borderId="0" pivotButton="0" quotePrefix="0" xfId="0"/>
    <xf numFmtId="3" fontId="12" fillId="7" borderId="0" applyAlignment="1" pivotButton="0" quotePrefix="0" xfId="0">
      <alignment horizontal="right" vertical="center"/>
    </xf>
    <xf numFmtId="3" fontId="13" fillId="8" borderId="0" applyAlignment="1" pivotButton="0" quotePrefix="0" xfId="0">
      <alignment horizontal="right" vertical="center"/>
    </xf>
    <xf numFmtId="164" fontId="0" fillId="7" borderId="0" pivotButton="0" quotePrefix="0" xfId="0"/>
    <xf numFmtId="0" fontId="14" fillId="9" borderId="0" pivotButton="0" quotePrefix="0" xfId="0"/>
    <xf numFmtId="0" fontId="0" fillId="9" borderId="0" pivotButton="0" quotePrefix="0" xfId="0"/>
    <xf numFmtId="3" fontId="11" fillId="9" borderId="0" pivotButton="0" quotePrefix="0" xfId="0"/>
    <xf numFmtId="0" fontId="11" fillId="3" borderId="0" pivotButton="0" quotePrefix="0" xfId="0"/>
    <xf numFmtId="0" fontId="9" fillId="3" borderId="0" pivotButton="0" quotePrefix="0" xfId="0"/>
    <xf numFmtId="3" fontId="12" fillId="3" borderId="0" applyAlignment="1" pivotButton="0" quotePrefix="0" xfId="0">
      <alignment horizontal="right" vertical="center"/>
    </xf>
    <xf numFmtId="164" fontId="0" fillId="3" borderId="0" pivotButton="0" quotePrefix="0" xfId="0"/>
    <xf numFmtId="0" fontId="0" fillId="3" borderId="0" pivotButton="0" quotePrefix="0" xfId="0"/>
    <xf numFmtId="0" fontId="10" fillId="2" borderId="0" pivotButton="0" quotePrefix="0" xfId="0"/>
    <xf numFmtId="3" fontId="15" fillId="2" borderId="0" pivotButton="0" quotePrefix="0" xfId="0"/>
    <xf numFmtId="3" fontId="15" fillId="5" borderId="0" pivotButton="0" quotePrefix="0" xfId="0"/>
    <xf numFmtId="0" fontId="5" fillId="3" borderId="0" pivotButton="0" quotePrefix="0" xfId="0"/>
    <xf numFmtId="0" fontId="15" fillId="2" borderId="0" pivotButton="0" quotePrefix="0" xfId="0"/>
    <xf numFmtId="0" fontId="16" fillId="7" borderId="0" pivotButton="0" quotePrefix="0" xfId="0"/>
    <xf numFmtId="164" fontId="16" fillId="7" borderId="0" pivotButton="0" quotePrefix="0" xfId="0"/>
    <xf numFmtId="0" fontId="16" fillId="3" borderId="0" pivotButton="0" quotePrefix="0" xfId="0"/>
    <xf numFmtId="164" fontId="16" fillId="3" borderId="0" pivotButton="0" quotePrefix="0" xfId="0"/>
    <xf numFmtId="0" fontId="17" fillId="2" borderId="0" applyAlignment="1" pivotButton="0" quotePrefix="0" xfId="0">
      <alignment horizontal="center" vertical="center"/>
    </xf>
    <xf numFmtId="0" fontId="10" fillId="4" borderId="0" pivotButton="0" quotePrefix="0" xfId="0"/>
    <xf numFmtId="0" fontId="18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top" wrapText="1"/>
    </xf>
    <xf numFmtId="0" fontId="20" fillId="0" borderId="0" pivotButton="0" quotePrefix="0" xfId="0"/>
    <xf numFmtId="0" fontId="21" fillId="4" borderId="0" applyAlignment="1" pivotButton="0" quotePrefix="0" xfId="0">
      <alignment horizontal="center" vertical="center"/>
    </xf>
    <xf numFmtId="0" fontId="22" fillId="7" borderId="0" pivotButton="0" quotePrefix="0" xfId="0"/>
    <xf numFmtId="0" fontId="9" fillId="7" borderId="0" applyAlignment="1" pivotButton="0" quotePrefix="0" xfId="0">
      <alignment horizontal="left" vertical="center" wrapText="1"/>
    </xf>
    <xf numFmtId="0" fontId="23" fillId="10" borderId="0" applyAlignment="1" pivotButton="0" quotePrefix="0" xfId="0">
      <alignment horizontal="left" vertical="center" wrapText="1"/>
    </xf>
    <xf numFmtId="0" fontId="22" fillId="3" borderId="0" pivotButton="0" quotePrefix="0" xfId="0"/>
    <xf numFmtId="0" fontId="9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5" customWidth="1" min="3" max="3"/>
    <col width="20" customWidth="1" min="4" max="4"/>
  </cols>
  <sheetData>
    <row r="1" ht="8" customHeight="1"/>
    <row r="2">
      <c r="A2" s="1" t="n"/>
      <c r="B2" s="2" t="inlineStr">
        <is>
          <t>Lønnsutgifter
Prediksjon 2027</t>
        </is>
      </c>
      <c r="E2" s="1" t="n"/>
    </row>
    <row r="3">
      <c r="A3" s="1" t="n"/>
      <c r="E3" s="1" t="n"/>
    </row>
    <row r="4">
      <c r="A4" s="1" t="n"/>
      <c r="E4" s="1" t="n"/>
    </row>
    <row r="5">
      <c r="A5" s="1" t="n"/>
      <c r="E5" s="1" t="n"/>
    </row>
    <row r="6">
      <c r="A6" s="1" t="n"/>
      <c r="E6" s="1" t="n"/>
    </row>
    <row r="7">
      <c r="A7" s="1" t="n"/>
      <c r="E7" s="1" t="n"/>
    </row>
    <row r="8">
      <c r="B8" s="3" t="inlineStr">
        <is>
          <t>Bufetat — Barneverninstitusjoner</t>
        </is>
      </c>
    </row>
    <row r="10">
      <c r="B10" s="4" t="inlineStr">
        <is>
          <t>Datakilde</t>
        </is>
      </c>
      <c r="C10" s="5" t="inlineStr">
        <is>
          <t>Agresso / aBIRK lønnseksport 2020–2026</t>
        </is>
      </c>
    </row>
    <row r="11">
      <c r="B11" s="4" t="inlineStr">
        <is>
          <t>Grunnlag</t>
        </is>
      </c>
      <c r="C11" s="5" t="inlineStr">
        <is>
          <t>Faktiske lønnskostnader 2020–2025</t>
        </is>
      </c>
    </row>
    <row r="12">
      <c r="B12" s="4" t="inlineStr">
        <is>
          <t>Metode</t>
        </is>
      </c>
      <c r="C12" s="5" t="inlineStr">
        <is>
          <t>CAGR per enhet (kappet ±25%/år)</t>
        </is>
      </c>
    </row>
    <row r="13">
      <c r="B13" s="4" t="inlineStr">
        <is>
          <t>Prediksjon</t>
        </is>
      </c>
      <c r="C13" s="5" t="inlineStr">
        <is>
          <t>2027 (basert på 2020-2025 trend)</t>
        </is>
      </c>
    </row>
    <row r="14">
      <c r="B14" s="4" t="inlineStr">
        <is>
          <t>Delvis 2026</t>
        </is>
      </c>
      <c r="C14" s="5" t="inlineStr">
        <is>
          <t>Jan–mars 2026 (ikke brukt i prediksjon)</t>
        </is>
      </c>
    </row>
    <row r="15">
      <c r="B15" s="4" t="inlineStr">
        <is>
          <t>Utarbeidet</t>
        </is>
      </c>
      <c r="C15" s="5" t="inlineStr">
        <is>
          <t>2026-03-28</t>
        </is>
      </c>
    </row>
    <row r="17">
      <c r="B17" s="6" t="inlineStr">
        <is>
          <t>Total 2025 (faktisk)</t>
        </is>
      </c>
      <c r="C17" s="7" t="n">
        <v>4442857501</v>
      </c>
      <c r="D17" s="8" t="inlineStr">
        <is>
          <t>Alle kategorier inkl. AGA/SPK</t>
        </is>
      </c>
    </row>
    <row r="18">
      <c r="B18" s="6" t="inlineStr">
        <is>
          <t>Prediksjon 2027</t>
        </is>
      </c>
      <c r="C18" s="7" t="n">
        <v>5258458640.662005</v>
      </c>
      <c r="D18" s="8" t="inlineStr">
        <is>
          <t>CAGR 2025→2027: +8.8%</t>
        </is>
      </c>
    </row>
  </sheetData>
  <mergeCells count="2">
    <mergeCell ref="B8:D8"/>
    <mergeCell ref="B2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80" customWidth="1" min="3" max="3"/>
  </cols>
  <sheetData>
    <row r="2">
      <c r="B2" s="9" t="inlineStr">
        <is>
          <t>Metodebeskrivelse — Lønnsutgifter 2027</t>
        </is>
      </c>
    </row>
    <row r="4">
      <c r="B4" s="10" t="inlineStr">
        <is>
          <t>Datakilde</t>
        </is>
      </c>
    </row>
    <row r="5" ht="16" customHeight="1">
      <c r="B5" t="inlineStr"/>
      <c r="C5" s="11" t="inlineStr">
        <is>
          <t>Agresso-eksport: «Innkjøpsanalyse 2026 lønnsutgifter (Lønnsutgifter).csv»</t>
        </is>
      </c>
    </row>
    <row r="6" ht="16" customHeight="1">
      <c r="B6" t="inlineStr"/>
      <c r="C6" s="11" t="inlineStr">
        <is>
          <t>Pivot-format: Enhet × År (2020–2026). 2026 er delvis (Q1).</t>
        </is>
      </c>
    </row>
    <row r="7" ht="16" customHeight="1">
      <c r="B7" t="inlineStr"/>
      <c r="C7" s="11" t="inlineStr">
        <is>
          <t>Dekker: Barnevernsinstitusjoner, alle statlige regioner (Midt, Nord, Sør, Vest, Øst)</t>
        </is>
      </c>
    </row>
    <row r="9">
      <c r="B9" s="10" t="inlineStr">
        <is>
          <t>Lønnskategorier inkludert</t>
        </is>
      </c>
    </row>
    <row r="10" ht="16" customHeight="1">
      <c r="B10" t="inlineStr"/>
      <c r="C10" s="11" t="inlineStr">
        <is>
          <t>1. Faste stillinger — grunnlønnen til fast ansatte</t>
        </is>
      </c>
    </row>
    <row r="11" ht="16" customHeight="1">
      <c r="B11" t="inlineStr"/>
      <c r="C11" s="11" t="inlineStr">
        <is>
          <t>2. Lønn vikarer — timebasert vikkarbeidslønn</t>
        </is>
      </c>
    </row>
    <row r="12" ht="16" customHeight="1">
      <c r="B12" t="inlineStr"/>
      <c r="C12" s="11" t="inlineStr">
        <is>
          <t>3. Arbeidsgiveravgift (AGA) — 14,1% av lønnsgrunnlag</t>
        </is>
      </c>
    </row>
    <row r="13" ht="16" customHeight="1">
      <c r="B13" t="inlineStr"/>
      <c r="C13" s="11" t="inlineStr">
        <is>
          <t>4. Turnustillegg — helg/natt-tillegg for turnusarbeid</t>
        </is>
      </c>
    </row>
    <row r="14" ht="16" customHeight="1">
      <c r="B14" t="inlineStr"/>
      <c r="C14" s="11" t="inlineStr">
        <is>
          <t>5. Pensjonspremie SPK — statlig pensjonspremie</t>
        </is>
      </c>
    </row>
    <row r="15" ht="16" customHeight="1">
      <c r="B15" t="inlineStr"/>
      <c r="C15" s="11" t="inlineStr">
        <is>
          <t>6. Midlertidige stillinger — engasjement/prosjektstillinger</t>
        </is>
      </c>
    </row>
    <row r="16" ht="16" customHeight="1">
      <c r="B16" t="inlineStr"/>
      <c r="C16" s="11" t="inlineStr">
        <is>
          <t>7. Turnustillegg vikarer — tillegg for vikarer i turnus</t>
        </is>
      </c>
    </row>
    <row r="17" ht="16" customHeight="1">
      <c r="B17" t="inlineStr"/>
      <c r="C17" s="11" t="inlineStr">
        <is>
          <t>8. Overtid faste — overtidsbetaling faste ansatte</t>
        </is>
      </c>
    </row>
    <row r="18" ht="16" customHeight="1">
      <c r="B18" t="inlineStr"/>
      <c r="C18" s="11" t="inlineStr">
        <is>
          <t>9. Overtid midlertidige/vikarer — overtid for midlertidige</t>
        </is>
      </c>
    </row>
    <row r="19" ht="16" customHeight="1">
      <c r="B19" t="inlineStr"/>
      <c r="C19" s="11" t="inlineStr">
        <is>
          <t>10. AGA på SPK-tilskudd — arbeidsgiveravgift på pensjon</t>
        </is>
      </c>
    </row>
    <row r="21">
      <c r="B21" s="10" t="inlineStr">
        <is>
          <t>Prediksjonsmetode: Per-enhet CAGR</t>
        </is>
      </c>
    </row>
    <row r="22" ht="16" customHeight="1">
      <c r="B22" t="inlineStr"/>
      <c r="C22" s="11" t="inlineStr">
        <is>
          <t>For hver enhet beregnes vekstrate (CAGR) fra 2020 til 2025 over 5 år.</t>
        </is>
      </c>
    </row>
    <row r="23" ht="16" customHeight="1">
      <c r="B23" t="inlineStr"/>
      <c r="C23" s="11" t="inlineStr">
        <is>
          <t>Formel: CAGR = (2025-verdi / 2020-verdi)^(1/5) - 1</t>
        </is>
      </c>
    </row>
    <row r="24" ht="16" customHeight="1">
      <c r="B24" t="inlineStr"/>
      <c r="C24" s="11" t="inlineStr">
        <is>
          <t>Hvis enhet mangler 2020-data brukes 2021 som startår (CAGR over 4 år).</t>
        </is>
      </c>
    </row>
    <row r="25" ht="16" customHeight="1">
      <c r="B25" t="inlineStr"/>
      <c r="C25" s="11" t="inlineStr">
        <is>
          <t>Alle CAGR-verdier kappes til ±25% per år for å unngå ekstremverdier.</t>
        </is>
      </c>
    </row>
    <row r="26" ht="16" customHeight="1">
      <c r="B26" t="inlineStr"/>
      <c r="C26" s="11" t="inlineStr">
        <is>
          <t>Standardrate 6,5%/år brukes der begge år mangler.</t>
        </is>
      </c>
    </row>
    <row r="27" ht="16" customHeight="1">
      <c r="B27" t="inlineStr"/>
      <c r="C27" s="11" t="inlineStr">
        <is>
          <t>Prediksjon 2027 = 2025-verdi × (1 + CAGR)²</t>
        </is>
      </c>
    </row>
    <row r="29">
      <c r="B29" s="10" t="inlineStr">
        <is>
          <t>Forutsetninger og usikkerhet</t>
        </is>
      </c>
    </row>
    <row r="30" ht="16" customHeight="1">
      <c r="B30" t="inlineStr"/>
      <c r="C30" s="11" t="inlineStr">
        <is>
          <t>• Historisk vekst 2020-2025 antas å fortsette — ingen korreksjon for lønnsoppgjør</t>
        </is>
      </c>
    </row>
    <row r="31" ht="16" customHeight="1">
      <c r="B31" t="inlineStr"/>
      <c r="C31" s="11" t="inlineStr">
        <is>
          <t>• Nye enheter (åpnet etter 2022) har usikker trend — bruk med forsiktighet</t>
        </is>
      </c>
    </row>
    <row r="32" ht="16" customHeight="1">
      <c r="B32" t="inlineStr"/>
      <c r="C32" s="11" t="inlineStr">
        <is>
          <t>• Nedlagte enheter er ekskludert (null-verdier i 2025)</t>
        </is>
      </c>
    </row>
    <row r="33" ht="16" customHeight="1">
      <c r="B33" t="inlineStr"/>
      <c r="C33" s="11" t="inlineStr">
        <is>
          <t>• AGA og pensjon følger lønnen — ikke separat modellert</t>
        </is>
      </c>
    </row>
    <row r="34" ht="16" customHeight="1">
      <c r="B34" t="inlineStr"/>
      <c r="C34" s="11" t="inlineStr">
        <is>
          <t>• 2026 delårsdata er IKKE brukt i prediksjonen</t>
        </is>
      </c>
    </row>
    <row r="36">
      <c r="B36" s="10" t="inlineStr">
        <is>
          <t>Gjennomsnittlig lønnsøkning (historisk)</t>
        </is>
      </c>
    </row>
    <row r="37" ht="16" customHeight="1">
      <c r="B37" t="inlineStr"/>
      <c r="C37" s="11" t="inlineStr">
        <is>
          <t>Total 2020: 3011M kr</t>
        </is>
      </c>
    </row>
    <row r="38" ht="16" customHeight="1">
      <c r="B38" t="inlineStr"/>
      <c r="C38" s="11" t="inlineStr">
        <is>
          <t>Total 2025: 4443M kr</t>
        </is>
      </c>
    </row>
    <row r="39" ht="16" customHeight="1">
      <c r="B39" t="inlineStr"/>
      <c r="C39" s="11" t="inlineStr">
        <is>
          <t>Samlet CAGR 2020-2025: 8.1%/år</t>
        </is>
      </c>
    </row>
    <row r="40" ht="16" customHeight="1">
      <c r="B40" t="inlineStr"/>
      <c r="C40" s="11" t="inlineStr">
        <is>
          <t>Norsk lønnsoppgjør typisk: 4-6% per år. Bufetat historisk over normalen grunnet kapasitetsøkning.</t>
        </is>
      </c>
    </row>
  </sheetData>
  <mergeCells count="6">
    <mergeCell ref="B21:C21"/>
    <mergeCell ref="B2:C2"/>
    <mergeCell ref="B29:C29"/>
    <mergeCell ref="B36:C36"/>
    <mergeCell ref="B9:C9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Lønnskategori</t>
        </is>
      </c>
      <c r="B1" s="12" t="inlineStr">
        <is>
          <t>Region</t>
        </is>
      </c>
      <c r="C1" s="13" t="inlineStr">
        <is>
          <t>2020</t>
        </is>
      </c>
      <c r="D1" s="13" t="inlineStr">
        <is>
          <t>2021</t>
        </is>
      </c>
      <c r="E1" s="13" t="inlineStr">
        <is>
          <t>2022</t>
        </is>
      </c>
      <c r="F1" s="13" t="inlineStr">
        <is>
          <t>2023</t>
        </is>
      </c>
      <c r="G1" s="13" t="inlineStr">
        <is>
          <t>2024</t>
        </is>
      </c>
      <c r="H1" s="13" t="inlineStr">
        <is>
          <t>2025</t>
        </is>
      </c>
      <c r="I1" s="14" t="inlineStr">
        <is>
          <t>Prediksjon 2027</t>
        </is>
      </c>
      <c r="J1" s="15" t="inlineStr">
        <is>
          <t>CAGR 2020→25</t>
        </is>
      </c>
    </row>
    <row r="2">
      <c r="A2" s="16" t="inlineStr">
        <is>
          <t>Faste stillinger</t>
        </is>
      </c>
      <c r="B2" s="17" t="inlineStr">
        <is>
          <t>Region Midt-Norge</t>
        </is>
      </c>
      <c r="C2" s="18" t="n">
        <v>144019217</v>
      </c>
      <c r="D2" s="18" t="n">
        <v>156702463</v>
      </c>
      <c r="E2" s="18" t="n">
        <v>162228564</v>
      </c>
      <c r="F2" s="18" t="n">
        <v>178209898</v>
      </c>
      <c r="G2" s="18" t="n">
        <v>199157405</v>
      </c>
      <c r="H2" s="18" t="n">
        <v>228705689</v>
      </c>
      <c r="I2" s="19" t="n">
        <v>267704095.7841599</v>
      </c>
      <c r="J2" s="20" t="n">
        <v>0.09691077969844319</v>
      </c>
    </row>
    <row r="3">
      <c r="A3" s="17" t="inlineStr"/>
      <c r="B3" s="17" t="inlineStr">
        <is>
          <t>Region Nord</t>
        </is>
      </c>
      <c r="C3" s="18" t="n">
        <v>104030127</v>
      </c>
      <c r="D3" s="18" t="n">
        <v>110592825</v>
      </c>
      <c r="E3" s="18" t="n">
        <v>117867536</v>
      </c>
      <c r="F3" s="18" t="n">
        <v>127597464</v>
      </c>
      <c r="G3" s="18" t="n">
        <v>131419406</v>
      </c>
      <c r="H3" s="18" t="n">
        <v>152739930</v>
      </c>
      <c r="I3" s="19" t="n">
        <v>177459863.6871562</v>
      </c>
      <c r="J3" s="20" t="n">
        <v>0.0798382120491532</v>
      </c>
    </row>
    <row r="4">
      <c r="A4" s="17" t="inlineStr"/>
      <c r="B4" s="17" t="inlineStr">
        <is>
          <t>Region Sør</t>
        </is>
      </c>
      <c r="C4" s="18" t="n">
        <v>182977305</v>
      </c>
      <c r="D4" s="18" t="n">
        <v>193605852</v>
      </c>
      <c r="E4" s="18" t="n">
        <v>207447257</v>
      </c>
      <c r="F4" s="18" t="n">
        <v>229719804</v>
      </c>
      <c r="G4" s="18" t="n">
        <v>264529055</v>
      </c>
      <c r="H4" s="18" t="n">
        <v>297521739</v>
      </c>
      <c r="I4" s="19" t="n">
        <v>372293673.3474107</v>
      </c>
      <c r="J4" s="20" t="n">
        <v>0.1021083566500116</v>
      </c>
    </row>
    <row r="5">
      <c r="A5" s="17" t="inlineStr"/>
      <c r="B5" s="17" t="inlineStr">
        <is>
          <t>Region Vest</t>
        </is>
      </c>
      <c r="C5" s="18" t="n">
        <v>141267600</v>
      </c>
      <c r="D5" s="18" t="n">
        <v>151550017</v>
      </c>
      <c r="E5" s="18" t="n">
        <v>157718611</v>
      </c>
      <c r="F5" s="18" t="n">
        <v>183579062</v>
      </c>
      <c r="G5" s="18" t="n">
        <v>200363413</v>
      </c>
      <c r="H5" s="18" t="n">
        <v>234681055</v>
      </c>
      <c r="I5" s="19" t="n">
        <v>285624820.2091331</v>
      </c>
      <c r="J5" s="20" t="n">
        <v>0.1068457274664605</v>
      </c>
    </row>
    <row r="6">
      <c r="A6" s="17" t="inlineStr"/>
      <c r="B6" s="17" t="inlineStr">
        <is>
          <t>Region Øst</t>
        </is>
      </c>
      <c r="C6" s="18" t="n">
        <v>220194340</v>
      </c>
      <c r="D6" s="18" t="n">
        <v>244849297</v>
      </c>
      <c r="E6" s="18" t="n">
        <v>260611555</v>
      </c>
      <c r="F6" s="18" t="n">
        <v>283763862</v>
      </c>
      <c r="G6" s="18" t="n">
        <v>321300021</v>
      </c>
      <c r="H6" s="18" t="n">
        <v>383808272</v>
      </c>
      <c r="I6" s="19" t="n">
        <v>461668786.1345167</v>
      </c>
      <c r="J6" s="20" t="n">
        <v>0.1175362922182166</v>
      </c>
    </row>
    <row r="7">
      <c r="A7" s="21" t="inlineStr">
        <is>
          <t xml:space="preserve">  Σ Faste stillinger</t>
        </is>
      </c>
      <c r="B7" s="22" t="n"/>
      <c r="C7" s="23" t="n">
        <v>792488589</v>
      </c>
      <c r="D7" s="23" t="n">
        <v>857300454</v>
      </c>
      <c r="E7" s="23" t="n">
        <v>905873523</v>
      </c>
      <c r="F7" s="23" t="n">
        <v>1002870090</v>
      </c>
      <c r="G7" s="23" t="n">
        <v>1116769300</v>
      </c>
      <c r="H7" s="23" t="n">
        <v>1297456685</v>
      </c>
      <c r="I7" s="23" t="n">
        <v>1564751239.162377</v>
      </c>
      <c r="J7" s="22" t="n"/>
    </row>
    <row r="8">
      <c r="A8" s="24" t="inlineStr">
        <is>
          <t>Lønn vikarer</t>
        </is>
      </c>
      <c r="B8" s="25" t="inlineStr">
        <is>
          <t>Region Midt-Norge</t>
        </is>
      </c>
      <c r="C8" s="26" t="n">
        <v>29917303</v>
      </c>
      <c r="D8" s="26" t="n">
        <v>34367055</v>
      </c>
      <c r="E8" s="26" t="n">
        <v>34384730</v>
      </c>
      <c r="F8" s="26" t="n">
        <v>42355503</v>
      </c>
      <c r="G8" s="26" t="n">
        <v>39131856</v>
      </c>
      <c r="H8" s="26" t="n">
        <v>40547860</v>
      </c>
      <c r="I8" s="19" t="n">
        <v>48719965.23749638</v>
      </c>
      <c r="J8" s="27" t="n">
        <v>0.06269613160147136</v>
      </c>
    </row>
    <row r="9">
      <c r="A9" s="25" t="inlineStr"/>
      <c r="B9" s="25" t="inlineStr">
        <is>
          <t>Region Nord</t>
        </is>
      </c>
      <c r="C9" s="26" t="n">
        <v>27512001</v>
      </c>
      <c r="D9" s="26" t="n">
        <v>24693381</v>
      </c>
      <c r="E9" s="26" t="n">
        <v>24824274</v>
      </c>
      <c r="F9" s="26" t="n">
        <v>27793486</v>
      </c>
      <c r="G9" s="26" t="n">
        <v>28565242</v>
      </c>
      <c r="H9" s="26" t="n">
        <v>25813838</v>
      </c>
      <c r="I9" s="19" t="n">
        <v>27782629.86115348</v>
      </c>
      <c r="J9" s="27" t="n">
        <v>-0.01266148130402989</v>
      </c>
    </row>
    <row r="10">
      <c r="A10" s="25" t="inlineStr"/>
      <c r="B10" s="25" t="inlineStr">
        <is>
          <t>Region Sør</t>
        </is>
      </c>
      <c r="C10" s="26" t="n">
        <v>48738353</v>
      </c>
      <c r="D10" s="26" t="n">
        <v>38411285</v>
      </c>
      <c r="E10" s="26" t="n">
        <v>41539659</v>
      </c>
      <c r="F10" s="26" t="n">
        <v>49720383</v>
      </c>
      <c r="G10" s="26" t="n">
        <v>56629870</v>
      </c>
      <c r="H10" s="26" t="n">
        <v>63691320</v>
      </c>
      <c r="I10" s="19" t="n">
        <v>76977882.49771844</v>
      </c>
      <c r="J10" s="27" t="n">
        <v>0.05497430026780892</v>
      </c>
    </row>
    <row r="11">
      <c r="A11" s="25" t="inlineStr"/>
      <c r="B11" s="25" t="inlineStr">
        <is>
          <t>Region Vest</t>
        </is>
      </c>
      <c r="C11" s="26" t="n">
        <v>35946983</v>
      </c>
      <c r="D11" s="26" t="n">
        <v>34343483</v>
      </c>
      <c r="E11" s="26" t="n">
        <v>34517060</v>
      </c>
      <c r="F11" s="26" t="n">
        <v>38915735</v>
      </c>
      <c r="G11" s="26" t="n">
        <v>45872582</v>
      </c>
      <c r="H11" s="26" t="n">
        <v>41515662</v>
      </c>
      <c r="I11" s="19" t="n">
        <v>46874323.18522068</v>
      </c>
      <c r="J11" s="27" t="n">
        <v>0.02922399874791992</v>
      </c>
    </row>
    <row r="12">
      <c r="A12" s="25" t="inlineStr"/>
      <c r="B12" s="25" t="inlineStr">
        <is>
          <t>Region Øst</t>
        </is>
      </c>
      <c r="C12" s="26" t="n">
        <v>33077559</v>
      </c>
      <c r="D12" s="26" t="n">
        <v>34107183</v>
      </c>
      <c r="E12" s="26" t="n">
        <v>38417089</v>
      </c>
      <c r="F12" s="26" t="n">
        <v>47354172</v>
      </c>
      <c r="G12" s="26" t="n">
        <v>49229344</v>
      </c>
      <c r="H12" s="26" t="n">
        <v>51334239</v>
      </c>
      <c r="I12" s="19" t="n">
        <v>63474673.54612434</v>
      </c>
      <c r="J12" s="27" t="n">
        <v>0.09187955755984434</v>
      </c>
    </row>
    <row r="13">
      <c r="A13" s="21" t="inlineStr">
        <is>
          <t xml:space="preserve">  Σ Lønn vikarer</t>
        </is>
      </c>
      <c r="B13" s="22" t="n"/>
      <c r="C13" s="23" t="n">
        <v>175192199</v>
      </c>
      <c r="D13" s="23" t="n">
        <v>165922387</v>
      </c>
      <c r="E13" s="23" t="n">
        <v>173682812</v>
      </c>
      <c r="F13" s="23" t="n">
        <v>206139279</v>
      </c>
      <c r="G13" s="23" t="n">
        <v>219428894</v>
      </c>
      <c r="H13" s="23" t="n">
        <v>222902919</v>
      </c>
      <c r="I13" s="23" t="n">
        <v>263829474.3277133</v>
      </c>
      <c r="J13" s="22" t="n"/>
    </row>
    <row r="14">
      <c r="A14" s="16" t="inlineStr">
        <is>
          <t>Arbeidsgiveravgift</t>
        </is>
      </c>
      <c r="B14" s="17" t="inlineStr">
        <is>
          <t>Region Midt-Norge</t>
        </is>
      </c>
      <c r="C14" s="18" t="n">
        <v>26019583</v>
      </c>
      <c r="D14" s="18" t="n">
        <v>28299410</v>
      </c>
      <c r="E14" s="18" t="n">
        <v>29700123</v>
      </c>
      <c r="F14" s="18" t="n">
        <v>34166646</v>
      </c>
      <c r="G14" s="18" t="n">
        <v>37587895</v>
      </c>
      <c r="H14" s="18" t="n">
        <v>43813424</v>
      </c>
      <c r="I14" s="19" t="n">
        <v>51285919.08242828</v>
      </c>
      <c r="J14" s="20" t="n">
        <v>0.1098425534495979</v>
      </c>
    </row>
    <row r="15">
      <c r="A15" s="17" t="inlineStr"/>
      <c r="B15" s="17" t="inlineStr">
        <is>
          <t>Region Nord</t>
        </is>
      </c>
      <c r="C15" s="18" t="n">
        <v>8047749</v>
      </c>
      <c r="D15" s="18" t="n">
        <v>8755651</v>
      </c>
      <c r="E15" s="18" t="n">
        <v>9001725</v>
      </c>
      <c r="F15" s="18" t="n">
        <v>9997742</v>
      </c>
      <c r="G15" s="18" t="n">
        <v>10484566</v>
      </c>
      <c r="H15" s="18" t="n">
        <v>11262247</v>
      </c>
      <c r="I15" s="19" t="n">
        <v>12784680.14528257</v>
      </c>
      <c r="J15" s="20" t="n">
        <v>0.06952299151392372</v>
      </c>
    </row>
    <row r="16">
      <c r="A16" s="17" t="inlineStr"/>
      <c r="B16" s="17" t="inlineStr">
        <is>
          <t>Region Sør</t>
        </is>
      </c>
      <c r="C16" s="18" t="n">
        <v>41358050</v>
      </c>
      <c r="D16" s="18" t="n">
        <v>41441781</v>
      </c>
      <c r="E16" s="18" t="n">
        <v>43459492</v>
      </c>
      <c r="F16" s="18" t="n">
        <v>47253509</v>
      </c>
      <c r="G16" s="18" t="n">
        <v>52998933</v>
      </c>
      <c r="H16" s="18" t="n">
        <v>59843613</v>
      </c>
      <c r="I16" s="19" t="n">
        <v>72832399.90639353</v>
      </c>
      <c r="J16" s="20" t="n">
        <v>0.07669215911862381</v>
      </c>
    </row>
    <row r="17">
      <c r="A17" s="17" t="inlineStr"/>
      <c r="B17" s="17" t="inlineStr">
        <is>
          <t>Region Vest</t>
        </is>
      </c>
      <c r="C17" s="18" t="n">
        <v>30203855</v>
      </c>
      <c r="D17" s="18" t="n">
        <v>30894371</v>
      </c>
      <c r="E17" s="18" t="n">
        <v>32042841</v>
      </c>
      <c r="F17" s="18" t="n">
        <v>37747930</v>
      </c>
      <c r="G17" s="18" t="n">
        <v>41736974</v>
      </c>
      <c r="H17" s="18" t="n">
        <v>47297889</v>
      </c>
      <c r="I17" s="19" t="n">
        <v>56494306.54069807</v>
      </c>
      <c r="J17" s="20" t="n">
        <v>0.09384522728709777</v>
      </c>
    </row>
    <row r="18">
      <c r="A18" s="17" t="inlineStr"/>
      <c r="B18" s="17" t="inlineStr">
        <is>
          <t>Region Øst</t>
        </is>
      </c>
      <c r="C18" s="18" t="n">
        <v>42927858</v>
      </c>
      <c r="D18" s="18" t="n">
        <v>47411021</v>
      </c>
      <c r="E18" s="18" t="n">
        <v>51044494</v>
      </c>
      <c r="F18" s="18" t="n">
        <v>57303867</v>
      </c>
      <c r="G18" s="18" t="n">
        <v>63655921</v>
      </c>
      <c r="H18" s="18" t="n">
        <v>72144257</v>
      </c>
      <c r="I18" s="19" t="n">
        <v>86418440.31204665</v>
      </c>
      <c r="J18" s="20" t="n">
        <v>0.1094111062553837</v>
      </c>
    </row>
    <row r="19">
      <c r="A19" s="21" t="inlineStr">
        <is>
          <t xml:space="preserve">  Σ Arbeidsgiveravgift</t>
        </is>
      </c>
      <c r="B19" s="22" t="n"/>
      <c r="C19" s="23" t="n">
        <v>148557095</v>
      </c>
      <c r="D19" s="23" t="n">
        <v>156802234</v>
      </c>
      <c r="E19" s="23" t="n">
        <v>165248675</v>
      </c>
      <c r="F19" s="23" t="n">
        <v>186469694</v>
      </c>
      <c r="G19" s="23" t="n">
        <v>206464289</v>
      </c>
      <c r="H19" s="23" t="n">
        <v>234361430</v>
      </c>
      <c r="I19" s="23" t="n">
        <v>279815745.9868491</v>
      </c>
      <c r="J19" s="22" t="n"/>
    </row>
    <row r="20">
      <c r="A20" s="24" t="inlineStr">
        <is>
          <t>Turnustillegg</t>
        </is>
      </c>
      <c r="B20" s="25" t="inlineStr">
        <is>
          <t>Region Midt-Norge</t>
        </is>
      </c>
      <c r="C20" s="26" t="n">
        <v>24330752</v>
      </c>
      <c r="D20" s="26" t="n">
        <v>25465545</v>
      </c>
      <c r="E20" s="26" t="n">
        <v>25830263</v>
      </c>
      <c r="F20" s="26" t="n">
        <v>27874805</v>
      </c>
      <c r="G20" s="26" t="n">
        <v>32585103</v>
      </c>
      <c r="H20" s="26" t="n">
        <v>39720407</v>
      </c>
      <c r="I20" s="19" t="n">
        <v>46398513.76299731</v>
      </c>
      <c r="J20" s="27" t="n">
        <v>0.1029901435992757</v>
      </c>
    </row>
    <row r="21">
      <c r="A21" s="25" t="inlineStr"/>
      <c r="B21" s="25" t="inlineStr">
        <is>
          <t>Region Nord</t>
        </is>
      </c>
      <c r="C21" s="26" t="n">
        <v>16744398</v>
      </c>
      <c r="D21" s="26" t="n">
        <v>16451360</v>
      </c>
      <c r="E21" s="26" t="n">
        <v>17450205</v>
      </c>
      <c r="F21" s="26" t="n">
        <v>20214362</v>
      </c>
      <c r="G21" s="26" t="n">
        <v>21888806</v>
      </c>
      <c r="H21" s="26" t="n">
        <v>25920794</v>
      </c>
      <c r="I21" s="19" t="n">
        <v>29989218.60750257</v>
      </c>
      <c r="J21" s="27" t="n">
        <v>0.09132914213181542</v>
      </c>
    </row>
    <row r="22">
      <c r="A22" s="25" t="inlineStr"/>
      <c r="B22" s="25" t="inlineStr">
        <is>
          <t>Region Sør</t>
        </is>
      </c>
      <c r="C22" s="26" t="n">
        <v>30862240</v>
      </c>
      <c r="D22" s="26" t="n">
        <v>29934070</v>
      </c>
      <c r="E22" s="26" t="n">
        <v>32060948</v>
      </c>
      <c r="F22" s="26" t="n">
        <v>38340492</v>
      </c>
      <c r="G22" s="26" t="n">
        <v>45633962</v>
      </c>
      <c r="H22" s="26" t="n">
        <v>52862064</v>
      </c>
      <c r="I22" s="19" t="n">
        <v>65108710.92540874</v>
      </c>
      <c r="J22" s="27" t="n">
        <v>0.1136361863048383</v>
      </c>
    </row>
    <row r="23">
      <c r="A23" s="25" t="inlineStr"/>
      <c r="B23" s="25" t="inlineStr">
        <is>
          <t>Region Vest</t>
        </is>
      </c>
      <c r="C23" s="26" t="n">
        <v>27297997</v>
      </c>
      <c r="D23" s="26" t="n">
        <v>26623366</v>
      </c>
      <c r="E23" s="26" t="n">
        <v>28084776</v>
      </c>
      <c r="F23" s="26" t="n">
        <v>34144962</v>
      </c>
      <c r="G23" s="26" t="n">
        <v>39914370</v>
      </c>
      <c r="H23" s="26" t="n">
        <v>46338103</v>
      </c>
      <c r="I23" s="19" t="n">
        <v>56601581.59135063</v>
      </c>
      <c r="J23" s="27" t="n">
        <v>0.1116331612219301</v>
      </c>
    </row>
    <row r="24">
      <c r="A24" s="25" t="inlineStr"/>
      <c r="B24" s="25" t="inlineStr">
        <is>
          <t>Region Øst</t>
        </is>
      </c>
      <c r="C24" s="26" t="n">
        <v>37018193</v>
      </c>
      <c r="D24" s="26" t="n">
        <v>37484114</v>
      </c>
      <c r="E24" s="26" t="n">
        <v>39632778</v>
      </c>
      <c r="F24" s="26" t="n">
        <v>45555351</v>
      </c>
      <c r="G24" s="26" t="n">
        <v>55696514</v>
      </c>
      <c r="H24" s="26" t="n">
        <v>67714293</v>
      </c>
      <c r="I24" s="19" t="n">
        <v>80047299.16046421</v>
      </c>
      <c r="J24" s="27" t="n">
        <v>0.1283738857422028</v>
      </c>
    </row>
    <row r="25">
      <c r="A25" s="21" t="inlineStr">
        <is>
          <t xml:space="preserve">  Σ Turnustillegg</t>
        </is>
      </c>
      <c r="B25" s="22" t="n"/>
      <c r="C25" s="23" t="n">
        <v>136253580</v>
      </c>
      <c r="D25" s="23" t="n">
        <v>135958455</v>
      </c>
      <c r="E25" s="23" t="n">
        <v>143058970</v>
      </c>
      <c r="F25" s="23" t="n">
        <v>166129972</v>
      </c>
      <c r="G25" s="23" t="n">
        <v>195718755</v>
      </c>
      <c r="H25" s="23" t="n">
        <v>232555661</v>
      </c>
      <c r="I25" s="23" t="n">
        <v>278145324.0477235</v>
      </c>
      <c r="J25" s="22" t="n"/>
    </row>
    <row r="26">
      <c r="A26" s="16" t="inlineStr">
        <is>
          <t>Pensjonspremie SPK</t>
        </is>
      </c>
      <c r="B26" s="17" t="inlineStr">
        <is>
          <t>Region Midt-Norge</t>
        </is>
      </c>
      <c r="C26" s="18" t="n">
        <v>23274884</v>
      </c>
      <c r="D26" s="18" t="n">
        <v>21282124</v>
      </c>
      <c r="E26" s="18" t="n">
        <v>17035324</v>
      </c>
      <c r="F26" s="18" t="n">
        <v>21159955</v>
      </c>
      <c r="G26" s="18" t="n">
        <v>22239231</v>
      </c>
      <c r="H26" s="18" t="n">
        <v>23253033</v>
      </c>
      <c r="I26" s="19" t="n">
        <v>24903060.15897718</v>
      </c>
      <c r="J26" s="20" t="n">
        <v>-0.0001878351816073653</v>
      </c>
    </row>
    <row r="27">
      <c r="A27" s="17" t="inlineStr"/>
      <c r="B27" s="17" t="inlineStr">
        <is>
          <t>Region Nord</t>
        </is>
      </c>
      <c r="C27" s="18" t="n">
        <v>16896819</v>
      </c>
      <c r="D27" s="18" t="n">
        <v>15463558</v>
      </c>
      <c r="E27" s="18" t="n">
        <v>14083227</v>
      </c>
      <c r="F27" s="18" t="n">
        <v>15119161</v>
      </c>
      <c r="G27" s="18" t="n">
        <v>15154591</v>
      </c>
      <c r="H27" s="18" t="n">
        <v>15116093</v>
      </c>
      <c r="I27" s="19" t="n">
        <v>14986744.25215096</v>
      </c>
      <c r="J27" s="20" t="n">
        <v>-0.02202687443197082</v>
      </c>
    </row>
    <row r="28">
      <c r="A28" s="17" t="inlineStr"/>
      <c r="B28" s="17" t="inlineStr">
        <is>
          <t>Region Sør</t>
        </is>
      </c>
      <c r="C28" s="18" t="n">
        <v>31371928</v>
      </c>
      <c r="D28" s="18" t="n">
        <v>27194141</v>
      </c>
      <c r="E28" s="18" t="n">
        <v>23158382</v>
      </c>
      <c r="F28" s="18" t="n">
        <v>26026134</v>
      </c>
      <c r="G28" s="18" t="n">
        <v>29492285</v>
      </c>
      <c r="H28" s="18" t="n">
        <v>30269096</v>
      </c>
      <c r="I28" s="19" t="n">
        <v>33581275.27451101</v>
      </c>
      <c r="J28" s="20" t="n">
        <v>-0.007131692377534304</v>
      </c>
    </row>
    <row r="29">
      <c r="A29" s="17" t="inlineStr"/>
      <c r="B29" s="17" t="inlineStr">
        <is>
          <t>Region Vest</t>
        </is>
      </c>
      <c r="C29" s="18" t="n">
        <v>22737221</v>
      </c>
      <c r="D29" s="18" t="n">
        <v>20614233</v>
      </c>
      <c r="E29" s="18" t="n">
        <v>18581114</v>
      </c>
      <c r="F29" s="18" t="n">
        <v>20962785</v>
      </c>
      <c r="G29" s="18" t="n">
        <v>22673107</v>
      </c>
      <c r="H29" s="18" t="n">
        <v>24047582</v>
      </c>
      <c r="I29" s="19" t="n">
        <v>24943142.97455445</v>
      </c>
      <c r="J29" s="20" t="n">
        <v>0.0112692605951632</v>
      </c>
    </row>
    <row r="30">
      <c r="A30" s="17" t="inlineStr"/>
      <c r="B30" s="17" t="inlineStr">
        <is>
          <t>Region Øst</t>
        </is>
      </c>
      <c r="C30" s="18" t="n">
        <v>33639209</v>
      </c>
      <c r="D30" s="18" t="n">
        <v>32917892</v>
      </c>
      <c r="E30" s="18" t="n">
        <v>24047435</v>
      </c>
      <c r="F30" s="18" t="n">
        <v>32485594</v>
      </c>
      <c r="G30" s="18" t="n">
        <v>35700063</v>
      </c>
      <c r="H30" s="18" t="n">
        <v>37946379</v>
      </c>
      <c r="I30" s="19" t="n">
        <v>43183595.68341593</v>
      </c>
      <c r="J30" s="20" t="n">
        <v>0.02438901570438134</v>
      </c>
    </row>
    <row r="31">
      <c r="A31" s="21" t="inlineStr">
        <is>
          <t xml:space="preserve">  Σ Pensjonspremie SPK</t>
        </is>
      </c>
      <c r="B31" s="22" t="n"/>
      <c r="C31" s="23" t="n">
        <v>127920061</v>
      </c>
      <c r="D31" s="23" t="n">
        <v>117471948</v>
      </c>
      <c r="E31" s="23" t="n">
        <v>96905482</v>
      </c>
      <c r="F31" s="23" t="n">
        <v>115753629</v>
      </c>
      <c r="G31" s="23" t="n">
        <v>125259277</v>
      </c>
      <c r="H31" s="23" t="n">
        <v>130632183</v>
      </c>
      <c r="I31" s="23" t="n">
        <v>141597818.3436095</v>
      </c>
      <c r="J31" s="22" t="n"/>
    </row>
    <row r="32">
      <c r="A32" s="24" t="inlineStr">
        <is>
          <t>Midlertidige stillinger</t>
        </is>
      </c>
      <c r="B32" s="25" t="inlineStr">
        <is>
          <t>Region Midt-Norge</t>
        </is>
      </c>
      <c r="C32" s="26" t="n">
        <v>8250051</v>
      </c>
      <c r="D32" s="26" t="n">
        <v>3990156</v>
      </c>
      <c r="E32" s="26" t="n">
        <v>2229477</v>
      </c>
      <c r="F32" s="26" t="n">
        <v>2158643</v>
      </c>
      <c r="G32" s="26" t="n">
        <v>4417464</v>
      </c>
      <c r="H32" s="26" t="n">
        <v>9066756</v>
      </c>
      <c r="I32" s="19" t="n">
        <v>11264735.29259157</v>
      </c>
      <c r="J32" s="27" t="n">
        <v>0.01905836676696704</v>
      </c>
    </row>
    <row r="33">
      <c r="A33" s="25" t="inlineStr"/>
      <c r="B33" s="25" t="inlineStr">
        <is>
          <t>Region Nord</t>
        </is>
      </c>
      <c r="C33" s="26" t="n">
        <v>6437350</v>
      </c>
      <c r="D33" s="26" t="n">
        <v>9631114</v>
      </c>
      <c r="E33" s="26" t="n">
        <v>9128626</v>
      </c>
      <c r="F33" s="26" t="n">
        <v>13306495</v>
      </c>
      <c r="G33" s="26" t="n">
        <v>12748157</v>
      </c>
      <c r="H33" s="26" t="n">
        <v>6328902</v>
      </c>
      <c r="I33" s="19" t="n">
        <v>8826989.385315144</v>
      </c>
      <c r="J33" s="27" t="n">
        <v>-0.003392273864185391</v>
      </c>
    </row>
    <row r="34">
      <c r="A34" s="25" t="inlineStr"/>
      <c r="B34" s="25" t="inlineStr">
        <is>
          <t>Region Sør</t>
        </is>
      </c>
      <c r="C34" s="26" t="n">
        <v>20749834</v>
      </c>
      <c r="D34" s="26" t="n">
        <v>23427806</v>
      </c>
      <c r="E34" s="26" t="n">
        <v>15789123</v>
      </c>
      <c r="F34" s="26" t="n">
        <v>11631155</v>
      </c>
      <c r="G34" s="26" t="n">
        <v>8154112</v>
      </c>
      <c r="H34" s="26" t="n">
        <v>9342972</v>
      </c>
      <c r="I34" s="19" t="n">
        <v>9696258.846648445</v>
      </c>
      <c r="J34" s="27" t="n">
        <v>-0.1475005958311592</v>
      </c>
    </row>
    <row r="35">
      <c r="A35" s="25" t="inlineStr"/>
      <c r="B35" s="25" t="inlineStr">
        <is>
          <t>Region Vest</t>
        </is>
      </c>
      <c r="C35" s="26" t="n">
        <v>5621927</v>
      </c>
      <c r="D35" s="26" t="n">
        <v>4055239</v>
      </c>
      <c r="E35" s="26" t="n">
        <v>4458033</v>
      </c>
      <c r="F35" s="26" t="n">
        <v>5088527</v>
      </c>
      <c r="G35" s="26" t="n">
        <v>5466069</v>
      </c>
      <c r="H35" s="26" t="n">
        <v>10274553</v>
      </c>
      <c r="I35" s="19" t="n">
        <v>13166383.15810189</v>
      </c>
      <c r="J35" s="27" t="n">
        <v>0.1281725978148034</v>
      </c>
    </row>
    <row r="36">
      <c r="A36" s="25" t="inlineStr"/>
      <c r="B36" s="25" t="inlineStr">
        <is>
          <t>Region Øst</t>
        </is>
      </c>
      <c r="C36" s="26" t="n">
        <v>11037795</v>
      </c>
      <c r="D36" s="26" t="n">
        <v>18734701</v>
      </c>
      <c r="E36" s="26" t="n">
        <v>22109660</v>
      </c>
      <c r="F36" s="26" t="n">
        <v>22032113</v>
      </c>
      <c r="G36" s="26" t="n">
        <v>20849415</v>
      </c>
      <c r="H36" s="26" t="n">
        <v>20577513</v>
      </c>
      <c r="I36" s="19" t="n">
        <v>26319423.4812138</v>
      </c>
      <c r="J36" s="27" t="n">
        <v>0.1326666467486246</v>
      </c>
    </row>
    <row r="37">
      <c r="A37" s="21" t="inlineStr">
        <is>
          <t xml:space="preserve">  Σ Midlertidige stillinger</t>
        </is>
      </c>
      <c r="B37" s="22" t="n"/>
      <c r="C37" s="23" t="n">
        <v>52096957</v>
      </c>
      <c r="D37" s="23" t="n">
        <v>59839016</v>
      </c>
      <c r="E37" s="23" t="n">
        <v>53714919</v>
      </c>
      <c r="F37" s="23" t="n">
        <v>54216933</v>
      </c>
      <c r="G37" s="23" t="n">
        <v>51635217</v>
      </c>
      <c r="H37" s="23" t="n">
        <v>55590696</v>
      </c>
      <c r="I37" s="23" t="n">
        <v>69273790.16387084</v>
      </c>
      <c r="J37" s="22" t="n"/>
    </row>
    <row r="38">
      <c r="A38" s="16" t="inlineStr">
        <is>
          <t>Turnustillegg vikarer</t>
        </is>
      </c>
      <c r="B38" s="17" t="inlineStr">
        <is>
          <t>Region Midt-Norge</t>
        </is>
      </c>
      <c r="C38" s="18" t="n">
        <v>7261233</v>
      </c>
      <c r="D38" s="18" t="n">
        <v>8126027</v>
      </c>
      <c r="E38" s="18" t="n">
        <v>8699197</v>
      </c>
      <c r="F38" s="18" t="n">
        <v>11061880</v>
      </c>
      <c r="G38" s="18" t="n">
        <v>9592187</v>
      </c>
      <c r="H38" s="18" t="n">
        <v>10305297</v>
      </c>
      <c r="I38" s="19" t="n">
        <v>12407753.91532883</v>
      </c>
      <c r="J38" s="20" t="n">
        <v>0.07253143042920684</v>
      </c>
    </row>
    <row r="39">
      <c r="A39" s="17" t="inlineStr"/>
      <c r="B39" s="17" t="inlineStr">
        <is>
          <t>Region Nord</t>
        </is>
      </c>
      <c r="C39" s="18" t="n">
        <v>7513899</v>
      </c>
      <c r="D39" s="18" t="n">
        <v>6780462</v>
      </c>
      <c r="E39" s="18" t="n">
        <v>6529138</v>
      </c>
      <c r="F39" s="18" t="n">
        <v>7598716</v>
      </c>
      <c r="G39" s="18" t="n">
        <v>7899126</v>
      </c>
      <c r="H39" s="18" t="n">
        <v>6451819</v>
      </c>
      <c r="I39" s="19" t="n">
        <v>6630687.047723714</v>
      </c>
      <c r="J39" s="20" t="n">
        <v>-0.03001869395270673</v>
      </c>
    </row>
    <row r="40">
      <c r="A40" s="17" t="inlineStr"/>
      <c r="B40" s="17" t="inlineStr">
        <is>
          <t>Region Sør</t>
        </is>
      </c>
      <c r="C40" s="18" t="n">
        <v>12912478</v>
      </c>
      <c r="D40" s="18" t="n">
        <v>9600808</v>
      </c>
      <c r="E40" s="18" t="n">
        <v>10540311</v>
      </c>
      <c r="F40" s="18" t="n">
        <v>13070119</v>
      </c>
      <c r="G40" s="18" t="n">
        <v>14718615</v>
      </c>
      <c r="H40" s="18" t="n">
        <v>16289569</v>
      </c>
      <c r="I40" s="19" t="n">
        <v>19753093.88282197</v>
      </c>
      <c r="J40" s="20" t="n">
        <v>0.04756263599848598</v>
      </c>
    </row>
    <row r="41">
      <c r="A41" s="17" t="inlineStr"/>
      <c r="B41" s="17" t="inlineStr">
        <is>
          <t>Region Vest</t>
        </is>
      </c>
      <c r="C41" s="18" t="n">
        <v>9507786</v>
      </c>
      <c r="D41" s="18" t="n">
        <v>9040227</v>
      </c>
      <c r="E41" s="18" t="n">
        <v>9313290</v>
      </c>
      <c r="F41" s="18" t="n">
        <v>10959315</v>
      </c>
      <c r="G41" s="18" t="n">
        <v>12662147</v>
      </c>
      <c r="H41" s="18" t="n">
        <v>10725705</v>
      </c>
      <c r="I41" s="19" t="n">
        <v>12075541.51567373</v>
      </c>
      <c r="J41" s="20" t="n">
        <v>0.02439933994258126</v>
      </c>
    </row>
    <row r="42">
      <c r="A42" s="17" t="inlineStr"/>
      <c r="B42" s="17" t="inlineStr">
        <is>
          <t>Region Øst</t>
        </is>
      </c>
      <c r="C42" s="18" t="n">
        <v>8821252</v>
      </c>
      <c r="D42" s="18" t="n">
        <v>9175940</v>
      </c>
      <c r="E42" s="18" t="n">
        <v>11216839</v>
      </c>
      <c r="F42" s="18" t="n">
        <v>13782033</v>
      </c>
      <c r="G42" s="18" t="n">
        <v>13574437</v>
      </c>
      <c r="H42" s="18" t="n">
        <v>13898586</v>
      </c>
      <c r="I42" s="19" t="n">
        <v>17230748.33874431</v>
      </c>
      <c r="J42" s="20" t="n">
        <v>0.09518649042438976</v>
      </c>
    </row>
    <row r="43">
      <c r="A43" s="21" t="inlineStr">
        <is>
          <t xml:space="preserve">  Σ Turnustillegg vikarer</t>
        </is>
      </c>
      <c r="B43" s="22" t="n"/>
      <c r="C43" s="23" t="n">
        <v>46016648</v>
      </c>
      <c r="D43" s="23" t="n">
        <v>42723464</v>
      </c>
      <c r="E43" s="23" t="n">
        <v>46298775</v>
      </c>
      <c r="F43" s="23" t="n">
        <v>56472063</v>
      </c>
      <c r="G43" s="23" t="n">
        <v>58446512</v>
      </c>
      <c r="H43" s="23" t="n">
        <v>57670976</v>
      </c>
      <c r="I43" s="23" t="n">
        <v>68097824.70029256</v>
      </c>
      <c r="J43" s="22" t="n"/>
    </row>
    <row r="44">
      <c r="A44" s="24" t="inlineStr">
        <is>
          <t>Overtid faste</t>
        </is>
      </c>
      <c r="B44" s="25" t="inlineStr">
        <is>
          <t>Region Midt-Norge</t>
        </is>
      </c>
      <c r="C44" s="26" t="n">
        <v>4749053</v>
      </c>
      <c r="D44" s="26" t="n">
        <v>7469962</v>
      </c>
      <c r="E44" s="26" t="n">
        <v>7922906</v>
      </c>
      <c r="F44" s="26" t="n">
        <v>8682996</v>
      </c>
      <c r="G44" s="26" t="n">
        <v>8098401</v>
      </c>
      <c r="H44" s="26" t="n">
        <v>6566412</v>
      </c>
      <c r="I44" s="19" t="n">
        <v>7651468.698831981</v>
      </c>
      <c r="J44" s="27" t="n">
        <v>0.06695037994554176</v>
      </c>
    </row>
    <row r="45">
      <c r="A45" s="25" t="inlineStr"/>
      <c r="B45" s="25" t="inlineStr">
        <is>
          <t>Region Nord</t>
        </is>
      </c>
      <c r="C45" s="26" t="n">
        <v>5219481</v>
      </c>
      <c r="D45" s="26" t="n">
        <v>6251425</v>
      </c>
      <c r="E45" s="26" t="n">
        <v>6384940</v>
      </c>
      <c r="F45" s="26" t="n">
        <v>7569349</v>
      </c>
      <c r="G45" s="26" t="n">
        <v>8855927</v>
      </c>
      <c r="H45" s="26" t="n">
        <v>8079824</v>
      </c>
      <c r="I45" s="19" t="n">
        <v>9086279.778826352</v>
      </c>
      <c r="J45" s="27" t="n">
        <v>0.09132704007942039</v>
      </c>
    </row>
    <row r="46">
      <c r="A46" s="25" t="inlineStr"/>
      <c r="B46" s="25" t="inlineStr">
        <is>
          <t>Region Sør</t>
        </is>
      </c>
      <c r="C46" s="26" t="n">
        <v>9324585</v>
      </c>
      <c r="D46" s="26" t="n">
        <v>10403918</v>
      </c>
      <c r="E46" s="26" t="n">
        <v>15846112</v>
      </c>
      <c r="F46" s="26" t="n">
        <v>13209093</v>
      </c>
      <c r="G46" s="26" t="n">
        <v>14439588</v>
      </c>
      <c r="H46" s="26" t="n">
        <v>14613240</v>
      </c>
      <c r="I46" s="19" t="n">
        <v>17820591.6181344</v>
      </c>
      <c r="J46" s="27" t="n">
        <v>0.09401531316932088</v>
      </c>
    </row>
    <row r="47">
      <c r="A47" s="25" t="inlineStr"/>
      <c r="B47" s="25" t="inlineStr">
        <is>
          <t>Region Vest</t>
        </is>
      </c>
      <c r="C47" s="26" t="n">
        <v>9419318</v>
      </c>
      <c r="D47" s="26" t="n">
        <v>10494351</v>
      </c>
      <c r="E47" s="26" t="n">
        <v>11018197</v>
      </c>
      <c r="F47" s="26" t="n">
        <v>13052932</v>
      </c>
      <c r="G47" s="26" t="n">
        <v>14221746</v>
      </c>
      <c r="H47" s="26" t="n">
        <v>13845648</v>
      </c>
      <c r="I47" s="19" t="n">
        <v>16973064.91634654</v>
      </c>
      <c r="J47" s="27" t="n">
        <v>0.08008706596633752</v>
      </c>
    </row>
    <row r="48">
      <c r="A48" s="25" t="inlineStr"/>
      <c r="B48" s="25" t="inlineStr">
        <is>
          <t>Region Øst</t>
        </is>
      </c>
      <c r="C48" s="26" t="n">
        <v>5621006</v>
      </c>
      <c r="D48" s="26" t="n">
        <v>8914373</v>
      </c>
      <c r="E48" s="26" t="n">
        <v>9760805</v>
      </c>
      <c r="F48" s="26" t="n">
        <v>13078521</v>
      </c>
      <c r="G48" s="26" t="n">
        <v>14996791</v>
      </c>
      <c r="H48" s="26" t="n">
        <v>13386141</v>
      </c>
      <c r="I48" s="19" t="n">
        <v>16275654.61239729</v>
      </c>
      <c r="J48" s="27" t="n">
        <v>0.1895104706832589</v>
      </c>
    </row>
    <row r="49">
      <c r="A49" s="21" t="inlineStr">
        <is>
          <t xml:space="preserve">  Σ Overtid faste</t>
        </is>
      </c>
      <c r="B49" s="22" t="n"/>
      <c r="C49" s="23" t="n">
        <v>34333443</v>
      </c>
      <c r="D49" s="23" t="n">
        <v>43534029</v>
      </c>
      <c r="E49" s="23" t="n">
        <v>50932960</v>
      </c>
      <c r="F49" s="23" t="n">
        <v>55592891</v>
      </c>
      <c r="G49" s="23" t="n">
        <v>60612453</v>
      </c>
      <c r="H49" s="23" t="n">
        <v>56491265</v>
      </c>
      <c r="I49" s="23" t="n">
        <v>67807059.62453656</v>
      </c>
      <c r="J49" s="22" t="n"/>
    </row>
    <row r="50">
      <c r="A50" s="16" t="inlineStr">
        <is>
          <t>Overtid midl./vik.</t>
        </is>
      </c>
      <c r="B50" s="17" t="inlineStr">
        <is>
          <t>Region Midt-Norge</t>
        </is>
      </c>
      <c r="C50" s="18" t="n">
        <v>3645142</v>
      </c>
      <c r="D50" s="18" t="n">
        <v>4363722</v>
      </c>
      <c r="E50" s="18" t="n">
        <v>3774921</v>
      </c>
      <c r="F50" s="18" t="n">
        <v>4647851</v>
      </c>
      <c r="G50" s="18" t="n">
        <v>3644842</v>
      </c>
      <c r="H50" s="18" t="n">
        <v>2301146</v>
      </c>
      <c r="I50" s="19" t="n">
        <v>2434510.923843724</v>
      </c>
      <c r="J50" s="20" t="n">
        <v>-0.0878926727946715</v>
      </c>
    </row>
    <row r="51">
      <c r="A51" s="17" t="inlineStr"/>
      <c r="B51" s="17" t="inlineStr">
        <is>
          <t>Region Nord</t>
        </is>
      </c>
      <c r="C51" s="18" t="n">
        <v>4583595</v>
      </c>
      <c r="D51" s="18" t="n">
        <v>4360235</v>
      </c>
      <c r="E51" s="18" t="n">
        <v>3953591</v>
      </c>
      <c r="F51" s="18" t="n">
        <v>6004144</v>
      </c>
      <c r="G51" s="18" t="n">
        <v>4790477</v>
      </c>
      <c r="H51" s="18" t="n">
        <v>2828337</v>
      </c>
      <c r="I51" s="19" t="n">
        <v>3013470.080138679</v>
      </c>
      <c r="J51" s="20" t="n">
        <v>-0.09204362224981932</v>
      </c>
    </row>
    <row r="52">
      <c r="A52" s="17" t="inlineStr"/>
      <c r="B52" s="17" t="inlineStr">
        <is>
          <t>Region Sør</t>
        </is>
      </c>
      <c r="C52" s="18" t="n">
        <v>8630372</v>
      </c>
      <c r="D52" s="18" t="n">
        <v>5271595</v>
      </c>
      <c r="E52" s="18" t="n">
        <v>7829198</v>
      </c>
      <c r="F52" s="18" t="n">
        <v>8608146</v>
      </c>
      <c r="G52" s="18" t="n">
        <v>8221916</v>
      </c>
      <c r="H52" s="18" t="n">
        <v>6640085</v>
      </c>
      <c r="I52" s="19" t="n">
        <v>7243710.639754041</v>
      </c>
      <c r="J52" s="20" t="n">
        <v>-0.05108169459146594</v>
      </c>
    </row>
    <row r="53">
      <c r="A53" s="17" t="inlineStr"/>
      <c r="B53" s="17" t="inlineStr">
        <is>
          <t>Region Vest</t>
        </is>
      </c>
      <c r="C53" s="18" t="n">
        <v>4889256</v>
      </c>
      <c r="D53" s="18" t="n">
        <v>4556423</v>
      </c>
      <c r="E53" s="18" t="n">
        <v>5050259</v>
      </c>
      <c r="F53" s="18" t="n">
        <v>5823392</v>
      </c>
      <c r="G53" s="18" t="n">
        <v>6335848</v>
      </c>
      <c r="H53" s="18" t="n">
        <v>5004516</v>
      </c>
      <c r="I53" s="19" t="n">
        <v>5604224.911329539</v>
      </c>
      <c r="J53" s="20" t="n">
        <v>0.00467098723320114</v>
      </c>
    </row>
    <row r="54">
      <c r="A54" s="17" t="inlineStr"/>
      <c r="B54" s="17" t="inlineStr">
        <is>
          <t>Region Øst</t>
        </is>
      </c>
      <c r="C54" s="18" t="n">
        <v>3408739</v>
      </c>
      <c r="D54" s="18" t="n">
        <v>4605304</v>
      </c>
      <c r="E54" s="18" t="n">
        <v>7652157</v>
      </c>
      <c r="F54" s="18" t="n">
        <v>10382431</v>
      </c>
      <c r="G54" s="18" t="n">
        <v>7528807</v>
      </c>
      <c r="H54" s="18" t="n">
        <v>5648920</v>
      </c>
      <c r="I54" s="19" t="n">
        <v>6999004.052209493</v>
      </c>
      <c r="J54" s="20" t="n">
        <v>0.1063036237950392</v>
      </c>
    </row>
    <row r="55">
      <c r="A55" s="21" t="inlineStr">
        <is>
          <t xml:space="preserve">  Σ Overtid midl./vik.</t>
        </is>
      </c>
      <c r="B55" s="22" t="n"/>
      <c r="C55" s="23" t="n">
        <v>25157104</v>
      </c>
      <c r="D55" s="23" t="n">
        <v>23157279</v>
      </c>
      <c r="E55" s="23" t="n">
        <v>28260126</v>
      </c>
      <c r="F55" s="23" t="n">
        <v>35465964</v>
      </c>
      <c r="G55" s="23" t="n">
        <v>30521890</v>
      </c>
      <c r="H55" s="23" t="n">
        <v>22423004</v>
      </c>
      <c r="I55" s="23" t="n">
        <v>25294920.60727547</v>
      </c>
      <c r="J55" s="22" t="n"/>
    </row>
    <row r="56">
      <c r="A56" s="24" t="inlineStr">
        <is>
          <t>AGA SPK-tilskudd</t>
        </is>
      </c>
      <c r="B56" s="25" t="inlineStr">
        <is>
          <t>Region Midt-Norge</t>
        </is>
      </c>
      <c r="C56" s="26" t="n">
        <v>-8146598</v>
      </c>
      <c r="D56" s="26" t="n">
        <v>-11254109</v>
      </c>
      <c r="E56" s="26" t="n">
        <v>-8356986</v>
      </c>
      <c r="F56" s="26" t="n">
        <v>-10240559</v>
      </c>
      <c r="G56" s="26" t="n">
        <v>-9990607</v>
      </c>
      <c r="H56" s="26" t="n">
        <v>-11501111</v>
      </c>
      <c r="I56" s="19" t="n">
        <v>-12315261.78718347</v>
      </c>
      <c r="J56" s="28" t="n"/>
    </row>
    <row r="57">
      <c r="A57" s="25" t="inlineStr"/>
      <c r="B57" s="25" t="inlineStr">
        <is>
          <t>Region Nord</t>
        </is>
      </c>
      <c r="C57" s="26" t="n">
        <v>-3098898</v>
      </c>
      <c r="D57" s="26" t="n">
        <v>-1775655</v>
      </c>
      <c r="E57" s="26" t="n">
        <v>-3796042</v>
      </c>
      <c r="F57" s="26" t="n">
        <v>-6387204</v>
      </c>
      <c r="G57" s="26" t="n">
        <v>-7561180</v>
      </c>
      <c r="H57" s="26" t="n">
        <v>-7427584</v>
      </c>
      <c r="I57" s="19" t="n">
        <v>-7579861.909683203</v>
      </c>
      <c r="J57" s="28" t="n"/>
    </row>
    <row r="58">
      <c r="A58" s="25" t="inlineStr"/>
      <c r="B58" s="25" t="inlineStr">
        <is>
          <t>Region Sør</t>
        </is>
      </c>
      <c r="C58" s="26" t="n">
        <v>-11536502</v>
      </c>
      <c r="D58" s="26" t="n">
        <v>-8446120</v>
      </c>
      <c r="E58" s="26" t="n">
        <v>-13040141</v>
      </c>
      <c r="F58" s="26" t="n">
        <v>-17442538</v>
      </c>
      <c r="G58" s="26" t="n">
        <v>-24546847</v>
      </c>
      <c r="H58" s="26" t="n">
        <v>-25224448</v>
      </c>
      <c r="I58" s="19" t="n">
        <v>-27922680.10612905</v>
      </c>
      <c r="J58" s="28" t="n"/>
    </row>
    <row r="59">
      <c r="A59" s="25" t="inlineStr"/>
      <c r="B59" s="25" t="inlineStr">
        <is>
          <t>Region Vest</t>
        </is>
      </c>
      <c r="C59" s="26" t="n">
        <v>-8317889</v>
      </c>
      <c r="D59" s="26" t="n">
        <v>-9938702</v>
      </c>
      <c r="E59" s="26" t="n">
        <v>-8773684</v>
      </c>
      <c r="F59" s="26" t="n">
        <v>-6410641</v>
      </c>
      <c r="G59" s="26" t="n">
        <v>-12131823</v>
      </c>
      <c r="H59" s="26" t="n">
        <v>-17988075</v>
      </c>
      <c r="I59" s="19" t="n">
        <v>-19318186.39880469</v>
      </c>
      <c r="J59" s="28" t="n"/>
    </row>
    <row r="60">
      <c r="A60" s="25" t="inlineStr"/>
      <c r="B60" s="25" t="inlineStr">
        <is>
          <t>Region Øst</t>
        </is>
      </c>
      <c r="C60" s="26" t="n">
        <v>1503691598</v>
      </c>
      <c r="D60" s="26" t="n">
        <v>1562285820</v>
      </c>
      <c r="E60" s="26" t="n">
        <v>1608997713</v>
      </c>
      <c r="F60" s="26" t="n">
        <v>1820385743</v>
      </c>
      <c r="G60" s="26" t="n">
        <v>1989248420</v>
      </c>
      <c r="H60" s="26" t="n">
        <v>2194913900</v>
      </c>
      <c r="I60" s="19" t="n">
        <v>2566981433.899553</v>
      </c>
      <c r="J60" s="27" t="n">
        <v>0.07857846071555197</v>
      </c>
    </row>
    <row r="61">
      <c r="A61" s="21" t="inlineStr">
        <is>
          <t xml:space="preserve">  Σ AGA SPK-tilskudd</t>
        </is>
      </c>
      <c r="B61" s="22" t="n"/>
      <c r="C61" s="23" t="n">
        <v>1472591711</v>
      </c>
      <c r="D61" s="23" t="n">
        <v>1530871234</v>
      </c>
      <c r="E61" s="23" t="n">
        <v>1575030860</v>
      </c>
      <c r="F61" s="23" t="n">
        <v>1779904801</v>
      </c>
      <c r="G61" s="23" t="n">
        <v>1935017963</v>
      </c>
      <c r="H61" s="23" t="n">
        <v>2132772682</v>
      </c>
      <c r="I61" s="23" t="n">
        <v>2499845443.697752</v>
      </c>
      <c r="J61" s="22" t="n"/>
    </row>
    <row r="62">
      <c r="A62" s="29" t="inlineStr">
        <is>
          <t>TOTALSUM</t>
        </is>
      </c>
      <c r="B62" s="1" t="n"/>
      <c r="C62" s="30" t="n">
        <v>3010607387</v>
      </c>
      <c r="D62" s="30" t="n">
        <v>3133580500</v>
      </c>
      <c r="E62" s="30" t="n">
        <v>3239007102</v>
      </c>
      <c r="F62" s="30" t="n">
        <v>3659015316</v>
      </c>
      <c r="G62" s="30" t="n">
        <v>3999874550</v>
      </c>
      <c r="H62" s="30" t="n">
        <v>4442857501</v>
      </c>
      <c r="I62" s="31" t="n">
        <v>5258458640.661999</v>
      </c>
      <c r="J6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2" t="inlineStr">
        <is>
          <t>Region</t>
        </is>
      </c>
      <c r="B1" s="13" t="inlineStr">
        <is>
          <t>2020</t>
        </is>
      </c>
      <c r="C1" s="13" t="inlineStr">
        <is>
          <t>2021</t>
        </is>
      </c>
      <c r="D1" s="13" t="inlineStr">
        <is>
          <t>2022</t>
        </is>
      </c>
      <c r="E1" s="13" t="inlineStr">
        <is>
          <t>2023</t>
        </is>
      </c>
      <c r="F1" s="13" t="inlineStr">
        <is>
          <t>2024</t>
        </is>
      </c>
      <c r="G1" s="13" t="inlineStr">
        <is>
          <t>2025</t>
        </is>
      </c>
      <c r="H1" s="14" t="inlineStr">
        <is>
          <t>Prediksjon 2027</t>
        </is>
      </c>
    </row>
    <row r="2">
      <c r="A2" s="32" t="inlineStr">
        <is>
          <t>Region Midt-Norge</t>
        </is>
      </c>
      <c r="B2" s="18" t="n">
        <v>263320620</v>
      </c>
      <c r="C2" s="18" t="n">
        <v>278812355</v>
      </c>
      <c r="D2" s="18" t="n">
        <v>283448519</v>
      </c>
      <c r="E2" s="18" t="n">
        <v>320077618</v>
      </c>
      <c r="F2" s="18" t="n">
        <v>346463777</v>
      </c>
      <c r="G2" s="18" t="n">
        <v>392778913</v>
      </c>
      <c r="H2" s="19" t="n">
        <v>460454761.0694721</v>
      </c>
    </row>
    <row r="3">
      <c r="A3" s="32" t="inlineStr">
        <is>
          <t>Region Nord</t>
        </is>
      </c>
      <c r="B3" s="18" t="n">
        <v>193886521</v>
      </c>
      <c r="C3" s="18" t="n">
        <v>201204356</v>
      </c>
      <c r="D3" s="18" t="n">
        <v>205427220</v>
      </c>
      <c r="E3" s="18" t="n">
        <v>228813715</v>
      </c>
      <c r="F3" s="18" t="n">
        <v>234245118</v>
      </c>
      <c r="G3" s="18" t="n">
        <v>247114200</v>
      </c>
      <c r="H3" s="19" t="n">
        <v>282980700.935566</v>
      </c>
    </row>
    <row r="4">
      <c r="A4" s="32" t="inlineStr">
        <is>
          <t>Region Sør</t>
        </is>
      </c>
      <c r="B4" s="18" t="n">
        <v>375388643</v>
      </c>
      <c r="C4" s="18" t="n">
        <v>370845136</v>
      </c>
      <c r="D4" s="18" t="n">
        <v>384630341</v>
      </c>
      <c r="E4" s="18" t="n">
        <v>420136297</v>
      </c>
      <c r="F4" s="18" t="n">
        <v>470271489</v>
      </c>
      <c r="G4" s="18" t="n">
        <v>525849250</v>
      </c>
      <c r="H4" s="19" t="n">
        <v>647384916.8326713</v>
      </c>
    </row>
    <row r="5">
      <c r="A5" s="32" t="inlineStr">
        <is>
          <t>Region Vest</t>
        </is>
      </c>
      <c r="B5" s="18" t="n">
        <v>278574054</v>
      </c>
      <c r="C5" s="18" t="n">
        <v>282233008</v>
      </c>
      <c r="D5" s="18" t="n">
        <v>292010497</v>
      </c>
      <c r="E5" s="18" t="n">
        <v>343863999</v>
      </c>
      <c r="F5" s="18" t="n">
        <v>377114433</v>
      </c>
      <c r="G5" s="18" t="n">
        <v>415742638</v>
      </c>
      <c r="H5" s="19" t="n">
        <v>499039202.6036031</v>
      </c>
    </row>
    <row r="6">
      <c r="A6" s="32" t="inlineStr">
        <is>
          <t>Region Øst</t>
        </is>
      </c>
      <c r="B6" s="18" t="n">
        <v>1899437549</v>
      </c>
      <c r="C6" s="18" t="n">
        <v>2000485645</v>
      </c>
      <c r="D6" s="18" t="n">
        <v>2073490525</v>
      </c>
      <c r="E6" s="18" t="n">
        <v>2346123687</v>
      </c>
      <c r="F6" s="18" t="n">
        <v>2571779733</v>
      </c>
      <c r="G6" s="18" t="n">
        <v>2861372500</v>
      </c>
      <c r="H6" s="19" t="n">
        <v>3368599059.220685</v>
      </c>
    </row>
    <row r="7">
      <c r="A7" s="33" t="inlineStr">
        <is>
          <t>TOTALSUM</t>
        </is>
      </c>
      <c r="B7" s="30" t="n">
        <v>3010607387</v>
      </c>
      <c r="C7" s="30" t="n">
        <v>3133580500</v>
      </c>
      <c r="D7" s="30" t="n">
        <v>3239007102</v>
      </c>
      <c r="E7" s="30" t="n">
        <v>3659015316</v>
      </c>
      <c r="F7" s="30" t="n">
        <v>3999874550</v>
      </c>
      <c r="G7" s="30" t="n">
        <v>4442857501</v>
      </c>
      <c r="H7" s="31" t="n">
        <v>5258458640.661997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2" t="inlineStr">
        <is>
          <t>Lønnskategori</t>
        </is>
      </c>
      <c r="B1" s="13" t="inlineStr">
        <is>
          <t>2020</t>
        </is>
      </c>
      <c r="C1" s="13" t="inlineStr">
        <is>
          <t>2021</t>
        </is>
      </c>
      <c r="D1" s="13" t="inlineStr">
        <is>
          <t>2022</t>
        </is>
      </c>
      <c r="E1" s="13" t="inlineStr">
        <is>
          <t>2023</t>
        </is>
      </c>
      <c r="F1" s="13" t="inlineStr">
        <is>
          <t>2024</t>
        </is>
      </c>
      <c r="G1" s="13" t="inlineStr">
        <is>
          <t>2025</t>
        </is>
      </c>
      <c r="H1" s="14" t="inlineStr">
        <is>
          <t>Prediksjon 2027</t>
        </is>
      </c>
    </row>
    <row r="2">
      <c r="A2" s="17" t="inlineStr">
        <is>
          <t>Faste stillinger</t>
        </is>
      </c>
      <c r="B2" s="18" t="n">
        <v>792488589</v>
      </c>
      <c r="C2" s="18" t="n">
        <v>857300454</v>
      </c>
      <c r="D2" s="18" t="n">
        <v>905873523</v>
      </c>
      <c r="E2" s="18" t="n">
        <v>1002870090</v>
      </c>
      <c r="F2" s="18" t="n">
        <v>1116769300</v>
      </c>
      <c r="G2" s="18" t="n">
        <v>1297456685</v>
      </c>
      <c r="H2" s="19" t="n">
        <v>1564751239.162378</v>
      </c>
    </row>
    <row r="3">
      <c r="A3" s="25" t="inlineStr">
        <is>
          <t>Lønn vikarer</t>
        </is>
      </c>
      <c r="B3" s="26" t="n">
        <v>175192199</v>
      </c>
      <c r="C3" s="26" t="n">
        <v>165922387</v>
      </c>
      <c r="D3" s="26" t="n">
        <v>173682812</v>
      </c>
      <c r="E3" s="26" t="n">
        <v>206139279</v>
      </c>
      <c r="F3" s="26" t="n">
        <v>219428894</v>
      </c>
      <c r="G3" s="26" t="n">
        <v>222902919</v>
      </c>
      <c r="H3" s="19" t="n">
        <v>263829474.3277132</v>
      </c>
    </row>
    <row r="4">
      <c r="A4" s="17" t="inlineStr">
        <is>
          <t>Arbeidsgiveravgift</t>
        </is>
      </c>
      <c r="B4" s="18" t="n">
        <v>148557095</v>
      </c>
      <c r="C4" s="18" t="n">
        <v>156802234</v>
      </c>
      <c r="D4" s="18" t="n">
        <v>165248675</v>
      </c>
      <c r="E4" s="18" t="n">
        <v>186469694</v>
      </c>
      <c r="F4" s="18" t="n">
        <v>206464289</v>
      </c>
      <c r="G4" s="18" t="n">
        <v>234361430</v>
      </c>
      <c r="H4" s="19" t="n">
        <v>279815745.986849</v>
      </c>
    </row>
    <row r="5">
      <c r="A5" s="25" t="inlineStr">
        <is>
          <t>Turnustillegg</t>
        </is>
      </c>
      <c r="B5" s="26" t="n">
        <v>136253580</v>
      </c>
      <c r="C5" s="26" t="n">
        <v>135958455</v>
      </c>
      <c r="D5" s="26" t="n">
        <v>143058970</v>
      </c>
      <c r="E5" s="26" t="n">
        <v>166129972</v>
      </c>
      <c r="F5" s="26" t="n">
        <v>195718755</v>
      </c>
      <c r="G5" s="26" t="n">
        <v>232555661</v>
      </c>
      <c r="H5" s="19" t="n">
        <v>278145324.0477236</v>
      </c>
    </row>
    <row r="6">
      <c r="A6" s="17" t="inlineStr">
        <is>
          <t>Pensjonspremie SPK</t>
        </is>
      </c>
      <c r="B6" s="18" t="n">
        <v>127920061</v>
      </c>
      <c r="C6" s="18" t="n">
        <v>117471948</v>
      </c>
      <c r="D6" s="18" t="n">
        <v>96905482</v>
      </c>
      <c r="E6" s="18" t="n">
        <v>115753629</v>
      </c>
      <c r="F6" s="18" t="n">
        <v>125259277</v>
      </c>
      <c r="G6" s="18" t="n">
        <v>130632183</v>
      </c>
      <c r="H6" s="19" t="n">
        <v>141597818.3436096</v>
      </c>
    </row>
    <row r="7">
      <c r="A7" s="25" t="inlineStr">
        <is>
          <t>Midlertidige stillinger</t>
        </is>
      </c>
      <c r="B7" s="26" t="n">
        <v>52096957</v>
      </c>
      <c r="C7" s="26" t="n">
        <v>59839016</v>
      </c>
      <c r="D7" s="26" t="n">
        <v>53714919</v>
      </c>
      <c r="E7" s="26" t="n">
        <v>54216933</v>
      </c>
      <c r="F7" s="26" t="n">
        <v>51635217</v>
      </c>
      <c r="G7" s="26" t="n">
        <v>55590696</v>
      </c>
      <c r="H7" s="19" t="n">
        <v>69273790.16387086</v>
      </c>
    </row>
    <row r="8">
      <c r="A8" s="17" t="inlineStr">
        <is>
          <t>Turnustillegg vikarer</t>
        </is>
      </c>
      <c r="B8" s="18" t="n">
        <v>46016648</v>
      </c>
      <c r="C8" s="18" t="n">
        <v>42723464</v>
      </c>
      <c r="D8" s="18" t="n">
        <v>46298775</v>
      </c>
      <c r="E8" s="18" t="n">
        <v>56472063</v>
      </c>
      <c r="F8" s="18" t="n">
        <v>58446512</v>
      </c>
      <c r="G8" s="18" t="n">
        <v>57670976</v>
      </c>
      <c r="H8" s="19" t="n">
        <v>68097824.70029254</v>
      </c>
    </row>
    <row r="9">
      <c r="A9" s="25" t="inlineStr">
        <is>
          <t>Overtid faste</t>
        </is>
      </c>
      <c r="B9" s="26" t="n">
        <v>34333443</v>
      </c>
      <c r="C9" s="26" t="n">
        <v>43534029</v>
      </c>
      <c r="D9" s="26" t="n">
        <v>50932960</v>
      </c>
      <c r="E9" s="26" t="n">
        <v>55592891</v>
      </c>
      <c r="F9" s="26" t="n">
        <v>60612453</v>
      </c>
      <c r="G9" s="26" t="n">
        <v>56491265</v>
      </c>
      <c r="H9" s="19" t="n">
        <v>67807059.62453659</v>
      </c>
    </row>
    <row r="10">
      <c r="A10" s="17" t="inlineStr">
        <is>
          <t>Overtid midl./vik.</t>
        </is>
      </c>
      <c r="B10" s="18" t="n">
        <v>25157104</v>
      </c>
      <c r="C10" s="18" t="n">
        <v>23157279</v>
      </c>
      <c r="D10" s="18" t="n">
        <v>28260126</v>
      </c>
      <c r="E10" s="18" t="n">
        <v>35465964</v>
      </c>
      <c r="F10" s="18" t="n">
        <v>30521890</v>
      </c>
      <c r="G10" s="18" t="n">
        <v>22423004</v>
      </c>
      <c r="H10" s="19" t="n">
        <v>25294920.60727547</v>
      </c>
    </row>
    <row r="11">
      <c r="A11" s="25" t="inlineStr">
        <is>
          <t>AGA SPK-tilskudd</t>
        </is>
      </c>
      <c r="B11" s="26" t="n">
        <v>1472591711</v>
      </c>
      <c r="C11" s="26" t="n">
        <v>1530871234</v>
      </c>
      <c r="D11" s="26" t="n">
        <v>1575030860</v>
      </c>
      <c r="E11" s="26" t="n">
        <v>1779904801</v>
      </c>
      <c r="F11" s="26" t="n">
        <v>1935017963</v>
      </c>
      <c r="G11" s="26" t="n">
        <v>2132772682</v>
      </c>
      <c r="H11" s="19" t="n">
        <v>2499845443.697752</v>
      </c>
    </row>
    <row r="12">
      <c r="A12" s="33" t="inlineStr">
        <is>
          <t>TOTALSUM</t>
        </is>
      </c>
      <c r="B12" s="30" t="n">
        <v>3010607387</v>
      </c>
      <c r="C12" s="30" t="n">
        <v>3133580500</v>
      </c>
      <c r="D12" s="30" t="n">
        <v>3239007102</v>
      </c>
      <c r="E12" s="30" t="n">
        <v>3659015316</v>
      </c>
      <c r="F12" s="30" t="n">
        <v>3999874550</v>
      </c>
      <c r="G12" s="30" t="n">
        <v>4442857501</v>
      </c>
      <c r="H12" s="31" t="n">
        <v>5258458640.662002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54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  <col width="10" customWidth="1" min="11" max="11"/>
  </cols>
  <sheetData>
    <row r="1">
      <c r="A1" s="12" t="inlineStr">
        <is>
          <t>Kategori</t>
        </is>
      </c>
      <c r="B1" s="12" t="inlineStr">
        <is>
          <t>Region</t>
        </is>
      </c>
      <c r="C1" s="12" t="inlineStr">
        <is>
          <t>Enhet</t>
        </is>
      </c>
      <c r="D1" s="12" t="inlineStr">
        <is>
          <t>2020</t>
        </is>
      </c>
      <c r="E1" s="12" t="inlineStr">
        <is>
          <t>2021</t>
        </is>
      </c>
      <c r="F1" s="12" t="inlineStr">
        <is>
          <t>2022</t>
        </is>
      </c>
      <c r="G1" s="12" t="inlineStr">
        <is>
          <t>2023</t>
        </is>
      </c>
      <c r="H1" s="12" t="inlineStr">
        <is>
          <t>2024</t>
        </is>
      </c>
      <c r="I1" s="12" t="inlineStr">
        <is>
          <t>2025</t>
        </is>
      </c>
      <c r="J1" s="14" t="inlineStr">
        <is>
          <t>Prediksjon 2027</t>
        </is>
      </c>
      <c r="K1" s="15" t="inlineStr">
        <is>
          <t>CAGR</t>
        </is>
      </c>
    </row>
    <row r="2">
      <c r="A2" s="34" t="inlineStr">
        <is>
          <t>AGA SPK-tilskudd</t>
        </is>
      </c>
      <c r="B2" s="34" t="inlineStr">
        <is>
          <t>Region Midt-Norge</t>
        </is>
      </c>
      <c r="C2" s="34" t="inlineStr">
        <is>
          <t>Avdeling for tjenestestøtte barnevern</t>
        </is>
      </c>
      <c r="D2" s="18" t="n"/>
      <c r="E2" s="18" t="n"/>
      <c r="F2" s="18" t="n"/>
      <c r="G2" s="18" t="n">
        <v>38453</v>
      </c>
      <c r="H2" s="18" t="n">
        <v>43033</v>
      </c>
      <c r="I2" s="18" t="n">
        <v>41294</v>
      </c>
      <c r="J2" s="19" t="n">
        <v>46836.68714999999</v>
      </c>
      <c r="K2" s="35" t="n">
        <v>0.065</v>
      </c>
    </row>
    <row r="3">
      <c r="A3" s="36" t="inlineStr">
        <is>
          <t>AGA SPK-tilskudd</t>
        </is>
      </c>
      <c r="B3" s="36" t="inlineStr">
        <is>
          <t>Region Midt-Norge</t>
        </is>
      </c>
      <c r="C3" s="36" t="inlineStr">
        <is>
          <t>Avdeling for tjenestestøtte barnevern</t>
        </is>
      </c>
      <c r="D3" s="26" t="n"/>
      <c r="E3" s="26" t="n"/>
      <c r="F3" s="26" t="n"/>
      <c r="G3" s="26" t="n">
        <v>9839</v>
      </c>
      <c r="H3" s="26" t="n">
        <v>117498</v>
      </c>
      <c r="I3" s="26" t="n">
        <v>81195</v>
      </c>
      <c r="J3" s="19" t="n">
        <v>92093.39887499998</v>
      </c>
      <c r="K3" s="37" t="n">
        <v>0.065</v>
      </c>
    </row>
    <row r="4">
      <c r="A4" s="34" t="inlineStr">
        <is>
          <t>AGA SPK-tilskudd</t>
        </is>
      </c>
      <c r="B4" s="34" t="inlineStr">
        <is>
          <t>Region Midt-Norge</t>
        </is>
      </c>
      <c r="C4" s="34" t="inlineStr">
        <is>
          <t>Avdeling for tjenestestøtte barnevern</t>
        </is>
      </c>
      <c r="D4" s="18" t="n"/>
      <c r="E4" s="18" t="n"/>
      <c r="F4" s="18" t="n"/>
      <c r="G4" s="18" t="n">
        <v>7036</v>
      </c>
      <c r="H4" s="18" t="n">
        <v>8325</v>
      </c>
      <c r="I4" s="18" t="n">
        <v>8333</v>
      </c>
      <c r="J4" s="19" t="n">
        <v>9451.496924999998</v>
      </c>
      <c r="K4" s="35" t="n">
        <v>0.065</v>
      </c>
    </row>
    <row r="5">
      <c r="A5" s="36" t="inlineStr">
        <is>
          <t>AGA SPK-tilskudd</t>
        </is>
      </c>
      <c r="B5" s="36" t="inlineStr">
        <is>
          <t>Region Midt-Norge</t>
        </is>
      </c>
      <c r="C5" s="36" t="inlineStr">
        <is>
          <t>Avdeling for tjenestestøtte barnevern</t>
        </is>
      </c>
      <c r="D5" s="26" t="n"/>
      <c r="E5" s="26" t="n"/>
      <c r="F5" s="26" t="n"/>
      <c r="G5" s="26" t="n">
        <v>7686</v>
      </c>
      <c r="H5" s="26" t="n">
        <v>5596</v>
      </c>
      <c r="I5" s="26" t="n">
        <v>13510</v>
      </c>
      <c r="J5" s="19" t="n">
        <v>15323.37975</v>
      </c>
      <c r="K5" s="37" t="n">
        <v>0.065</v>
      </c>
    </row>
    <row r="6">
      <c r="A6" s="34" t="inlineStr">
        <is>
          <t>AGA SPK-tilskudd</t>
        </is>
      </c>
      <c r="B6" s="34" t="inlineStr">
        <is>
          <t>Region Midt-Norge</t>
        </is>
      </c>
      <c r="C6" s="34" t="inlineStr">
        <is>
          <t>Avdeling for tjenestestøtte barnevern</t>
        </is>
      </c>
      <c r="D6" s="18" t="n"/>
      <c r="E6" s="18" t="n"/>
      <c r="F6" s="18" t="n"/>
      <c r="G6" s="18" t="n">
        <v>6485</v>
      </c>
      <c r="H6" s="18" t="n">
        <v>26030</v>
      </c>
      <c r="I6" s="18" t="n">
        <v>15745</v>
      </c>
      <c r="J6" s="19" t="n">
        <v>17858.372625</v>
      </c>
      <c r="K6" s="35" t="n">
        <v>0.065</v>
      </c>
    </row>
    <row r="7">
      <c r="A7" s="36" t="inlineStr">
        <is>
          <t>AGA SPK-tilskudd</t>
        </is>
      </c>
      <c r="B7" s="36" t="inlineStr">
        <is>
          <t>Region Midt-Norge</t>
        </is>
      </c>
      <c r="C7" s="36" t="inlineStr">
        <is>
          <t>Avdeling for tjenestestøtte barnevern</t>
        </is>
      </c>
      <c r="D7" s="26" t="n"/>
      <c r="E7" s="26" t="n"/>
      <c r="F7" s="26" t="n"/>
      <c r="G7" s="26" t="n">
        <v>1834</v>
      </c>
      <c r="H7" s="26" t="n"/>
      <c r="I7" s="26" t="n"/>
      <c r="J7" s="19" t="n">
        <v>0</v>
      </c>
      <c r="K7" s="37" t="n">
        <v>0.065</v>
      </c>
    </row>
    <row r="8">
      <c r="A8" s="34" t="inlineStr">
        <is>
          <t>AGA SPK-tilskudd</t>
        </is>
      </c>
      <c r="B8" s="34" t="inlineStr">
        <is>
          <t>Region Midt-Norge</t>
        </is>
      </c>
      <c r="C8" s="34" t="inlineStr">
        <is>
          <t>Avdeling for tjenestestøtte barnevern</t>
        </is>
      </c>
      <c r="D8" s="18" t="n"/>
      <c r="E8" s="18" t="n"/>
      <c r="F8" s="18" t="n"/>
      <c r="G8" s="18" t="n">
        <v>580</v>
      </c>
      <c r="H8" s="18" t="n"/>
      <c r="I8" s="18" t="n"/>
      <c r="J8" s="19" t="n">
        <v>0</v>
      </c>
      <c r="K8" s="35" t="n">
        <v>0.065</v>
      </c>
    </row>
    <row r="9">
      <c r="A9" s="36" t="inlineStr">
        <is>
          <t>AGA SPK-tilskudd</t>
        </is>
      </c>
      <c r="B9" s="36" t="inlineStr">
        <is>
          <t>Region Midt-Norge</t>
        </is>
      </c>
      <c r="C9" s="36" t="inlineStr">
        <is>
          <t>Avdeling for tjenestestøtte barnevern</t>
        </is>
      </c>
      <c r="D9" s="26" t="n"/>
      <c r="E9" s="26" t="n"/>
      <c r="F9" s="26" t="n"/>
      <c r="G9" s="26" t="n">
        <v>3993</v>
      </c>
      <c r="H9" s="26" t="n">
        <v>10833</v>
      </c>
      <c r="I9" s="26" t="n">
        <v>10473</v>
      </c>
      <c r="J9" s="19" t="n">
        <v>11878.738425</v>
      </c>
      <c r="K9" s="37" t="n">
        <v>0.065</v>
      </c>
    </row>
    <row r="10">
      <c r="A10" s="34" t="inlineStr">
        <is>
          <t>AGA SPK-tilskudd</t>
        </is>
      </c>
      <c r="B10" s="34" t="inlineStr">
        <is>
          <t>Region Midt-Norge</t>
        </is>
      </c>
      <c r="C10" s="34" t="inlineStr">
        <is>
          <t>Avdeling for tjenestestøtte barnevern</t>
        </is>
      </c>
      <c r="D10" s="18" t="n"/>
      <c r="E10" s="18" t="n"/>
      <c r="F10" s="18" t="n"/>
      <c r="G10" s="18" t="n"/>
      <c r="H10" s="18" t="n">
        <v>5349</v>
      </c>
      <c r="I10" s="18" t="n"/>
      <c r="J10" s="19" t="n">
        <v>0</v>
      </c>
      <c r="K10" s="35" t="n">
        <v>0.065</v>
      </c>
    </row>
    <row r="11">
      <c r="A11" s="36" t="inlineStr">
        <is>
          <t>AGA SPK-tilskudd</t>
        </is>
      </c>
      <c r="B11" s="36" t="inlineStr">
        <is>
          <t>Region Midt-Norge</t>
        </is>
      </c>
      <c r="C11" s="36" t="inlineStr">
        <is>
          <t>Avdeling for tjenestestøtte barnevern</t>
        </is>
      </c>
      <c r="D11" s="26" t="n"/>
      <c r="E11" s="26" t="n"/>
      <c r="F11" s="26" t="n"/>
      <c r="G11" s="26" t="n">
        <v>-250</v>
      </c>
      <c r="H11" s="26" t="n">
        <v>-421</v>
      </c>
      <c r="I11" s="26" t="n">
        <v>-1760</v>
      </c>
      <c r="J11" s="19" t="n">
        <v>-1996.236</v>
      </c>
      <c r="K11" s="37" t="n">
        <v>0.065</v>
      </c>
    </row>
    <row r="12">
      <c r="A12" s="34" t="inlineStr">
        <is>
          <t>AGA SPK-tilskudd</t>
        </is>
      </c>
      <c r="B12" s="34" t="inlineStr">
        <is>
          <t>Region Midt-Norge</t>
        </is>
      </c>
      <c r="C12" s="34" t="inlineStr">
        <is>
          <t>Avdeling for tjenestestøtte barnevern</t>
        </is>
      </c>
      <c r="D12" s="18" t="n"/>
      <c r="E12" s="18" t="n"/>
      <c r="F12" s="18" t="n"/>
      <c r="G12" s="18" t="n">
        <v>-266709</v>
      </c>
      <c r="H12" s="18" t="n">
        <v>-385609</v>
      </c>
      <c r="I12" s="18" t="n">
        <v>-7413</v>
      </c>
      <c r="J12" s="19" t="n">
        <v>-8408.009924999998</v>
      </c>
      <c r="K12" s="35" t="n">
        <v>0.065</v>
      </c>
    </row>
    <row r="13">
      <c r="A13" s="36" t="inlineStr">
        <is>
          <t>AGA SPK-tilskudd</t>
        </is>
      </c>
      <c r="B13" s="36" t="inlineStr">
        <is>
          <t>Region Midt-Norge</t>
        </is>
      </c>
      <c r="C13" s="36" t="inlineStr">
        <is>
          <t>Avdelingsdirektør F3 omsorg</t>
        </is>
      </c>
      <c r="D13" s="26" t="n"/>
      <c r="E13" s="26" t="n"/>
      <c r="F13" s="26" t="n"/>
      <c r="G13" s="26" t="n"/>
      <c r="H13" s="26" t="n"/>
      <c r="I13" s="26" t="n">
        <v>7540</v>
      </c>
      <c r="J13" s="19" t="n">
        <v>8552.056499999999</v>
      </c>
      <c r="K13" s="37" t="n">
        <v>0.065</v>
      </c>
    </row>
    <row r="14">
      <c r="A14" s="34" t="inlineStr">
        <is>
          <t>AGA SPK-tilskudd</t>
        </is>
      </c>
      <c r="B14" s="34" t="inlineStr">
        <is>
          <t>Region Midt-Norge</t>
        </is>
      </c>
      <c r="C14" s="34" t="inlineStr">
        <is>
          <t>Avdelingsdirektør F4 behandling av ungdom</t>
        </is>
      </c>
      <c r="D14" s="18" t="n"/>
      <c r="E14" s="18" t="n"/>
      <c r="F14" s="18" t="n">
        <v>5030</v>
      </c>
      <c r="G14" s="18" t="n"/>
      <c r="H14" s="18" t="n"/>
      <c r="I14" s="18" t="n"/>
      <c r="J14" s="19" t="n">
        <v>0</v>
      </c>
      <c r="K14" s="35" t="n">
        <v>0.065</v>
      </c>
    </row>
    <row r="15">
      <c r="A15" s="36" t="inlineStr">
        <is>
          <t>AGA SPK-tilskudd</t>
        </is>
      </c>
      <c r="B15" s="36" t="inlineStr">
        <is>
          <t>Region Midt-Norge</t>
        </is>
      </c>
      <c r="C15" s="36" t="inlineStr">
        <is>
          <t>Buvika ungdomssenter</t>
        </is>
      </c>
      <c r="D15" s="26" t="n">
        <v>48262</v>
      </c>
      <c r="E15" s="26" t="n">
        <v>164598</v>
      </c>
      <c r="F15" s="26" t="n">
        <v>158534</v>
      </c>
      <c r="G15" s="26" t="n">
        <v>166782</v>
      </c>
      <c r="H15" s="26" t="n">
        <v>197071</v>
      </c>
      <c r="I15" s="26" t="n">
        <v>213758</v>
      </c>
      <c r="J15" s="19" t="n">
        <v>333996.875</v>
      </c>
      <c r="K15" s="37" t="n">
        <v>0.25</v>
      </c>
    </row>
    <row r="16">
      <c r="A16" s="34" t="inlineStr">
        <is>
          <t>AGA SPK-tilskudd</t>
        </is>
      </c>
      <c r="B16" s="34" t="inlineStr">
        <is>
          <t>Region Midt-Norge</t>
        </is>
      </c>
      <c r="C16" s="34" t="inlineStr">
        <is>
          <t>Buvika ungdomssenter</t>
        </is>
      </c>
      <c r="D16" s="18" t="n"/>
      <c r="E16" s="18" t="n">
        <v>40881</v>
      </c>
      <c r="F16" s="18" t="n">
        <v>19067</v>
      </c>
      <c r="G16" s="18" t="n"/>
      <c r="H16" s="18" t="n">
        <v>58472</v>
      </c>
      <c r="I16" s="18" t="n">
        <v>112269</v>
      </c>
      <c r="J16" s="19" t="n">
        <v>175420.3125</v>
      </c>
      <c r="K16" s="35" t="n">
        <v>0.25</v>
      </c>
    </row>
    <row r="17">
      <c r="A17" s="36" t="inlineStr">
        <is>
          <t>AGA SPK-tilskudd</t>
        </is>
      </c>
      <c r="B17" s="36" t="inlineStr">
        <is>
          <t>Region Midt-Norge</t>
        </is>
      </c>
      <c r="C17" s="36" t="inlineStr">
        <is>
          <t>Buvika ungdomssenter</t>
        </is>
      </c>
      <c r="D17" s="26" t="n">
        <v>5048</v>
      </c>
      <c r="E17" s="26" t="n">
        <v>27584</v>
      </c>
      <c r="F17" s="26" t="n">
        <v>67926</v>
      </c>
      <c r="G17" s="26" t="n">
        <v>216735</v>
      </c>
      <c r="H17" s="26" t="n">
        <v>64325</v>
      </c>
      <c r="I17" s="26" t="n">
        <v>26182</v>
      </c>
      <c r="J17" s="19" t="n">
        <v>40909.375</v>
      </c>
      <c r="K17" s="37" t="n">
        <v>0.25</v>
      </c>
    </row>
    <row r="18">
      <c r="A18" s="34" t="inlineStr">
        <is>
          <t>AGA SPK-tilskudd</t>
        </is>
      </c>
      <c r="B18" s="34" t="inlineStr">
        <is>
          <t>Region Midt-Norge</t>
        </is>
      </c>
      <c r="C18" s="34" t="inlineStr">
        <is>
          <t>Buvika ungdomssenter</t>
        </is>
      </c>
      <c r="D18" s="18" t="n">
        <v>7984</v>
      </c>
      <c r="E18" s="18" t="n">
        <v>34807</v>
      </c>
      <c r="F18" s="18" t="n">
        <v>43408</v>
      </c>
      <c r="G18" s="18" t="n">
        <v>61547</v>
      </c>
      <c r="H18" s="18" t="n">
        <v>78558</v>
      </c>
      <c r="I18" s="18" t="n">
        <v>80584</v>
      </c>
      <c r="J18" s="19" t="n">
        <v>125912.5</v>
      </c>
      <c r="K18" s="35" t="n">
        <v>0.25</v>
      </c>
    </row>
    <row r="19">
      <c r="A19" s="36" t="inlineStr">
        <is>
          <t>AGA SPK-tilskudd</t>
        </is>
      </c>
      <c r="B19" s="36" t="inlineStr">
        <is>
          <t>Region Midt-Norge</t>
        </is>
      </c>
      <c r="C19" s="36" t="inlineStr">
        <is>
          <t>Buvika ungdomssenter</t>
        </is>
      </c>
      <c r="D19" s="26" t="n"/>
      <c r="E19" s="26" t="n">
        <v>6305</v>
      </c>
      <c r="F19" s="26" t="n">
        <v>5030</v>
      </c>
      <c r="G19" s="26" t="n"/>
      <c r="H19" s="26" t="n">
        <v>300</v>
      </c>
      <c r="I19" s="26" t="n"/>
      <c r="J19" s="19" t="n">
        <v>0</v>
      </c>
      <c r="K19" s="37" t="n">
        <v>0.065</v>
      </c>
    </row>
    <row r="20">
      <c r="A20" s="34" t="inlineStr">
        <is>
          <t>AGA SPK-tilskudd</t>
        </is>
      </c>
      <c r="B20" s="34" t="inlineStr">
        <is>
          <t>Region Midt-Norge</t>
        </is>
      </c>
      <c r="C20" s="34" t="inlineStr">
        <is>
          <t>Buvika ungdomssenter</t>
        </is>
      </c>
      <c r="D20" s="18" t="n">
        <v>322</v>
      </c>
      <c r="E20" s="18" t="n">
        <v>7665</v>
      </c>
      <c r="F20" s="18" t="n">
        <v>11154</v>
      </c>
      <c r="G20" s="18" t="n">
        <v>12008</v>
      </c>
      <c r="H20" s="18" t="n">
        <v>12665</v>
      </c>
      <c r="I20" s="18" t="n">
        <v>17831</v>
      </c>
      <c r="J20" s="19" t="n">
        <v>27860.9375</v>
      </c>
      <c r="K20" s="35" t="n">
        <v>0.25</v>
      </c>
    </row>
    <row r="21">
      <c r="A21" s="36" t="inlineStr">
        <is>
          <t>AGA SPK-tilskudd</t>
        </is>
      </c>
      <c r="B21" s="36" t="inlineStr">
        <is>
          <t>Region Midt-Norge</t>
        </is>
      </c>
      <c r="C21" s="36" t="inlineStr">
        <is>
          <t>Buvika ungdomssenter</t>
        </is>
      </c>
      <c r="D21" s="26" t="n">
        <v>172</v>
      </c>
      <c r="E21" s="26" t="n">
        <v>5923</v>
      </c>
      <c r="F21" s="26" t="n">
        <v>10784</v>
      </c>
      <c r="G21" s="26" t="n">
        <v>12131</v>
      </c>
      <c r="H21" s="26" t="n">
        <v>7565</v>
      </c>
      <c r="I21" s="26" t="n">
        <v>2502</v>
      </c>
      <c r="J21" s="19" t="n">
        <v>3909.375</v>
      </c>
      <c r="K21" s="37" t="n">
        <v>0.25</v>
      </c>
    </row>
    <row r="22">
      <c r="A22" s="34" t="inlineStr">
        <is>
          <t>AGA SPK-tilskudd</t>
        </is>
      </c>
      <c r="B22" s="34" t="inlineStr">
        <is>
          <t>Region Midt-Norge</t>
        </is>
      </c>
      <c r="C22" s="34" t="inlineStr">
        <is>
          <t>Buvika ungdomssenter</t>
        </is>
      </c>
      <c r="D22" s="18" t="n"/>
      <c r="E22" s="18" t="n">
        <v>3893</v>
      </c>
      <c r="F22" s="18" t="n">
        <v>5935</v>
      </c>
      <c r="G22" s="18" t="n">
        <v>5701</v>
      </c>
      <c r="H22" s="18" t="n"/>
      <c r="I22" s="18" t="n">
        <v>8417</v>
      </c>
      <c r="J22" s="19" t="n">
        <v>12376.3843767972</v>
      </c>
      <c r="K22" s="35" t="n">
        <v>0.2126018622455585</v>
      </c>
    </row>
    <row r="23">
      <c r="A23" s="36" t="inlineStr">
        <is>
          <t>AGA SPK-tilskudd</t>
        </is>
      </c>
      <c r="B23" s="36" t="inlineStr">
        <is>
          <t>Region Midt-Norge</t>
        </is>
      </c>
      <c r="C23" s="36" t="inlineStr">
        <is>
          <t>Buvika ungdomssenter</t>
        </is>
      </c>
      <c r="D23" s="26" t="n">
        <v>1815</v>
      </c>
      <c r="E23" s="26" t="n">
        <v>4763</v>
      </c>
      <c r="F23" s="26" t="n">
        <v>8064</v>
      </c>
      <c r="G23" s="26" t="n">
        <v>2106</v>
      </c>
      <c r="H23" s="26" t="n">
        <v>79</v>
      </c>
      <c r="I23" s="26" t="n">
        <v>831</v>
      </c>
      <c r="J23" s="19" t="n">
        <v>607.9820838123202</v>
      </c>
      <c r="K23" s="37" t="n">
        <v>-0.1446479927348535</v>
      </c>
    </row>
    <row r="24">
      <c r="A24" s="34" t="inlineStr">
        <is>
          <t>AGA SPK-tilskudd</t>
        </is>
      </c>
      <c r="B24" s="34" t="inlineStr">
        <is>
          <t>Region Midt-Norge</t>
        </is>
      </c>
      <c r="C24" s="34" t="inlineStr">
        <is>
          <t>Buvika ungdomssenter</t>
        </is>
      </c>
      <c r="D24" s="18" t="n">
        <v>128</v>
      </c>
      <c r="E24" s="18" t="n">
        <v>4183</v>
      </c>
      <c r="F24" s="18" t="n">
        <v>6452</v>
      </c>
      <c r="G24" s="18" t="n">
        <v>9674</v>
      </c>
      <c r="H24" s="18" t="n">
        <v>9749</v>
      </c>
      <c r="I24" s="18" t="n">
        <v>8980</v>
      </c>
      <c r="J24" s="19" t="n">
        <v>14031.25</v>
      </c>
      <c r="K24" s="35" t="n">
        <v>0.25</v>
      </c>
    </row>
    <row r="25">
      <c r="A25" s="36" t="inlineStr">
        <is>
          <t>AGA SPK-tilskudd</t>
        </is>
      </c>
      <c r="B25" s="36" t="inlineStr">
        <is>
          <t>Region Midt-Norge</t>
        </is>
      </c>
      <c r="C25" s="36" t="inlineStr">
        <is>
          <t>Buvika ungdomssenter</t>
        </is>
      </c>
      <c r="D25" s="26" t="n"/>
      <c r="E25" s="26" t="n">
        <v>1935</v>
      </c>
      <c r="F25" s="26" t="n">
        <v>903</v>
      </c>
      <c r="G25" s="26" t="n">
        <v>7635</v>
      </c>
      <c r="H25" s="26" t="n"/>
      <c r="I25" s="26" t="n"/>
      <c r="J25" s="19" t="n">
        <v>0</v>
      </c>
      <c r="K25" s="37" t="n">
        <v>0.065</v>
      </c>
    </row>
    <row r="26">
      <c r="A26" s="34" t="inlineStr">
        <is>
          <t>AGA SPK-tilskudd</t>
        </is>
      </c>
      <c r="B26" s="34" t="inlineStr">
        <is>
          <t>Region Midt-Norge</t>
        </is>
      </c>
      <c r="C26" s="34" t="inlineStr">
        <is>
          <t>Buvika ungdomssenter</t>
        </is>
      </c>
      <c r="D26" s="18" t="n"/>
      <c r="E26" s="18" t="n">
        <v>230</v>
      </c>
      <c r="F26" s="18" t="n"/>
      <c r="G26" s="18" t="n"/>
      <c r="H26" s="18" t="n"/>
      <c r="I26" s="18" t="n"/>
      <c r="J26" s="19" t="n">
        <v>0</v>
      </c>
      <c r="K26" s="35" t="n">
        <v>0.065</v>
      </c>
    </row>
    <row r="27">
      <c r="A27" s="36" t="inlineStr">
        <is>
          <t>AGA SPK-tilskudd</t>
        </is>
      </c>
      <c r="B27" s="36" t="inlineStr">
        <is>
          <t>Region Midt-Norge</t>
        </is>
      </c>
      <c r="C27" s="36" t="inlineStr">
        <is>
          <t>Buvika ungdomssenter</t>
        </is>
      </c>
      <c r="D27" s="26" t="n">
        <v>1950</v>
      </c>
      <c r="E27" s="26" t="n"/>
      <c r="F27" s="26" t="n"/>
      <c r="G27" s="26" t="n"/>
      <c r="H27" s="26" t="n"/>
      <c r="I27" s="26" t="n"/>
      <c r="J27" s="19" t="n">
        <v>0</v>
      </c>
      <c r="K27" s="37" t="n">
        <v>0.065</v>
      </c>
    </row>
    <row r="28">
      <c r="A28" s="34" t="inlineStr">
        <is>
          <t>AGA SPK-tilskudd</t>
        </is>
      </c>
      <c r="B28" s="34" t="inlineStr">
        <is>
          <t>Region Midt-Norge</t>
        </is>
      </c>
      <c r="C28" s="34" t="inlineStr">
        <is>
          <t>Buvika ungdomssenter</t>
        </is>
      </c>
      <c r="D28" s="18" t="n"/>
      <c r="E28" s="18" t="n"/>
      <c r="F28" s="18" t="n">
        <v>-24565</v>
      </c>
      <c r="G28" s="18" t="n">
        <v>-24480</v>
      </c>
      <c r="H28" s="18" t="n"/>
      <c r="I28" s="18" t="n"/>
      <c r="J28" s="19" t="n">
        <v>0</v>
      </c>
      <c r="K28" s="35" t="n">
        <v>0.065</v>
      </c>
    </row>
    <row r="29">
      <c r="A29" s="36" t="inlineStr">
        <is>
          <t>AGA SPK-tilskudd</t>
        </is>
      </c>
      <c r="B29" s="36" t="inlineStr">
        <is>
          <t>Region Midt-Norge</t>
        </is>
      </c>
      <c r="C29" s="36" t="inlineStr">
        <is>
          <t>Buvika ungdomssenter</t>
        </is>
      </c>
      <c r="D29" s="26" t="n">
        <v>-10420</v>
      </c>
      <c r="E29" s="26" t="n">
        <v>-43129</v>
      </c>
      <c r="F29" s="26" t="n">
        <v>-43580</v>
      </c>
      <c r="G29" s="26" t="n">
        <v>-19179</v>
      </c>
      <c r="H29" s="26" t="n">
        <v>-28916</v>
      </c>
      <c r="I29" s="26" t="n">
        <v>-27618</v>
      </c>
      <c r="J29" s="19" t="n">
        <v>-31325.02604999999</v>
      </c>
      <c r="K29" s="37" t="n">
        <v>0.065</v>
      </c>
    </row>
    <row r="30">
      <c r="A30" s="34" t="inlineStr">
        <is>
          <t>AGA SPK-tilskudd</t>
        </is>
      </c>
      <c r="B30" s="34" t="inlineStr">
        <is>
          <t>Region Midt-Norge</t>
        </is>
      </c>
      <c r="C30" s="34" t="inlineStr">
        <is>
          <t>Buvika ungdomssenter</t>
        </is>
      </c>
      <c r="D30" s="18" t="n"/>
      <c r="E30" s="18" t="n"/>
      <c r="F30" s="18" t="n"/>
      <c r="G30" s="18" t="n"/>
      <c r="H30" s="18" t="n"/>
      <c r="I30" s="18" t="n">
        <v>-24800</v>
      </c>
      <c r="J30" s="19" t="n">
        <v>-28128.78</v>
      </c>
      <c r="K30" s="35" t="n">
        <v>0.065</v>
      </c>
    </row>
    <row r="31">
      <c r="A31" s="36" t="inlineStr">
        <is>
          <t>AGA SPK-tilskudd</t>
        </is>
      </c>
      <c r="B31" s="36" t="inlineStr">
        <is>
          <t>Region Midt-Norge</t>
        </is>
      </c>
      <c r="C31" s="36" t="inlineStr">
        <is>
          <t>Buvika ungdomssenter</t>
        </is>
      </c>
      <c r="D31" s="26" t="n">
        <v>-120258</v>
      </c>
      <c r="E31" s="26" t="n">
        <v>-161138</v>
      </c>
      <c r="F31" s="26" t="n">
        <v>-118511</v>
      </c>
      <c r="G31" s="26" t="n">
        <v>-290402</v>
      </c>
      <c r="H31" s="26" t="n">
        <v>-339100</v>
      </c>
      <c r="I31" s="26" t="n">
        <v>-419457</v>
      </c>
      <c r="J31" s="19" t="n">
        <v>-475758.6158249999</v>
      </c>
      <c r="K31" s="37" t="n">
        <v>0.065</v>
      </c>
    </row>
    <row r="32">
      <c r="A32" s="34" t="inlineStr">
        <is>
          <t>AGA SPK-tilskudd</t>
        </is>
      </c>
      <c r="B32" s="34" t="inlineStr">
        <is>
          <t>Region Midt-Norge</t>
        </is>
      </c>
      <c r="C32" s="34" t="inlineStr">
        <is>
          <t>Buvika ungdomssenter</t>
        </is>
      </c>
      <c r="D32" s="18" t="n">
        <v>-5613</v>
      </c>
      <c r="E32" s="18" t="n">
        <v>-370253</v>
      </c>
      <c r="F32" s="18" t="n">
        <v>-699610</v>
      </c>
      <c r="G32" s="18" t="n">
        <v>-1041302</v>
      </c>
      <c r="H32" s="18" t="n">
        <v>-1707952</v>
      </c>
      <c r="I32" s="18" t="n">
        <v>-937753</v>
      </c>
      <c r="J32" s="19" t="n">
        <v>-1063622.896425</v>
      </c>
      <c r="K32" s="35" t="n">
        <v>0.065</v>
      </c>
    </row>
    <row r="33">
      <c r="A33" s="36" t="inlineStr">
        <is>
          <t>AGA SPK-tilskudd</t>
        </is>
      </c>
      <c r="B33" s="36" t="inlineStr">
        <is>
          <t>Region Midt-Norge</t>
        </is>
      </c>
      <c r="C33" s="36" t="inlineStr">
        <is>
          <t>Clausenengen ungdomshjem</t>
        </is>
      </c>
      <c r="D33" s="26" t="n">
        <v>146919</v>
      </c>
      <c r="E33" s="26" t="n">
        <v>136599</v>
      </c>
      <c r="F33" s="26" t="n">
        <v>127753</v>
      </c>
      <c r="G33" s="26" t="n">
        <v>139275</v>
      </c>
      <c r="H33" s="26" t="n">
        <v>150147</v>
      </c>
      <c r="I33" s="26" t="n">
        <v>157756</v>
      </c>
      <c r="J33" s="19" t="n">
        <v>162311.4116276413</v>
      </c>
      <c r="K33" s="37" t="n">
        <v>0.01433540456894766</v>
      </c>
    </row>
    <row r="34">
      <c r="A34" s="34" t="inlineStr">
        <is>
          <t>AGA SPK-tilskudd</t>
        </is>
      </c>
      <c r="B34" s="34" t="inlineStr">
        <is>
          <t>Region Midt-Norge</t>
        </is>
      </c>
      <c r="C34" s="34" t="inlineStr">
        <is>
          <t>Clausenengen ungdomshjem</t>
        </is>
      </c>
      <c r="D34" s="18" t="n">
        <v>134856</v>
      </c>
      <c r="E34" s="18" t="n">
        <v>26472</v>
      </c>
      <c r="F34" s="18" t="n">
        <v>38937</v>
      </c>
      <c r="G34" s="18" t="n"/>
      <c r="H34" s="18" t="n">
        <v>13112</v>
      </c>
      <c r="I34" s="18" t="n">
        <v>11790</v>
      </c>
      <c r="J34" s="19" t="n">
        <v>6631.875</v>
      </c>
      <c r="K34" s="35" t="n">
        <v>-0.25</v>
      </c>
    </row>
    <row r="35">
      <c r="A35" s="36" t="inlineStr">
        <is>
          <t>AGA SPK-tilskudd</t>
        </is>
      </c>
      <c r="B35" s="36" t="inlineStr">
        <is>
          <t>Region Midt-Norge</t>
        </is>
      </c>
      <c r="C35" s="36" t="inlineStr">
        <is>
          <t>Clausenengen ungdomshjem</t>
        </is>
      </c>
      <c r="D35" s="26" t="n">
        <v>10291</v>
      </c>
      <c r="E35" s="26" t="n">
        <v>39981</v>
      </c>
      <c r="F35" s="26" t="n">
        <v>112000</v>
      </c>
      <c r="G35" s="26" t="n">
        <v>264293</v>
      </c>
      <c r="H35" s="26" t="n">
        <v>130496</v>
      </c>
      <c r="I35" s="26" t="n">
        <v>137694</v>
      </c>
      <c r="J35" s="19" t="n">
        <v>215146.875</v>
      </c>
      <c r="K35" s="37" t="n">
        <v>0.25</v>
      </c>
    </row>
    <row r="36">
      <c r="A36" s="34" t="inlineStr">
        <is>
          <t>AGA SPK-tilskudd</t>
        </is>
      </c>
      <c r="B36" s="34" t="inlineStr">
        <is>
          <t>Region Midt-Norge</t>
        </is>
      </c>
      <c r="C36" s="34" t="inlineStr">
        <is>
          <t>Clausenengen ungdomshjem</t>
        </is>
      </c>
      <c r="D36" s="18" t="n">
        <v>30100</v>
      </c>
      <c r="E36" s="18" t="n">
        <v>32209</v>
      </c>
      <c r="F36" s="18" t="n">
        <v>34663</v>
      </c>
      <c r="G36" s="18" t="n">
        <v>51773</v>
      </c>
      <c r="H36" s="18" t="n">
        <v>57014</v>
      </c>
      <c r="I36" s="18" t="n">
        <v>69202</v>
      </c>
      <c r="J36" s="19" t="n">
        <v>96547.16069352342</v>
      </c>
      <c r="K36" s="35" t="n">
        <v>0.1811646206952255</v>
      </c>
    </row>
    <row r="37">
      <c r="A37" s="36" t="inlineStr">
        <is>
          <t>AGA SPK-tilskudd</t>
        </is>
      </c>
      <c r="B37" s="36" t="inlineStr">
        <is>
          <t>Region Midt-Norge</t>
        </is>
      </c>
      <c r="C37" s="36" t="inlineStr">
        <is>
          <t>Clausenengen ungdomshjem</t>
        </is>
      </c>
      <c r="D37" s="26" t="n">
        <v>8698</v>
      </c>
      <c r="E37" s="26" t="n">
        <v>13947</v>
      </c>
      <c r="F37" s="26" t="n"/>
      <c r="G37" s="26" t="n">
        <v>3018</v>
      </c>
      <c r="H37" s="26" t="n">
        <v>19900</v>
      </c>
      <c r="I37" s="26" t="n"/>
      <c r="J37" s="19" t="n">
        <v>0</v>
      </c>
      <c r="K37" s="37" t="n">
        <v>0.065</v>
      </c>
    </row>
    <row r="38">
      <c r="A38" s="34" t="inlineStr">
        <is>
          <t>AGA SPK-tilskudd</t>
        </is>
      </c>
      <c r="B38" s="34" t="inlineStr">
        <is>
          <t>Region Midt-Norge</t>
        </is>
      </c>
      <c r="C38" s="34" t="inlineStr">
        <is>
          <t>Clausenengen ungdomshjem</t>
        </is>
      </c>
      <c r="D38" s="18" t="n">
        <v>4694</v>
      </c>
      <c r="E38" s="18" t="n">
        <v>13325</v>
      </c>
      <c r="F38" s="18" t="n">
        <v>27943</v>
      </c>
      <c r="G38" s="18" t="n">
        <v>26297</v>
      </c>
      <c r="H38" s="18" t="n">
        <v>10015</v>
      </c>
      <c r="I38" s="18" t="n">
        <v>11605</v>
      </c>
      <c r="J38" s="19" t="n">
        <v>16668.09505929553</v>
      </c>
      <c r="K38" s="35" t="n">
        <v>0.1984513581474097</v>
      </c>
    </row>
    <row r="39">
      <c r="A39" s="36" t="inlineStr">
        <is>
          <t>AGA SPK-tilskudd</t>
        </is>
      </c>
      <c r="B39" s="36" t="inlineStr">
        <is>
          <t>Region Midt-Norge</t>
        </is>
      </c>
      <c r="C39" s="36" t="inlineStr">
        <is>
          <t>Clausenengen ungdomshjem</t>
        </is>
      </c>
      <c r="D39" s="26" t="n">
        <v>871</v>
      </c>
      <c r="E39" s="26" t="n">
        <v>14443</v>
      </c>
      <c r="F39" s="26" t="n">
        <v>18802</v>
      </c>
      <c r="G39" s="26" t="n">
        <v>27253</v>
      </c>
      <c r="H39" s="26" t="n">
        <v>14233</v>
      </c>
      <c r="I39" s="26" t="n">
        <v>10143</v>
      </c>
      <c r="J39" s="19" t="n">
        <v>15848.4375</v>
      </c>
      <c r="K39" s="37" t="n">
        <v>0.25</v>
      </c>
    </row>
    <row r="40">
      <c r="A40" s="34" t="inlineStr">
        <is>
          <t>AGA SPK-tilskudd</t>
        </is>
      </c>
      <c r="B40" s="34" t="inlineStr">
        <is>
          <t>Region Midt-Norge</t>
        </is>
      </c>
      <c r="C40" s="34" t="inlineStr">
        <is>
          <t>Clausenengen ungdomshjem</t>
        </is>
      </c>
      <c r="D40" s="18" t="n">
        <v>3971</v>
      </c>
      <c r="E40" s="18" t="n">
        <v>12038</v>
      </c>
      <c r="F40" s="18" t="n">
        <v>2865</v>
      </c>
      <c r="G40" s="18" t="n">
        <v>24572</v>
      </c>
      <c r="H40" s="18" t="n">
        <v>19105</v>
      </c>
      <c r="I40" s="18" t="n">
        <v>43276</v>
      </c>
      <c r="J40" s="19" t="n">
        <v>67618.75</v>
      </c>
      <c r="K40" s="35" t="n">
        <v>0.25</v>
      </c>
    </row>
    <row r="41">
      <c r="A41" s="36" t="inlineStr">
        <is>
          <t>AGA SPK-tilskudd</t>
        </is>
      </c>
      <c r="B41" s="36" t="inlineStr">
        <is>
          <t>Region Midt-Norge</t>
        </is>
      </c>
      <c r="C41" s="36" t="inlineStr">
        <is>
          <t>Clausenengen ungdomshjem</t>
        </is>
      </c>
      <c r="D41" s="26" t="n">
        <v>6239</v>
      </c>
      <c r="E41" s="26" t="n">
        <v>21220</v>
      </c>
      <c r="F41" s="26" t="n">
        <v>22579</v>
      </c>
      <c r="G41" s="26" t="n">
        <v>20395</v>
      </c>
      <c r="H41" s="26" t="n">
        <v>40695</v>
      </c>
      <c r="I41" s="26" t="n">
        <v>22015</v>
      </c>
      <c r="J41" s="19" t="n">
        <v>34398.4375</v>
      </c>
      <c r="K41" s="37" t="n">
        <v>0.25</v>
      </c>
    </row>
    <row r="42">
      <c r="A42" s="34" t="inlineStr">
        <is>
          <t>AGA SPK-tilskudd</t>
        </is>
      </c>
      <c r="B42" s="34" t="inlineStr">
        <is>
          <t>Region Midt-Norge</t>
        </is>
      </c>
      <c r="C42" s="34" t="inlineStr">
        <is>
          <t>Clausenengen ungdomshjem</t>
        </is>
      </c>
      <c r="D42" s="18" t="n">
        <v>1018</v>
      </c>
      <c r="E42" s="18" t="n">
        <v>5898</v>
      </c>
      <c r="F42" s="18" t="n">
        <v>9004</v>
      </c>
      <c r="G42" s="18" t="n">
        <v>15734</v>
      </c>
      <c r="H42" s="18" t="n">
        <v>13257</v>
      </c>
      <c r="I42" s="18" t="n">
        <v>10529</v>
      </c>
      <c r="J42" s="19" t="n">
        <v>16451.5625</v>
      </c>
      <c r="K42" s="35" t="n">
        <v>0.25</v>
      </c>
    </row>
    <row r="43">
      <c r="A43" s="36" t="inlineStr">
        <is>
          <t>AGA SPK-tilskudd</t>
        </is>
      </c>
      <c r="B43" s="36" t="inlineStr">
        <is>
          <t>Region Midt-Norge</t>
        </is>
      </c>
      <c r="C43" s="36" t="inlineStr">
        <is>
          <t>Clausenengen ungdomshjem</t>
        </is>
      </c>
      <c r="D43" s="26" t="n"/>
      <c r="E43" s="26" t="n">
        <v>4000</v>
      </c>
      <c r="F43" s="26" t="n"/>
      <c r="G43" s="26" t="n"/>
      <c r="H43" s="26" t="n"/>
      <c r="I43" s="26" t="n"/>
      <c r="J43" s="19" t="n">
        <v>0</v>
      </c>
      <c r="K43" s="37" t="n">
        <v>0.065</v>
      </c>
    </row>
    <row r="44">
      <c r="A44" s="34" t="inlineStr">
        <is>
          <t>AGA SPK-tilskudd</t>
        </is>
      </c>
      <c r="B44" s="34" t="inlineStr">
        <is>
          <t>Region Midt-Norge</t>
        </is>
      </c>
      <c r="C44" s="34" t="inlineStr">
        <is>
          <t>Clausenengen ungdomshjem</t>
        </is>
      </c>
      <c r="D44" s="18" t="n">
        <v>6959</v>
      </c>
      <c r="E44" s="18" t="n"/>
      <c r="F44" s="18" t="n"/>
      <c r="G44" s="18" t="n"/>
      <c r="H44" s="18" t="n">
        <v>11392</v>
      </c>
      <c r="I44" s="18" t="n">
        <v>5390</v>
      </c>
      <c r="J44" s="19" t="n">
        <v>4866.37459998796</v>
      </c>
      <c r="K44" s="35" t="n">
        <v>-0.04981452840801526</v>
      </c>
    </row>
    <row r="45">
      <c r="A45" s="36" t="inlineStr">
        <is>
          <t>AGA SPK-tilskudd</t>
        </is>
      </c>
      <c r="B45" s="36" t="inlineStr">
        <is>
          <t>Region Midt-Norge</t>
        </is>
      </c>
      <c r="C45" s="36" t="inlineStr">
        <is>
          <t>Clausenengen ungdomshjem</t>
        </is>
      </c>
      <c r="D45" s="26" t="n"/>
      <c r="E45" s="26" t="n">
        <v>6648</v>
      </c>
      <c r="F45" s="26" t="n"/>
      <c r="G45" s="26" t="n"/>
      <c r="H45" s="26" t="n"/>
      <c r="I45" s="26" t="n"/>
      <c r="J45" s="19" t="n">
        <v>0</v>
      </c>
      <c r="K45" s="37" t="n">
        <v>0.065</v>
      </c>
    </row>
    <row r="46">
      <c r="A46" s="34" t="inlineStr">
        <is>
          <t>AGA SPK-tilskudd</t>
        </is>
      </c>
      <c r="B46" s="34" t="inlineStr">
        <is>
          <t>Region Midt-Norge</t>
        </is>
      </c>
      <c r="C46" s="34" t="inlineStr">
        <is>
          <t>Clausenengen ungdomshjem</t>
        </is>
      </c>
      <c r="D46" s="18" t="n">
        <v>-13359</v>
      </c>
      <c r="E46" s="18" t="n">
        <v>-21991</v>
      </c>
      <c r="F46" s="18" t="n">
        <v>-9701</v>
      </c>
      <c r="G46" s="18" t="n">
        <v>-17030</v>
      </c>
      <c r="H46" s="18" t="n">
        <v>-10265</v>
      </c>
      <c r="I46" s="18" t="n">
        <v>-26068</v>
      </c>
      <c r="J46" s="19" t="n">
        <v>-29566.9773</v>
      </c>
      <c r="K46" s="35" t="n">
        <v>0.065</v>
      </c>
    </row>
    <row r="47">
      <c r="A47" s="36" t="inlineStr">
        <is>
          <t>AGA SPK-tilskudd</t>
        </is>
      </c>
      <c r="B47" s="36" t="inlineStr">
        <is>
          <t>Region Midt-Norge</t>
        </is>
      </c>
      <c r="C47" s="36" t="inlineStr">
        <is>
          <t>Clausenengen ungdomshjem</t>
        </is>
      </c>
      <c r="D47" s="26" t="n">
        <v>-98667</v>
      </c>
      <c r="E47" s="26" t="n">
        <v>-223346</v>
      </c>
      <c r="F47" s="26" t="n">
        <v>-39465</v>
      </c>
      <c r="G47" s="26" t="n">
        <v>-457917</v>
      </c>
      <c r="H47" s="26" t="n">
        <v>-82895</v>
      </c>
      <c r="I47" s="26" t="n">
        <v>-37770</v>
      </c>
      <c r="J47" s="19" t="n">
        <v>-42839.67824999999</v>
      </c>
      <c r="K47" s="37" t="n">
        <v>0.065</v>
      </c>
    </row>
    <row r="48">
      <c r="A48" s="34" t="inlineStr">
        <is>
          <t>AGA SPK-tilskudd</t>
        </is>
      </c>
      <c r="B48" s="34" t="inlineStr">
        <is>
          <t>Region Midt-Norge</t>
        </is>
      </c>
      <c r="C48" s="34" t="inlineStr">
        <is>
          <t>Clausenengen ungdomshjem</t>
        </is>
      </c>
      <c r="D48" s="18" t="n">
        <v>-168074</v>
      </c>
      <c r="E48" s="18" t="n">
        <v>-147887</v>
      </c>
      <c r="F48" s="18" t="n">
        <v>-447135</v>
      </c>
      <c r="G48" s="18" t="n">
        <v>-579004</v>
      </c>
      <c r="H48" s="18" t="n">
        <v>-294432</v>
      </c>
      <c r="I48" s="18" t="n">
        <v>-965348</v>
      </c>
      <c r="J48" s="19" t="n">
        <v>-1094921.8353</v>
      </c>
      <c r="K48" s="35" t="n">
        <v>0.065</v>
      </c>
    </row>
    <row r="49">
      <c r="A49" s="36" t="inlineStr">
        <is>
          <t>AGA SPK-tilskudd</t>
        </is>
      </c>
      <c r="B49" s="36" t="inlineStr">
        <is>
          <t>Region Midt-Norge</t>
        </is>
      </c>
      <c r="C49" s="36" t="inlineStr">
        <is>
          <t>Fosterhjemstjenesten i Bufetat, region Midt-Norge, avd. Molde</t>
        </is>
      </c>
      <c r="D49" s="26" t="n"/>
      <c r="E49" s="26" t="n"/>
      <c r="F49" s="26" t="n">
        <v>56</v>
      </c>
      <c r="G49" s="26" t="n"/>
      <c r="H49" s="26" t="n"/>
      <c r="I49" s="26" t="n"/>
      <c r="J49" s="19" t="n">
        <v>0</v>
      </c>
      <c r="K49" s="37" t="n">
        <v>0.065</v>
      </c>
    </row>
    <row r="50">
      <c r="A50" s="34" t="inlineStr">
        <is>
          <t>AGA SPK-tilskudd</t>
        </is>
      </c>
      <c r="B50" s="34" t="inlineStr">
        <is>
          <t>Region Midt-Norge</t>
        </is>
      </c>
      <c r="C50" s="34" t="inlineStr">
        <is>
          <t>Fosterhjemstjenesten i Bufetat, region Midt-Norge, avd. Trondheim</t>
        </is>
      </c>
      <c r="D50" s="18" t="n">
        <v>1514</v>
      </c>
      <c r="E50" s="18" t="n">
        <v>2445</v>
      </c>
      <c r="F50" s="18" t="n"/>
      <c r="G50" s="18" t="n">
        <v>171</v>
      </c>
      <c r="H50" s="18" t="n"/>
      <c r="I50" s="18" t="n"/>
      <c r="J50" s="19" t="n">
        <v>0</v>
      </c>
      <c r="K50" s="35" t="n">
        <v>0.065</v>
      </c>
    </row>
    <row r="51">
      <c r="A51" s="36" t="inlineStr">
        <is>
          <t>AGA SPK-tilskudd</t>
        </is>
      </c>
      <c r="B51" s="36" t="inlineStr">
        <is>
          <t>Region Midt-Norge</t>
        </is>
      </c>
      <c r="C51" s="36" t="inlineStr">
        <is>
          <t>Fosterhjemstjenesten i Bufetat, region Midt-Norge, avd. Trondheim</t>
        </is>
      </c>
      <c r="D51" s="26" t="n">
        <v>1759</v>
      </c>
      <c r="E51" s="26" t="n">
        <v>4048</v>
      </c>
      <c r="F51" s="26" t="n"/>
      <c r="G51" s="26" t="n">
        <v>326</v>
      </c>
      <c r="H51" s="26" t="n"/>
      <c r="I51" s="26" t="n"/>
      <c r="J51" s="19" t="n">
        <v>0</v>
      </c>
      <c r="K51" s="37" t="n">
        <v>0.065</v>
      </c>
    </row>
    <row r="52">
      <c r="A52" s="34" t="inlineStr">
        <is>
          <t>AGA SPK-tilskudd</t>
        </is>
      </c>
      <c r="B52" s="34" t="inlineStr">
        <is>
          <t>Region Midt-Norge</t>
        </is>
      </c>
      <c r="C52" s="34" t="inlineStr">
        <is>
          <t>Fosterhjemstjenesten i Bufetat, region Midt-Norge, avd. Trondheim</t>
        </is>
      </c>
      <c r="D52" s="18" t="n">
        <v>442</v>
      </c>
      <c r="E52" s="18" t="n">
        <v>1174</v>
      </c>
      <c r="F52" s="18" t="n"/>
      <c r="G52" s="18" t="n">
        <v>100</v>
      </c>
      <c r="H52" s="18" t="n"/>
      <c r="I52" s="18" t="n"/>
      <c r="J52" s="19" t="n">
        <v>0</v>
      </c>
      <c r="K52" s="35" t="n">
        <v>0.065</v>
      </c>
    </row>
    <row r="53">
      <c r="A53" s="36" t="inlineStr">
        <is>
          <t>AGA SPK-tilskudd</t>
        </is>
      </c>
      <c r="B53" s="36" t="inlineStr">
        <is>
          <t>Region Midt-Norge</t>
        </is>
      </c>
      <c r="C53" s="36" t="inlineStr">
        <is>
          <t>Fosterhjemstjenesten i Bufetat, region Midt-Norge, avd. Trondheim</t>
        </is>
      </c>
      <c r="D53" s="26" t="n">
        <v>371</v>
      </c>
      <c r="E53" s="26" t="n">
        <v>864</v>
      </c>
      <c r="F53" s="26" t="n"/>
      <c r="G53" s="26" t="n">
        <v>162</v>
      </c>
      <c r="H53" s="26" t="n"/>
      <c r="I53" s="26" t="n"/>
      <c r="J53" s="19" t="n">
        <v>0</v>
      </c>
      <c r="K53" s="37" t="n">
        <v>0.065</v>
      </c>
    </row>
    <row r="54">
      <c r="A54" s="34" t="inlineStr">
        <is>
          <t>AGA SPK-tilskudd</t>
        </is>
      </c>
      <c r="B54" s="34" t="inlineStr">
        <is>
          <t>Region Midt-Norge</t>
        </is>
      </c>
      <c r="C54" s="34" t="inlineStr">
        <is>
          <t>Fosterhjemstjenesten i Bufetat, region Midt-Norge, avd. Trondheim</t>
        </is>
      </c>
      <c r="D54" s="18" t="n"/>
      <c r="E54" s="18" t="n">
        <v>30</v>
      </c>
      <c r="F54" s="18" t="n"/>
      <c r="G54" s="18" t="n"/>
      <c r="H54" s="18" t="n"/>
      <c r="I54" s="18" t="n"/>
      <c r="J54" s="19" t="n">
        <v>0</v>
      </c>
      <c r="K54" s="35" t="n">
        <v>0.065</v>
      </c>
    </row>
    <row r="55">
      <c r="A55" s="36" t="inlineStr">
        <is>
          <t>AGA SPK-tilskudd</t>
        </is>
      </c>
      <c r="B55" s="36" t="inlineStr">
        <is>
          <t>Region Midt-Norge</t>
        </is>
      </c>
      <c r="C55" s="36" t="inlineStr">
        <is>
          <t>Fosterhjemstjenesten i Bufetat, region Midt-Norge, avd. Ålesund</t>
        </is>
      </c>
      <c r="D55" s="26" t="n"/>
      <c r="E55" s="26" t="n"/>
      <c r="F55" s="26" t="n"/>
      <c r="G55" s="26" t="n">
        <v>-187</v>
      </c>
      <c r="H55" s="26" t="n"/>
      <c r="I55" s="26" t="n"/>
      <c r="J55" s="19" t="n">
        <v>0</v>
      </c>
      <c r="K55" s="37" t="n">
        <v>0.065</v>
      </c>
    </row>
    <row r="56">
      <c r="A56" s="34" t="inlineStr">
        <is>
          <t>AGA SPK-tilskudd</t>
        </is>
      </c>
      <c r="B56" s="34" t="inlineStr">
        <is>
          <t>Region Midt-Norge</t>
        </is>
      </c>
      <c r="C56" s="34" t="inlineStr">
        <is>
          <t>Gilantunet ungdomshjem</t>
        </is>
      </c>
      <c r="D56" s="18" t="n">
        <v>364303</v>
      </c>
      <c r="E56" s="18" t="n">
        <v>294668</v>
      </c>
      <c r="F56" s="18" t="n">
        <v>272690</v>
      </c>
      <c r="G56" s="18" t="n">
        <v>295557</v>
      </c>
      <c r="H56" s="18" t="n">
        <v>306311</v>
      </c>
      <c r="I56" s="18" t="n">
        <v>279277</v>
      </c>
      <c r="J56" s="19" t="n">
        <v>251110.0761972255</v>
      </c>
      <c r="K56" s="35" t="n">
        <v>-0.05176826806032742</v>
      </c>
    </row>
    <row r="57">
      <c r="A57" s="36" t="inlineStr">
        <is>
          <t>AGA SPK-tilskudd</t>
        </is>
      </c>
      <c r="B57" s="36" t="inlineStr">
        <is>
          <t>Region Midt-Norge</t>
        </is>
      </c>
      <c r="C57" s="36" t="inlineStr">
        <is>
          <t>Gilantunet ungdomshjem</t>
        </is>
      </c>
      <c r="D57" s="26" t="n">
        <v>287620</v>
      </c>
      <c r="E57" s="26" t="n">
        <v>178355</v>
      </c>
      <c r="F57" s="26" t="n">
        <v>167619</v>
      </c>
      <c r="G57" s="26" t="n">
        <v>118400</v>
      </c>
      <c r="H57" s="26" t="n">
        <v>413867</v>
      </c>
      <c r="I57" s="26" t="n">
        <v>477671</v>
      </c>
      <c r="J57" s="19" t="n">
        <v>585130.5762625566</v>
      </c>
      <c r="K57" s="37" t="n">
        <v>0.1067816719609485</v>
      </c>
    </row>
    <row r="58">
      <c r="A58" s="34" t="inlineStr">
        <is>
          <t>AGA SPK-tilskudd</t>
        </is>
      </c>
      <c r="B58" s="34" t="inlineStr">
        <is>
          <t>Region Midt-Norge</t>
        </is>
      </c>
      <c r="C58" s="34" t="inlineStr">
        <is>
          <t>Gilantunet ungdomshjem</t>
        </is>
      </c>
      <c r="D58" s="18" t="n">
        <v>152828</v>
      </c>
      <c r="E58" s="18" t="n">
        <v>41412</v>
      </c>
      <c r="F58" s="18" t="n">
        <v>73999</v>
      </c>
      <c r="G58" s="18" t="n">
        <v>61974</v>
      </c>
      <c r="H58" s="18" t="n">
        <v>53938</v>
      </c>
      <c r="I58" s="18" t="n">
        <v>20555</v>
      </c>
      <c r="J58" s="19" t="n">
        <v>11562.1875</v>
      </c>
      <c r="K58" s="35" t="n">
        <v>-0.25</v>
      </c>
    </row>
    <row r="59">
      <c r="A59" s="36" t="inlineStr">
        <is>
          <t>AGA SPK-tilskudd</t>
        </is>
      </c>
      <c r="B59" s="36" t="inlineStr">
        <is>
          <t>Region Midt-Norge</t>
        </is>
      </c>
      <c r="C59" s="36" t="inlineStr">
        <is>
          <t>Gilantunet ungdomshjem</t>
        </is>
      </c>
      <c r="D59" s="26" t="n">
        <v>66100</v>
      </c>
      <c r="E59" s="26" t="n">
        <v>61139</v>
      </c>
      <c r="F59" s="26" t="n">
        <v>68099</v>
      </c>
      <c r="G59" s="26" t="n">
        <v>99634</v>
      </c>
      <c r="H59" s="26" t="n">
        <v>100304</v>
      </c>
      <c r="I59" s="26" t="n">
        <v>95253</v>
      </c>
      <c r="J59" s="19" t="n">
        <v>110242.6245584591</v>
      </c>
      <c r="K59" s="37" t="n">
        <v>0.07580966254143817</v>
      </c>
    </row>
    <row r="60">
      <c r="A60" s="34" t="inlineStr">
        <is>
          <t>AGA SPK-tilskudd</t>
        </is>
      </c>
      <c r="B60" s="34" t="inlineStr">
        <is>
          <t>Region Midt-Norge</t>
        </is>
      </c>
      <c r="C60" s="34" t="inlineStr">
        <is>
          <t>Gilantunet ungdomshjem</t>
        </is>
      </c>
      <c r="D60" s="18" t="n">
        <v>37713</v>
      </c>
      <c r="E60" s="18" t="n">
        <v>47122</v>
      </c>
      <c r="F60" s="18" t="n">
        <v>95924</v>
      </c>
      <c r="G60" s="18" t="n">
        <v>16279</v>
      </c>
      <c r="H60" s="18" t="n">
        <v>196959</v>
      </c>
      <c r="I60" s="18" t="n">
        <v>187817</v>
      </c>
      <c r="J60" s="19" t="n">
        <v>293464.0625</v>
      </c>
      <c r="K60" s="35" t="n">
        <v>0.25</v>
      </c>
    </row>
    <row r="61">
      <c r="A61" s="36" t="inlineStr">
        <is>
          <t>AGA SPK-tilskudd</t>
        </is>
      </c>
      <c r="B61" s="36" t="inlineStr">
        <is>
          <t>Region Midt-Norge</t>
        </is>
      </c>
      <c r="C61" s="36" t="inlineStr">
        <is>
          <t>Gilantunet ungdomshjem</t>
        </is>
      </c>
      <c r="D61" s="26" t="n">
        <v>12138</v>
      </c>
      <c r="E61" s="26" t="n">
        <v>21950</v>
      </c>
      <c r="F61" s="26" t="n">
        <v>17915</v>
      </c>
      <c r="G61" s="26" t="n">
        <v>24035</v>
      </c>
      <c r="H61" s="26" t="n">
        <v>29159</v>
      </c>
      <c r="I61" s="26" t="n">
        <v>19234</v>
      </c>
      <c r="J61" s="19" t="n">
        <v>23122.70311805771</v>
      </c>
      <c r="K61" s="37" t="n">
        <v>0.09643905263122154</v>
      </c>
    </row>
    <row r="62">
      <c r="A62" s="34" t="inlineStr">
        <is>
          <t>AGA SPK-tilskudd</t>
        </is>
      </c>
      <c r="B62" s="34" t="inlineStr">
        <is>
          <t>Region Midt-Norge</t>
        </is>
      </c>
      <c r="C62" s="34" t="inlineStr">
        <is>
          <t>Gilantunet ungdomshjem</t>
        </is>
      </c>
      <c r="D62" s="18" t="n">
        <v>6035</v>
      </c>
      <c r="E62" s="18" t="n">
        <v>3637</v>
      </c>
      <c r="F62" s="18" t="n">
        <v>5319</v>
      </c>
      <c r="G62" s="18" t="n">
        <v>1589</v>
      </c>
      <c r="H62" s="18" t="n">
        <v>9635</v>
      </c>
      <c r="I62" s="18" t="n">
        <v>4674</v>
      </c>
      <c r="J62" s="19" t="n">
        <v>4219.813736246299</v>
      </c>
      <c r="K62" s="35" t="n">
        <v>-0.04982787224228202</v>
      </c>
    </row>
    <row r="63">
      <c r="A63" s="36" t="inlineStr">
        <is>
          <t>AGA SPK-tilskudd</t>
        </is>
      </c>
      <c r="B63" s="36" t="inlineStr">
        <is>
          <t>Region Midt-Norge</t>
        </is>
      </c>
      <c r="C63" s="36" t="inlineStr">
        <is>
          <t>Gilantunet ungdomshjem</t>
        </is>
      </c>
      <c r="D63" s="26" t="n">
        <v>2015</v>
      </c>
      <c r="E63" s="26" t="n"/>
      <c r="F63" s="26" t="n">
        <v>5187</v>
      </c>
      <c r="G63" s="26" t="n">
        <v>30910</v>
      </c>
      <c r="H63" s="26" t="n">
        <v>18086</v>
      </c>
      <c r="I63" s="26" t="n">
        <v>7548</v>
      </c>
      <c r="J63" s="19" t="n">
        <v>11793.75</v>
      </c>
      <c r="K63" s="37" t="n">
        <v>0.25</v>
      </c>
    </row>
    <row r="64">
      <c r="A64" s="34" t="inlineStr">
        <is>
          <t>AGA SPK-tilskudd</t>
        </is>
      </c>
      <c r="B64" s="34" t="inlineStr">
        <is>
          <t>Region Midt-Norge</t>
        </is>
      </c>
      <c r="C64" s="34" t="inlineStr">
        <is>
          <t>Gilantunet ungdomshjem</t>
        </is>
      </c>
      <c r="D64" s="18" t="n">
        <v>6232</v>
      </c>
      <c r="E64" s="18" t="n">
        <v>21302</v>
      </c>
      <c r="F64" s="18" t="n">
        <v>10589</v>
      </c>
      <c r="G64" s="18" t="n">
        <v>20637</v>
      </c>
      <c r="H64" s="18" t="n">
        <v>5043</v>
      </c>
      <c r="I64" s="18" t="n">
        <v>6830</v>
      </c>
      <c r="J64" s="19" t="n">
        <v>7084.969863632271</v>
      </c>
      <c r="K64" s="35" t="n">
        <v>0.01849441488532566</v>
      </c>
    </row>
    <row r="65">
      <c r="A65" s="36" t="inlineStr">
        <is>
          <t>AGA SPK-tilskudd</t>
        </is>
      </c>
      <c r="B65" s="36" t="inlineStr">
        <is>
          <t>Region Midt-Norge</t>
        </is>
      </c>
      <c r="C65" s="36" t="inlineStr">
        <is>
          <t>Gilantunet ungdomshjem</t>
        </is>
      </c>
      <c r="D65" s="26" t="n">
        <v>7327</v>
      </c>
      <c r="E65" s="26" t="n">
        <v>7465</v>
      </c>
      <c r="F65" s="26" t="n">
        <v>4635</v>
      </c>
      <c r="G65" s="26" t="n">
        <v>8225</v>
      </c>
      <c r="H65" s="26" t="n">
        <v>18575</v>
      </c>
      <c r="I65" s="26" t="n">
        <v>12100</v>
      </c>
      <c r="J65" s="19" t="n">
        <v>14788.66740486828</v>
      </c>
      <c r="K65" s="37" t="n">
        <v>0.1055333182485767</v>
      </c>
    </row>
    <row r="66">
      <c r="A66" s="34" t="inlineStr">
        <is>
          <t>AGA SPK-tilskudd</t>
        </is>
      </c>
      <c r="B66" s="34" t="inlineStr">
        <is>
          <t>Region Midt-Norge</t>
        </is>
      </c>
      <c r="C66" s="34" t="inlineStr">
        <is>
          <t>Gilantunet ungdomshjem</t>
        </is>
      </c>
      <c r="D66" s="18" t="n">
        <v>2840</v>
      </c>
      <c r="E66" s="18" t="n"/>
      <c r="F66" s="18" t="n"/>
      <c r="G66" s="18" t="n"/>
      <c r="H66" s="18" t="n"/>
      <c r="I66" s="18" t="n"/>
      <c r="J66" s="19" t="n">
        <v>0</v>
      </c>
      <c r="K66" s="35" t="n">
        <v>0.065</v>
      </c>
    </row>
    <row r="67">
      <c r="A67" s="36" t="inlineStr">
        <is>
          <t>AGA SPK-tilskudd</t>
        </is>
      </c>
      <c r="B67" s="36" t="inlineStr">
        <is>
          <t>Region Midt-Norge</t>
        </is>
      </c>
      <c r="C67" s="36" t="inlineStr">
        <is>
          <t>Gilantunet ungdomshjem</t>
        </is>
      </c>
      <c r="D67" s="26" t="n">
        <v>21161</v>
      </c>
      <c r="E67" s="26" t="n"/>
      <c r="F67" s="26" t="n"/>
      <c r="G67" s="26" t="n"/>
      <c r="H67" s="26" t="n"/>
      <c r="I67" s="26" t="n"/>
      <c r="J67" s="19" t="n">
        <v>0</v>
      </c>
      <c r="K67" s="37" t="n">
        <v>0.065</v>
      </c>
    </row>
    <row r="68">
      <c r="A68" s="34" t="inlineStr">
        <is>
          <t>AGA SPK-tilskudd</t>
        </is>
      </c>
      <c r="B68" s="34" t="inlineStr">
        <is>
          <t>Region Midt-Norge</t>
        </is>
      </c>
      <c r="C68" s="34" t="inlineStr">
        <is>
          <t>Gilantunet ungdomshjem</t>
        </is>
      </c>
      <c r="D68" s="18" t="n"/>
      <c r="E68" s="18" t="n"/>
      <c r="F68" s="18" t="n">
        <v>-49130</v>
      </c>
      <c r="G68" s="18" t="n">
        <v>-24480</v>
      </c>
      <c r="H68" s="18" t="n"/>
      <c r="I68" s="18" t="n"/>
      <c r="J68" s="19" t="n">
        <v>0</v>
      </c>
      <c r="K68" s="35" t="n">
        <v>0.065</v>
      </c>
    </row>
    <row r="69">
      <c r="A69" s="36" t="inlineStr">
        <is>
          <t>AGA SPK-tilskudd</t>
        </is>
      </c>
      <c r="B69" s="36" t="inlineStr">
        <is>
          <t>Region Midt-Norge</t>
        </is>
      </c>
      <c r="C69" s="36" t="inlineStr">
        <is>
          <t>Gilantunet ungdomshjem</t>
        </is>
      </c>
      <c r="D69" s="26" t="n">
        <v>-52023</v>
      </c>
      <c r="E69" s="26" t="n">
        <v>-64052</v>
      </c>
      <c r="F69" s="26" t="n">
        <v>-59180</v>
      </c>
      <c r="G69" s="26" t="n">
        <v>-59939</v>
      </c>
      <c r="H69" s="26" t="n">
        <v>-85166</v>
      </c>
      <c r="I69" s="26" t="n">
        <v>-91390</v>
      </c>
      <c r="J69" s="19" t="n">
        <v>-103656.82275</v>
      </c>
      <c r="K69" s="37" t="n">
        <v>0.065</v>
      </c>
    </row>
    <row r="70">
      <c r="A70" s="34" t="inlineStr">
        <is>
          <t>AGA SPK-tilskudd</t>
        </is>
      </c>
      <c r="B70" s="34" t="inlineStr">
        <is>
          <t>Region Midt-Norge</t>
        </is>
      </c>
      <c r="C70" s="34" t="inlineStr">
        <is>
          <t>Gilantunet ungdomshjem</t>
        </is>
      </c>
      <c r="D70" s="18" t="n"/>
      <c r="E70" s="18" t="n">
        <v>-20000</v>
      </c>
      <c r="F70" s="18" t="n">
        <v>-21200</v>
      </c>
      <c r="G70" s="18" t="n">
        <v>-20800</v>
      </c>
      <c r="H70" s="18" t="n"/>
      <c r="I70" s="18" t="n"/>
      <c r="J70" s="19" t="n">
        <v>0</v>
      </c>
      <c r="K70" s="35" t="n">
        <v>0.065</v>
      </c>
    </row>
    <row r="71">
      <c r="A71" s="36" t="inlineStr">
        <is>
          <t>AGA SPK-tilskudd</t>
        </is>
      </c>
      <c r="B71" s="36" t="inlineStr">
        <is>
          <t>Region Midt-Norge</t>
        </is>
      </c>
      <c r="C71" s="36" t="inlineStr">
        <is>
          <t>Gilantunet ungdomshjem</t>
        </is>
      </c>
      <c r="D71" s="26" t="n"/>
      <c r="E71" s="26" t="n"/>
      <c r="F71" s="26" t="n"/>
      <c r="G71" s="26" t="n"/>
      <c r="H71" s="26" t="n"/>
      <c r="I71" s="26" t="n">
        <v>-24480</v>
      </c>
      <c r="J71" s="19" t="n">
        <v>-27765.82799999999</v>
      </c>
      <c r="K71" s="37" t="n">
        <v>0.065</v>
      </c>
    </row>
    <row r="72">
      <c r="A72" s="34" t="inlineStr">
        <is>
          <t>AGA SPK-tilskudd</t>
        </is>
      </c>
      <c r="B72" s="34" t="inlineStr">
        <is>
          <t>Region Midt-Norge</t>
        </is>
      </c>
      <c r="C72" s="34" t="inlineStr">
        <is>
          <t>Gilantunet ungdomshjem</t>
        </is>
      </c>
      <c r="D72" s="18" t="n">
        <v>-742794</v>
      </c>
      <c r="E72" s="18" t="n">
        <v>-443742</v>
      </c>
      <c r="F72" s="18" t="n">
        <v>-637030</v>
      </c>
      <c r="G72" s="18" t="n">
        <v>-1248875</v>
      </c>
      <c r="H72" s="18" t="n">
        <v>-286215</v>
      </c>
      <c r="I72" s="18" t="n">
        <v>-1038430</v>
      </c>
      <c r="J72" s="19" t="n">
        <v>-1177813.26675</v>
      </c>
      <c r="K72" s="35" t="n">
        <v>0.065</v>
      </c>
    </row>
    <row r="73">
      <c r="A73" s="36" t="inlineStr">
        <is>
          <t>AGA SPK-tilskudd</t>
        </is>
      </c>
      <c r="B73" s="36" t="inlineStr">
        <is>
          <t>Region Midt-Norge</t>
        </is>
      </c>
      <c r="C73" s="36" t="inlineStr">
        <is>
          <t>Gilantunet ungdomshjem</t>
        </is>
      </c>
      <c r="D73" s="26" t="n">
        <v>-2019245</v>
      </c>
      <c r="E73" s="26" t="n">
        <v>-1981387</v>
      </c>
      <c r="F73" s="26" t="n">
        <v>-2816055</v>
      </c>
      <c r="G73" s="26" t="n">
        <v>-2633953</v>
      </c>
      <c r="H73" s="26" t="n">
        <v>-1286838</v>
      </c>
      <c r="I73" s="26" t="n">
        <v>-1208786</v>
      </c>
      <c r="J73" s="19" t="n">
        <v>-1371035.30085</v>
      </c>
      <c r="K73" s="37" t="n">
        <v>0.065</v>
      </c>
    </row>
    <row r="74">
      <c r="A74" s="34" t="inlineStr">
        <is>
          <t>AGA SPK-tilskudd</t>
        </is>
      </c>
      <c r="B74" s="34" t="inlineStr">
        <is>
          <t>Region Midt-Norge</t>
        </is>
      </c>
      <c r="C74" s="34" t="inlineStr">
        <is>
          <t>Humla Akuttsenter</t>
        </is>
      </c>
      <c r="D74" s="18" t="n">
        <v>172748</v>
      </c>
      <c r="E74" s="18" t="n">
        <v>149269</v>
      </c>
      <c r="F74" s="18" t="n">
        <v>141213</v>
      </c>
      <c r="G74" s="18" t="n">
        <v>148322</v>
      </c>
      <c r="H74" s="18" t="n">
        <v>163502</v>
      </c>
      <c r="I74" s="18" t="n">
        <v>157355</v>
      </c>
      <c r="J74" s="19" t="n">
        <v>151588.9535757195</v>
      </c>
      <c r="K74" s="35" t="n">
        <v>-0.01849276818874068</v>
      </c>
    </row>
    <row r="75">
      <c r="A75" s="36" t="inlineStr">
        <is>
          <t>AGA SPK-tilskudd</t>
        </is>
      </c>
      <c r="B75" s="36" t="inlineStr">
        <is>
          <t>Region Midt-Norge</t>
        </is>
      </c>
      <c r="C75" s="36" t="inlineStr">
        <is>
          <t>Humla Akuttsenter</t>
        </is>
      </c>
      <c r="D75" s="26" t="n">
        <v>208066</v>
      </c>
      <c r="E75" s="26" t="n">
        <v>29123</v>
      </c>
      <c r="F75" s="26" t="n"/>
      <c r="G75" s="26" t="n"/>
      <c r="H75" s="26" t="n">
        <v>41781</v>
      </c>
      <c r="I75" s="26" t="n">
        <v>104065</v>
      </c>
      <c r="J75" s="19" t="n">
        <v>78876.22492154372</v>
      </c>
      <c r="K75" s="37" t="n">
        <v>-0.1293958879431641</v>
      </c>
    </row>
    <row r="76">
      <c r="A76" s="34" t="inlineStr">
        <is>
          <t>AGA SPK-tilskudd</t>
        </is>
      </c>
      <c r="B76" s="34" t="inlineStr">
        <is>
          <t>Region Midt-Norge</t>
        </is>
      </c>
      <c r="C76" s="34" t="inlineStr">
        <is>
          <t>Humla Akuttsenter</t>
        </is>
      </c>
      <c r="D76" s="18" t="n">
        <v>66127</v>
      </c>
      <c r="E76" s="18" t="n">
        <v>79769</v>
      </c>
      <c r="F76" s="18" t="n">
        <v>125643</v>
      </c>
      <c r="G76" s="18" t="n">
        <v>216648</v>
      </c>
      <c r="H76" s="18" t="n">
        <v>229638</v>
      </c>
      <c r="I76" s="18" t="n">
        <v>143561</v>
      </c>
      <c r="J76" s="19" t="n">
        <v>195748.993009633</v>
      </c>
      <c r="K76" s="35" t="n">
        <v>0.1677006740009173</v>
      </c>
    </row>
    <row r="77">
      <c r="A77" s="36" t="inlineStr">
        <is>
          <t>AGA SPK-tilskudd</t>
        </is>
      </c>
      <c r="B77" s="36" t="inlineStr">
        <is>
          <t>Region Midt-Norge</t>
        </is>
      </c>
      <c r="C77" s="36" t="inlineStr">
        <is>
          <t>Humla Akuttsenter</t>
        </is>
      </c>
      <c r="D77" s="26" t="n">
        <v>36000</v>
      </c>
      <c r="E77" s="26" t="n">
        <v>40593</v>
      </c>
      <c r="F77" s="26" t="n">
        <v>44274</v>
      </c>
      <c r="G77" s="26" t="n">
        <v>64503</v>
      </c>
      <c r="H77" s="26" t="n">
        <v>69098</v>
      </c>
      <c r="I77" s="26" t="n">
        <v>80591</v>
      </c>
      <c r="J77" s="19" t="n">
        <v>111244.9133899066</v>
      </c>
      <c r="K77" s="37" t="n">
        <v>0.1748889217635812</v>
      </c>
    </row>
    <row r="78">
      <c r="A78" s="34" t="inlineStr">
        <is>
          <t>AGA SPK-tilskudd</t>
        </is>
      </c>
      <c r="B78" s="34" t="inlineStr">
        <is>
          <t>Region Midt-Norge</t>
        </is>
      </c>
      <c r="C78" s="34" t="inlineStr">
        <is>
          <t>Humla Akuttsenter</t>
        </is>
      </c>
      <c r="D78" s="18" t="n"/>
      <c r="E78" s="18" t="n"/>
      <c r="F78" s="18" t="n">
        <v>4779</v>
      </c>
      <c r="G78" s="18" t="n">
        <v>7056</v>
      </c>
      <c r="H78" s="18" t="n">
        <v>25554</v>
      </c>
      <c r="I78" s="18" t="n">
        <v>5822</v>
      </c>
      <c r="J78" s="19" t="n">
        <v>6603.457949999999</v>
      </c>
      <c r="K78" s="35" t="n">
        <v>0.065</v>
      </c>
    </row>
    <row r="79">
      <c r="A79" s="36" t="inlineStr">
        <is>
          <t>AGA SPK-tilskudd</t>
        </is>
      </c>
      <c r="B79" s="36" t="inlineStr">
        <is>
          <t>Region Midt-Norge</t>
        </is>
      </c>
      <c r="C79" s="36" t="inlineStr">
        <is>
          <t>Humla Akuttsenter</t>
        </is>
      </c>
      <c r="D79" s="26" t="n">
        <v>6444</v>
      </c>
      <c r="E79" s="26" t="n">
        <v>3373</v>
      </c>
      <c r="F79" s="26" t="n">
        <v>7318</v>
      </c>
      <c r="G79" s="26" t="n">
        <v>16623</v>
      </c>
      <c r="H79" s="26" t="n">
        <v>9526</v>
      </c>
      <c r="I79" s="26" t="n">
        <v>8891</v>
      </c>
      <c r="J79" s="19" t="n">
        <v>10112.73534371146</v>
      </c>
      <c r="K79" s="37" t="n">
        <v>0.06649547147526746</v>
      </c>
    </row>
    <row r="80">
      <c r="A80" s="34" t="inlineStr">
        <is>
          <t>AGA SPK-tilskudd</t>
        </is>
      </c>
      <c r="B80" s="34" t="inlineStr">
        <is>
          <t>Region Midt-Norge</t>
        </is>
      </c>
      <c r="C80" s="34" t="inlineStr">
        <is>
          <t>Humla Akuttsenter</t>
        </is>
      </c>
      <c r="D80" s="18" t="n">
        <v>6955</v>
      </c>
      <c r="E80" s="18" t="n">
        <v>4997</v>
      </c>
      <c r="F80" s="18" t="n">
        <v>10255</v>
      </c>
      <c r="G80" s="18" t="n">
        <v>28993</v>
      </c>
      <c r="H80" s="18" t="n">
        <v>16132</v>
      </c>
      <c r="I80" s="18" t="n">
        <v>11539</v>
      </c>
      <c r="J80" s="19" t="n">
        <v>14129.16799712181</v>
      </c>
      <c r="K80" s="35" t="n">
        <v>0.1065580649543452</v>
      </c>
    </row>
    <row r="81">
      <c r="A81" s="36" t="inlineStr">
        <is>
          <t>AGA SPK-tilskudd</t>
        </is>
      </c>
      <c r="B81" s="36" t="inlineStr">
        <is>
          <t>Region Midt-Norge</t>
        </is>
      </c>
      <c r="C81" s="36" t="inlineStr">
        <is>
          <t>Humla Akuttsenter</t>
        </is>
      </c>
      <c r="D81" s="26" t="n"/>
      <c r="E81" s="26" t="n">
        <v>8810</v>
      </c>
      <c r="F81" s="26" t="n">
        <v>8880</v>
      </c>
      <c r="G81" s="26" t="n">
        <v>300</v>
      </c>
      <c r="H81" s="26" t="n">
        <v>8653</v>
      </c>
      <c r="I81" s="26" t="n">
        <v>19424</v>
      </c>
      <c r="J81" s="19" t="n">
        <v>28841.64652043178</v>
      </c>
      <c r="K81" s="37" t="n">
        <v>0.2185425259645264</v>
      </c>
    </row>
    <row r="82">
      <c r="A82" s="34" t="inlineStr">
        <is>
          <t>AGA SPK-tilskudd</t>
        </is>
      </c>
      <c r="B82" s="34" t="inlineStr">
        <is>
          <t>Region Midt-Norge</t>
        </is>
      </c>
      <c r="C82" s="34" t="inlineStr">
        <is>
          <t>Humla Akuttsenter</t>
        </is>
      </c>
      <c r="D82" s="18" t="n">
        <v>855</v>
      </c>
      <c r="E82" s="18" t="n">
        <v>7568</v>
      </c>
      <c r="F82" s="18" t="n">
        <v>2635</v>
      </c>
      <c r="G82" s="18" t="n">
        <v>6754</v>
      </c>
      <c r="H82" s="18" t="n">
        <v>12057</v>
      </c>
      <c r="I82" s="18" t="n">
        <v>14887</v>
      </c>
      <c r="J82" s="19" t="n">
        <v>23260.9375</v>
      </c>
      <c r="K82" s="35" t="n">
        <v>0.25</v>
      </c>
    </row>
    <row r="83">
      <c r="A83" s="36" t="inlineStr">
        <is>
          <t>AGA SPK-tilskudd</t>
        </is>
      </c>
      <c r="B83" s="36" t="inlineStr">
        <is>
          <t>Region Midt-Norge</t>
        </is>
      </c>
      <c r="C83" s="36" t="inlineStr">
        <is>
          <t>Humla Akuttsenter</t>
        </is>
      </c>
      <c r="D83" s="26" t="n">
        <v>2628</v>
      </c>
      <c r="E83" s="26" t="n">
        <v>1842</v>
      </c>
      <c r="F83" s="26" t="n">
        <v>3648</v>
      </c>
      <c r="G83" s="26" t="n">
        <v>13009</v>
      </c>
      <c r="H83" s="26" t="n">
        <v>9400</v>
      </c>
      <c r="I83" s="26" t="n">
        <v>9230</v>
      </c>
      <c r="J83" s="19" t="n">
        <v>14421.875</v>
      </c>
      <c r="K83" s="37" t="n">
        <v>0.25</v>
      </c>
    </row>
    <row r="84">
      <c r="A84" s="34" t="inlineStr">
        <is>
          <t>AGA SPK-tilskudd</t>
        </is>
      </c>
      <c r="B84" s="34" t="inlineStr">
        <is>
          <t>Region Midt-Norge</t>
        </is>
      </c>
      <c r="C84" s="34" t="inlineStr">
        <is>
          <t>Humla Akuttsenter</t>
        </is>
      </c>
      <c r="D84" s="18" t="n"/>
      <c r="E84" s="18" t="n"/>
      <c r="F84" s="18" t="n"/>
      <c r="G84" s="18" t="n"/>
      <c r="H84" s="18" t="n"/>
      <c r="I84" s="18" t="n">
        <v>418</v>
      </c>
      <c r="J84" s="19" t="n">
        <v>474.1060499999999</v>
      </c>
      <c r="K84" s="35" t="n">
        <v>0.065</v>
      </c>
    </row>
    <row r="85">
      <c r="A85" s="36" t="inlineStr">
        <is>
          <t>AGA SPK-tilskudd</t>
        </is>
      </c>
      <c r="B85" s="36" t="inlineStr">
        <is>
          <t>Region Midt-Norge</t>
        </is>
      </c>
      <c r="C85" s="36" t="inlineStr">
        <is>
          <t>Humla Akuttsenter</t>
        </is>
      </c>
      <c r="D85" s="26" t="n">
        <v>3024</v>
      </c>
      <c r="E85" s="26" t="n"/>
      <c r="F85" s="26" t="n">
        <v>2290</v>
      </c>
      <c r="G85" s="26" t="n"/>
      <c r="H85" s="26" t="n"/>
      <c r="I85" s="26" t="n">
        <v>18255</v>
      </c>
      <c r="J85" s="19" t="n">
        <v>28523.4375</v>
      </c>
      <c r="K85" s="37" t="n">
        <v>0.25</v>
      </c>
    </row>
    <row r="86">
      <c r="A86" s="34" t="inlineStr">
        <is>
          <t>AGA SPK-tilskudd</t>
        </is>
      </c>
      <c r="B86" s="34" t="inlineStr">
        <is>
          <t>Region Midt-Norge</t>
        </is>
      </c>
      <c r="C86" s="34" t="inlineStr">
        <is>
          <t>Humla Akuttsenter</t>
        </is>
      </c>
      <c r="D86" s="18" t="n">
        <v>6210</v>
      </c>
      <c r="E86" s="18" t="n"/>
      <c r="F86" s="18" t="n"/>
      <c r="G86" s="18" t="n"/>
      <c r="H86" s="18" t="n"/>
      <c r="I86" s="18" t="n"/>
      <c r="J86" s="19" t="n">
        <v>0</v>
      </c>
      <c r="K86" s="35" t="n">
        <v>0.065</v>
      </c>
    </row>
    <row r="87">
      <c r="A87" s="36" t="inlineStr">
        <is>
          <t>AGA SPK-tilskudd</t>
        </is>
      </c>
      <c r="B87" s="36" t="inlineStr">
        <is>
          <t>Region Midt-Norge</t>
        </is>
      </c>
      <c r="C87" s="36" t="inlineStr">
        <is>
          <t>Humla Akuttsenter</t>
        </is>
      </c>
      <c r="D87" s="26" t="n">
        <v>-30270</v>
      </c>
      <c r="E87" s="26" t="n">
        <v>-22350</v>
      </c>
      <c r="F87" s="26" t="n">
        <v>-20200</v>
      </c>
      <c r="G87" s="26" t="n">
        <v>-7426</v>
      </c>
      <c r="H87" s="26" t="n">
        <v>-15600</v>
      </c>
      <c r="I87" s="26" t="n">
        <v>-45010</v>
      </c>
      <c r="J87" s="19" t="n">
        <v>-51051.46724999999</v>
      </c>
      <c r="K87" s="37" t="n">
        <v>0.065</v>
      </c>
    </row>
    <row r="88">
      <c r="A88" s="34" t="inlineStr">
        <is>
          <t>AGA SPK-tilskudd</t>
        </is>
      </c>
      <c r="B88" s="34" t="inlineStr">
        <is>
          <t>Region Midt-Norge</t>
        </is>
      </c>
      <c r="C88" s="34" t="inlineStr">
        <is>
          <t>Humla Akuttsenter</t>
        </is>
      </c>
      <c r="D88" s="18" t="n"/>
      <c r="E88" s="18" t="n"/>
      <c r="F88" s="18" t="n"/>
      <c r="G88" s="18" t="n"/>
      <c r="H88" s="18" t="n"/>
      <c r="I88" s="18" t="n">
        <v>-10000</v>
      </c>
      <c r="J88" s="19" t="n">
        <v>-11342.25</v>
      </c>
      <c r="K88" s="35" t="n">
        <v>0.065</v>
      </c>
    </row>
    <row r="89">
      <c r="A89" s="36" t="inlineStr">
        <is>
          <t>AGA SPK-tilskudd</t>
        </is>
      </c>
      <c r="B89" s="36" t="inlineStr">
        <is>
          <t>Region Midt-Norge</t>
        </is>
      </c>
      <c r="C89" s="36" t="inlineStr">
        <is>
          <t>Humla Akuttsenter</t>
        </is>
      </c>
      <c r="D89" s="26" t="n">
        <v>-376295</v>
      </c>
      <c r="E89" s="26" t="n">
        <v>-378657</v>
      </c>
      <c r="F89" s="26" t="n">
        <v>-502859</v>
      </c>
      <c r="G89" s="26" t="n">
        <v>-19474</v>
      </c>
      <c r="H89" s="26" t="n">
        <v>-607320</v>
      </c>
      <c r="I89" s="26" t="n">
        <v>-258226</v>
      </c>
      <c r="J89" s="19" t="n">
        <v>-292886.38485</v>
      </c>
      <c r="K89" s="37" t="n">
        <v>0.065</v>
      </c>
    </row>
    <row r="90">
      <c r="A90" s="34" t="inlineStr">
        <is>
          <t>AGA SPK-tilskudd</t>
        </is>
      </c>
      <c r="B90" s="34" t="inlineStr">
        <is>
          <t>Region Midt-Norge</t>
        </is>
      </c>
      <c r="C90" s="34" t="inlineStr">
        <is>
          <t>Humla Akuttsenter</t>
        </is>
      </c>
      <c r="D90" s="18" t="n">
        <v>-480972</v>
      </c>
      <c r="E90" s="18" t="n">
        <v>-619749</v>
      </c>
      <c r="F90" s="18" t="n">
        <v>-531441</v>
      </c>
      <c r="G90" s="18" t="n">
        <v>-1308619</v>
      </c>
      <c r="H90" s="18" t="n">
        <v>-1125239</v>
      </c>
      <c r="I90" s="18" t="n">
        <v>-714574</v>
      </c>
      <c r="J90" s="19" t="n">
        <v>-810487.6951499999</v>
      </c>
      <c r="K90" s="35" t="n">
        <v>0.065</v>
      </c>
    </row>
    <row r="91">
      <c r="A91" s="36" t="inlineStr">
        <is>
          <t>AGA SPK-tilskudd</t>
        </is>
      </c>
      <c r="B91" s="36" t="inlineStr">
        <is>
          <t>Region Midt-Norge</t>
        </is>
      </c>
      <c r="C91" s="36" t="inlineStr">
        <is>
          <t>Humla avd. beredskapshjem</t>
        </is>
      </c>
      <c r="D91" s="26" t="n"/>
      <c r="E91" s="26" t="n">
        <v>623</v>
      </c>
      <c r="F91" s="26" t="n"/>
      <c r="G91" s="26" t="n"/>
      <c r="H91" s="26" t="n"/>
      <c r="I91" s="26" t="n"/>
      <c r="J91" s="19" t="n">
        <v>0</v>
      </c>
      <c r="K91" s="37" t="n">
        <v>0.065</v>
      </c>
    </row>
    <row r="92">
      <c r="A92" s="34" t="inlineStr">
        <is>
          <t>AGA SPK-tilskudd</t>
        </is>
      </c>
      <c r="B92" s="34" t="inlineStr">
        <is>
          <t>Region Midt-Norge</t>
        </is>
      </c>
      <c r="C92" s="34" t="inlineStr">
        <is>
          <t>Humla avd. beredskapshjem</t>
        </is>
      </c>
      <c r="D92" s="18" t="n"/>
      <c r="E92" s="18" t="n"/>
      <c r="F92" s="18" t="n"/>
      <c r="G92" s="18" t="n"/>
      <c r="H92" s="18" t="n"/>
      <c r="I92" s="18" t="n">
        <v>2380</v>
      </c>
      <c r="J92" s="19" t="n">
        <v>2699.4555</v>
      </c>
      <c r="K92" s="35" t="n">
        <v>0.065</v>
      </c>
    </row>
    <row r="93">
      <c r="A93" s="36" t="inlineStr">
        <is>
          <t>AGA SPK-tilskudd</t>
        </is>
      </c>
      <c r="B93" s="36" t="inlineStr">
        <is>
          <t>Region Midt-Norge</t>
        </is>
      </c>
      <c r="C93" s="36" t="inlineStr">
        <is>
          <t>Humla avd. beredskapshjem</t>
        </is>
      </c>
      <c r="D93" s="26" t="n"/>
      <c r="E93" s="26" t="n"/>
      <c r="F93" s="26" t="n"/>
      <c r="G93" s="26" t="n"/>
      <c r="H93" s="26" t="n"/>
      <c r="I93" s="26" t="n">
        <v>702</v>
      </c>
      <c r="J93" s="19" t="n">
        <v>796.2259499999999</v>
      </c>
      <c r="K93" s="37" t="n">
        <v>0.065</v>
      </c>
    </row>
    <row r="94">
      <c r="A94" s="34" t="inlineStr">
        <is>
          <t>AGA SPK-tilskudd</t>
        </is>
      </c>
      <c r="B94" s="34" t="inlineStr">
        <is>
          <t>Region Midt-Norge</t>
        </is>
      </c>
      <c r="C94" s="34" t="inlineStr">
        <is>
          <t>Husafjellheimen ungdomsheim</t>
        </is>
      </c>
      <c r="D94" s="18" t="n">
        <v>179781</v>
      </c>
      <c r="E94" s="18" t="n">
        <v>156753</v>
      </c>
      <c r="F94" s="18" t="n">
        <v>143867</v>
      </c>
      <c r="G94" s="18" t="n">
        <v>158577</v>
      </c>
      <c r="H94" s="18" t="n">
        <v>163827</v>
      </c>
      <c r="I94" s="18" t="n">
        <v>188808</v>
      </c>
      <c r="J94" s="19" t="n">
        <v>192544.4620178963</v>
      </c>
      <c r="K94" s="35" t="n">
        <v>0.009846396326404827</v>
      </c>
    </row>
    <row r="95">
      <c r="A95" s="36" t="inlineStr">
        <is>
          <t>AGA SPK-tilskudd</t>
        </is>
      </c>
      <c r="B95" s="36" t="inlineStr">
        <is>
          <t>Region Midt-Norge</t>
        </is>
      </c>
      <c r="C95" s="36" t="inlineStr">
        <is>
          <t>Husafjellheimen ungdomsheim</t>
        </is>
      </c>
      <c r="D95" s="26" t="n">
        <v>23165</v>
      </c>
      <c r="E95" s="26" t="n">
        <v>60859</v>
      </c>
      <c r="F95" s="26" t="n"/>
      <c r="G95" s="26" t="n">
        <v>16402</v>
      </c>
      <c r="H95" s="26" t="n">
        <v>72946</v>
      </c>
      <c r="I95" s="26" t="n">
        <v>169224</v>
      </c>
      <c r="J95" s="19" t="n">
        <v>264412.5</v>
      </c>
      <c r="K95" s="37" t="n">
        <v>0.25</v>
      </c>
    </row>
    <row r="96">
      <c r="A96" s="34" t="inlineStr">
        <is>
          <t>AGA SPK-tilskudd</t>
        </is>
      </c>
      <c r="B96" s="34" t="inlineStr">
        <is>
          <t>Region Midt-Norge</t>
        </is>
      </c>
      <c r="C96" s="34" t="inlineStr">
        <is>
          <t>Husafjellheimen ungdomsheim</t>
        </is>
      </c>
      <c r="D96" s="18" t="n">
        <v>70720</v>
      </c>
      <c r="E96" s="18" t="n">
        <v>88588</v>
      </c>
      <c r="F96" s="18" t="n">
        <v>191004</v>
      </c>
      <c r="G96" s="18" t="n">
        <v>133911</v>
      </c>
      <c r="H96" s="18" t="n">
        <v>166343</v>
      </c>
      <c r="I96" s="18" t="n">
        <v>101214</v>
      </c>
      <c r="J96" s="19" t="n">
        <v>116820.7320133293</v>
      </c>
      <c r="K96" s="35" t="n">
        <v>0.07433485846894961</v>
      </c>
    </row>
    <row r="97">
      <c r="A97" s="36" t="inlineStr">
        <is>
          <t>AGA SPK-tilskudd</t>
        </is>
      </c>
      <c r="B97" s="36" t="inlineStr">
        <is>
          <t>Region Midt-Norge</t>
        </is>
      </c>
      <c r="C97" s="36" t="inlineStr">
        <is>
          <t>Husafjellheimen ungdomsheim</t>
        </is>
      </c>
      <c r="D97" s="26" t="n">
        <v>35080</v>
      </c>
      <c r="E97" s="26" t="n">
        <v>36133</v>
      </c>
      <c r="F97" s="26" t="n">
        <v>36708</v>
      </c>
      <c r="G97" s="26" t="n">
        <v>48905</v>
      </c>
      <c r="H97" s="26" t="n">
        <v>55694</v>
      </c>
      <c r="I97" s="26" t="n">
        <v>66333</v>
      </c>
      <c r="J97" s="19" t="n">
        <v>85585.00120984322</v>
      </c>
      <c r="K97" s="37" t="n">
        <v>0.1358840752793291</v>
      </c>
    </row>
    <row r="98">
      <c r="A98" s="34" t="inlineStr">
        <is>
          <t>AGA SPK-tilskudd</t>
        </is>
      </c>
      <c r="B98" s="34" t="inlineStr">
        <is>
          <t>Region Midt-Norge</t>
        </is>
      </c>
      <c r="C98" s="34" t="inlineStr">
        <is>
          <t>Husafjellheimen ungdomsheim</t>
        </is>
      </c>
      <c r="D98" s="18" t="n"/>
      <c r="E98" s="18" t="n"/>
      <c r="F98" s="18" t="n">
        <v>13330</v>
      </c>
      <c r="G98" s="18" t="n">
        <v>14112</v>
      </c>
      <c r="H98" s="18" t="n">
        <v>2300</v>
      </c>
      <c r="I98" s="18" t="n">
        <v>12362</v>
      </c>
      <c r="J98" s="19" t="n">
        <v>14021.28945</v>
      </c>
      <c r="K98" s="35" t="n">
        <v>0.065</v>
      </c>
    </row>
    <row r="99">
      <c r="A99" s="36" t="inlineStr">
        <is>
          <t>AGA SPK-tilskudd</t>
        </is>
      </c>
      <c r="B99" s="36" t="inlineStr">
        <is>
          <t>Region Midt-Norge</t>
        </is>
      </c>
      <c r="C99" s="36" t="inlineStr">
        <is>
          <t>Husafjellheimen ungdomsheim</t>
        </is>
      </c>
      <c r="D99" s="26" t="n">
        <v>14342</v>
      </c>
      <c r="E99" s="26" t="n">
        <v>9119</v>
      </c>
      <c r="F99" s="26" t="n">
        <v>8409</v>
      </c>
      <c r="G99" s="26" t="n">
        <v>6911</v>
      </c>
      <c r="H99" s="26" t="n">
        <v>14209</v>
      </c>
      <c r="I99" s="26" t="n">
        <v>9157</v>
      </c>
      <c r="J99" s="19" t="n">
        <v>7652.62817856787</v>
      </c>
      <c r="K99" s="37" t="n">
        <v>-0.0858263497736651</v>
      </c>
    </row>
    <row r="100">
      <c r="A100" s="34" t="inlineStr">
        <is>
          <t>AGA SPK-tilskudd</t>
        </is>
      </c>
      <c r="B100" s="34" t="inlineStr">
        <is>
          <t>Region Midt-Norge</t>
        </is>
      </c>
      <c r="C100" s="34" t="inlineStr">
        <is>
          <t>Husafjellheimen ungdomsheim</t>
        </is>
      </c>
      <c r="D100" s="18" t="n">
        <v>5842</v>
      </c>
      <c r="E100" s="18" t="n">
        <v>3981</v>
      </c>
      <c r="F100" s="18" t="n">
        <v>12227</v>
      </c>
      <c r="G100" s="18" t="n">
        <v>14038</v>
      </c>
      <c r="H100" s="18" t="n">
        <v>11054</v>
      </c>
      <c r="I100" s="18" t="n">
        <v>6728</v>
      </c>
      <c r="J100" s="19" t="n">
        <v>7118.946921154209</v>
      </c>
      <c r="K100" s="35" t="n">
        <v>0.02864349977845859</v>
      </c>
    </row>
    <row r="101">
      <c r="A101" s="36" t="inlineStr">
        <is>
          <t>AGA SPK-tilskudd</t>
        </is>
      </c>
      <c r="B101" s="36" t="inlineStr">
        <is>
          <t>Region Midt-Norge</t>
        </is>
      </c>
      <c r="C101" s="36" t="inlineStr">
        <is>
          <t>Husafjellheimen ungdomsheim</t>
        </is>
      </c>
      <c r="D101" s="26" t="n">
        <v>8419</v>
      </c>
      <c r="E101" s="26" t="n">
        <v>12049</v>
      </c>
      <c r="F101" s="26" t="n">
        <v>8858</v>
      </c>
      <c r="G101" s="26" t="n">
        <v>13000</v>
      </c>
      <c r="H101" s="26" t="n">
        <v>13000</v>
      </c>
      <c r="I101" s="26" t="n">
        <v>20940</v>
      </c>
      <c r="J101" s="19" t="n">
        <v>30148.32195510267</v>
      </c>
      <c r="K101" s="37" t="n">
        <v>0.1998949722245507</v>
      </c>
    </row>
    <row r="102">
      <c r="A102" s="34" t="inlineStr">
        <is>
          <t>AGA SPK-tilskudd</t>
        </is>
      </c>
      <c r="B102" s="34" t="inlineStr">
        <is>
          <t>Region Midt-Norge</t>
        </is>
      </c>
      <c r="C102" s="34" t="inlineStr">
        <is>
          <t>Husafjellheimen ungdomsheim</t>
        </is>
      </c>
      <c r="D102" s="18" t="n">
        <v>6259</v>
      </c>
      <c r="E102" s="18" t="n">
        <v>6866</v>
      </c>
      <c r="F102" s="18" t="n">
        <v>16058</v>
      </c>
      <c r="G102" s="18" t="n">
        <v>10515</v>
      </c>
      <c r="H102" s="18" t="n">
        <v>1687</v>
      </c>
      <c r="I102" s="18" t="n">
        <v>18088</v>
      </c>
      <c r="J102" s="19" t="n">
        <v>27653.16140025638</v>
      </c>
      <c r="K102" s="35" t="n">
        <v>0.2364515962102678</v>
      </c>
    </row>
    <row r="103">
      <c r="A103" s="36" t="inlineStr">
        <is>
          <t>AGA SPK-tilskudd</t>
        </is>
      </c>
      <c r="B103" s="36" t="inlineStr">
        <is>
          <t>Region Midt-Norge</t>
        </is>
      </c>
      <c r="C103" s="36" t="inlineStr">
        <is>
          <t>Husafjellheimen ungdomsheim</t>
        </is>
      </c>
      <c r="D103" s="26" t="n">
        <v>4588</v>
      </c>
      <c r="E103" s="26" t="n">
        <v>1904</v>
      </c>
      <c r="F103" s="26" t="n">
        <v>4052</v>
      </c>
      <c r="G103" s="26" t="n">
        <v>5160</v>
      </c>
      <c r="H103" s="26" t="n">
        <v>8497</v>
      </c>
      <c r="I103" s="26" t="n">
        <v>5795</v>
      </c>
      <c r="J103" s="19" t="n">
        <v>6362.465680289802</v>
      </c>
      <c r="K103" s="37" t="n">
        <v>0.04781836548900431</v>
      </c>
    </row>
    <row r="104">
      <c r="A104" s="34" t="inlineStr">
        <is>
          <t>AGA SPK-tilskudd</t>
        </is>
      </c>
      <c r="B104" s="34" t="inlineStr">
        <is>
          <t>Region Midt-Norge</t>
        </is>
      </c>
      <c r="C104" s="34" t="inlineStr">
        <is>
          <t>Husafjellheimen ungdomsheim</t>
        </is>
      </c>
      <c r="D104" s="18" t="n"/>
      <c r="E104" s="18" t="n"/>
      <c r="F104" s="18" t="n"/>
      <c r="G104" s="18" t="n"/>
      <c r="H104" s="18" t="n">
        <v>3752</v>
      </c>
      <c r="I104" s="18" t="n"/>
      <c r="J104" s="19" t="n">
        <v>0</v>
      </c>
      <c r="K104" s="35" t="n">
        <v>0.065</v>
      </c>
    </row>
    <row r="105">
      <c r="A105" s="36" t="inlineStr">
        <is>
          <t>AGA SPK-tilskudd</t>
        </is>
      </c>
      <c r="B105" s="36" t="inlineStr">
        <is>
          <t>Region Midt-Norge</t>
        </is>
      </c>
      <c r="C105" s="36" t="inlineStr">
        <is>
          <t>Husafjellheimen ungdomsheim</t>
        </is>
      </c>
      <c r="D105" s="26" t="n">
        <v>10252</v>
      </c>
      <c r="E105" s="26" t="n"/>
      <c r="F105" s="26" t="n"/>
      <c r="G105" s="26" t="n"/>
      <c r="H105" s="26" t="n"/>
      <c r="I105" s="26" t="n"/>
      <c r="J105" s="19" t="n">
        <v>0</v>
      </c>
      <c r="K105" s="37" t="n">
        <v>0.065</v>
      </c>
    </row>
    <row r="106">
      <c r="A106" s="34" t="inlineStr">
        <is>
          <t>AGA SPK-tilskudd</t>
        </is>
      </c>
      <c r="B106" s="34" t="inlineStr">
        <is>
          <t>Region Midt-Norge</t>
        </is>
      </c>
      <c r="C106" s="34" t="inlineStr">
        <is>
          <t>Husafjellheimen ungdomsheim</t>
        </is>
      </c>
      <c r="D106" s="18" t="n"/>
      <c r="E106" s="18" t="n"/>
      <c r="F106" s="18" t="n"/>
      <c r="G106" s="18" t="n"/>
      <c r="H106" s="18" t="n">
        <v>-287464</v>
      </c>
      <c r="I106" s="18" t="n">
        <v>-71317</v>
      </c>
      <c r="J106" s="19" t="n">
        <v>-80889.52432499999</v>
      </c>
      <c r="K106" s="35" t="n">
        <v>0.065</v>
      </c>
    </row>
    <row r="107">
      <c r="A107" s="36" t="inlineStr">
        <is>
          <t>AGA SPK-tilskudd</t>
        </is>
      </c>
      <c r="B107" s="36" t="inlineStr">
        <is>
          <t>Region Midt-Norge</t>
        </is>
      </c>
      <c r="C107" s="36" t="inlineStr">
        <is>
          <t>Husafjellheimen ungdomsheim</t>
        </is>
      </c>
      <c r="D107" s="26" t="n">
        <v>-37270</v>
      </c>
      <c r="E107" s="26" t="n">
        <v>-35160</v>
      </c>
      <c r="F107" s="26" t="n">
        <v>-34084</v>
      </c>
      <c r="G107" s="26" t="n">
        <v>-34962</v>
      </c>
      <c r="H107" s="26" t="n">
        <v>-40648</v>
      </c>
      <c r="I107" s="26" t="n">
        <v>-58700</v>
      </c>
      <c r="J107" s="19" t="n">
        <v>-66579.00749999999</v>
      </c>
      <c r="K107" s="37" t="n">
        <v>0.065</v>
      </c>
    </row>
    <row r="108">
      <c r="A108" s="34" t="inlineStr">
        <is>
          <t>AGA SPK-tilskudd</t>
        </is>
      </c>
      <c r="B108" s="34" t="inlineStr">
        <is>
          <t>Region Midt-Norge</t>
        </is>
      </c>
      <c r="C108" s="34" t="inlineStr">
        <is>
          <t>Husafjellheimen ungdomsheim</t>
        </is>
      </c>
      <c r="D108" s="18" t="n"/>
      <c r="E108" s="18" t="n"/>
      <c r="F108" s="18" t="n"/>
      <c r="G108" s="18" t="n">
        <v>-315415</v>
      </c>
      <c r="H108" s="18" t="n">
        <v>-146209</v>
      </c>
      <c r="I108" s="18" t="n"/>
      <c r="J108" s="19" t="n">
        <v>0</v>
      </c>
      <c r="K108" s="35" t="n">
        <v>0.065</v>
      </c>
    </row>
    <row r="109">
      <c r="A109" s="36" t="inlineStr">
        <is>
          <t>AGA SPK-tilskudd</t>
        </is>
      </c>
      <c r="B109" s="36" t="inlineStr">
        <is>
          <t>Region Midt-Norge</t>
        </is>
      </c>
      <c r="C109" s="36" t="inlineStr">
        <is>
          <t>Husafjellheimen ungdomsheim</t>
        </is>
      </c>
      <c r="D109" s="26" t="n">
        <v>-299367</v>
      </c>
      <c r="E109" s="26" t="n">
        <v>-212134</v>
      </c>
      <c r="F109" s="26" t="n">
        <v>-179120</v>
      </c>
      <c r="G109" s="26" t="n">
        <v>-215213</v>
      </c>
      <c r="H109" s="26" t="n">
        <v>-150684</v>
      </c>
      <c r="I109" s="26" t="n">
        <v>-513321</v>
      </c>
      <c r="J109" s="19" t="n">
        <v>-582221.5112249999</v>
      </c>
      <c r="K109" s="37" t="n">
        <v>0.065</v>
      </c>
    </row>
    <row r="110">
      <c r="A110" s="34" t="inlineStr">
        <is>
          <t>AGA SPK-tilskudd</t>
        </is>
      </c>
      <c r="B110" s="34" t="inlineStr">
        <is>
          <t>Region Midt-Norge</t>
        </is>
      </c>
      <c r="C110" s="34" t="inlineStr">
        <is>
          <t>Husafjellheimen ungdomsheim</t>
        </is>
      </c>
      <c r="D110" s="18" t="n">
        <v>-692701</v>
      </c>
      <c r="E110" s="18" t="n">
        <v>-496785</v>
      </c>
      <c r="F110" s="18" t="n">
        <v>-420713</v>
      </c>
      <c r="G110" s="18" t="n">
        <v>-302304</v>
      </c>
      <c r="H110" s="18" t="n">
        <v>-1140370</v>
      </c>
      <c r="I110" s="18" t="n">
        <v>-1055592</v>
      </c>
      <c r="J110" s="19" t="n">
        <v>-1197278.8362</v>
      </c>
      <c r="K110" s="35" t="n">
        <v>0.065</v>
      </c>
    </row>
    <row r="111">
      <c r="A111" s="36" t="inlineStr">
        <is>
          <t>AGA SPK-tilskudd</t>
        </is>
      </c>
      <c r="B111" s="36" t="inlineStr">
        <is>
          <t>Region Midt-Norge</t>
        </is>
      </c>
      <c r="C111" s="36" t="inlineStr">
        <is>
          <t>Karienborg ungdomsheim</t>
        </is>
      </c>
      <c r="D111" s="26" t="n">
        <v>175315</v>
      </c>
      <c r="E111" s="26" t="n">
        <v>151800</v>
      </c>
      <c r="F111" s="26" t="n">
        <v>155117</v>
      </c>
      <c r="G111" s="26" t="n">
        <v>151400</v>
      </c>
      <c r="H111" s="26" t="n">
        <v>161244</v>
      </c>
      <c r="I111" s="26" t="n">
        <v>171842</v>
      </c>
      <c r="J111" s="19" t="n">
        <v>170472.1410266839</v>
      </c>
      <c r="K111" s="37" t="n">
        <v>-0.003993784719639737</v>
      </c>
    </row>
    <row r="112">
      <c r="A112" s="34" t="inlineStr">
        <is>
          <t>AGA SPK-tilskudd</t>
        </is>
      </c>
      <c r="B112" s="34" t="inlineStr">
        <is>
          <t>Region Midt-Norge</t>
        </is>
      </c>
      <c r="C112" s="34" t="inlineStr">
        <is>
          <t>Karienborg ungdomsheim</t>
        </is>
      </c>
      <c r="D112" s="18" t="n">
        <v>60639</v>
      </c>
      <c r="E112" s="18" t="n">
        <v>3979</v>
      </c>
      <c r="F112" s="18" t="n"/>
      <c r="G112" s="18" t="n"/>
      <c r="H112" s="18" t="n"/>
      <c r="I112" s="18" t="n"/>
      <c r="J112" s="19" t="n">
        <v>0</v>
      </c>
      <c r="K112" s="35" t="n">
        <v>0.065</v>
      </c>
    </row>
    <row r="113">
      <c r="A113" s="36" t="inlineStr">
        <is>
          <t>AGA SPK-tilskudd</t>
        </is>
      </c>
      <c r="B113" s="36" t="inlineStr">
        <is>
          <t>Region Midt-Norge</t>
        </is>
      </c>
      <c r="C113" s="36" t="inlineStr">
        <is>
          <t>Karienborg ungdomsheim</t>
        </is>
      </c>
      <c r="D113" s="26" t="n">
        <v>48774</v>
      </c>
      <c r="E113" s="26" t="n">
        <v>63747</v>
      </c>
      <c r="F113" s="26" t="n">
        <v>259634</v>
      </c>
      <c r="G113" s="26" t="n">
        <v>112689</v>
      </c>
      <c r="H113" s="26" t="n">
        <v>202536</v>
      </c>
      <c r="I113" s="26" t="n">
        <v>118037</v>
      </c>
      <c r="J113" s="19" t="n">
        <v>168093.1743510015</v>
      </c>
      <c r="K113" s="37" t="n">
        <v>0.193344835194448</v>
      </c>
    </row>
    <row r="114">
      <c r="A114" s="34" t="inlineStr">
        <is>
          <t>AGA SPK-tilskudd</t>
        </is>
      </c>
      <c r="B114" s="34" t="inlineStr">
        <is>
          <t>Region Midt-Norge</t>
        </is>
      </c>
      <c r="C114" s="34" t="inlineStr">
        <is>
          <t>Karienborg ungdomsheim</t>
        </is>
      </c>
      <c r="D114" s="18" t="n">
        <v>50560</v>
      </c>
      <c r="E114" s="18" t="n">
        <v>47278</v>
      </c>
      <c r="F114" s="18" t="n">
        <v>55644</v>
      </c>
      <c r="G114" s="18" t="n">
        <v>62406</v>
      </c>
      <c r="H114" s="18" t="n">
        <v>65296</v>
      </c>
      <c r="I114" s="18" t="n">
        <v>73181</v>
      </c>
      <c r="J114" s="19" t="n">
        <v>84846.67925584501</v>
      </c>
      <c r="K114" s="35" t="n">
        <v>0.07675836634435296</v>
      </c>
    </row>
    <row r="115">
      <c r="A115" s="36" t="inlineStr">
        <is>
          <t>AGA SPK-tilskudd</t>
        </is>
      </c>
      <c r="B115" s="36" t="inlineStr">
        <is>
          <t>Region Midt-Norge</t>
        </is>
      </c>
      <c r="C115" s="36" t="inlineStr">
        <is>
          <t>Karienborg ungdomsheim</t>
        </is>
      </c>
      <c r="D115" s="26" t="n">
        <v>4992</v>
      </c>
      <c r="E115" s="26" t="n"/>
      <c r="F115" s="26" t="n"/>
      <c r="G115" s="26" t="n"/>
      <c r="H115" s="26" t="n"/>
      <c r="I115" s="26" t="n"/>
      <c r="J115" s="19" t="n">
        <v>0</v>
      </c>
      <c r="K115" s="37" t="n">
        <v>0.065</v>
      </c>
    </row>
    <row r="116">
      <c r="A116" s="34" t="inlineStr">
        <is>
          <t>AGA SPK-tilskudd</t>
        </is>
      </c>
      <c r="B116" s="34" t="inlineStr">
        <is>
          <t>Region Midt-Norge</t>
        </is>
      </c>
      <c r="C116" s="34" t="inlineStr">
        <is>
          <t>Karienborg ungdomsheim</t>
        </is>
      </c>
      <c r="D116" s="18" t="n">
        <v>4048</v>
      </c>
      <c r="E116" s="18" t="n">
        <v>11532</v>
      </c>
      <c r="F116" s="18" t="n"/>
      <c r="G116" s="18" t="n">
        <v>36290</v>
      </c>
      <c r="H116" s="18" t="n">
        <v>35506</v>
      </c>
      <c r="I116" s="18" t="n">
        <v>20539</v>
      </c>
      <c r="J116" s="19" t="n">
        <v>32092.1875</v>
      </c>
      <c r="K116" s="35" t="n">
        <v>0.25</v>
      </c>
    </row>
    <row r="117">
      <c r="A117" s="36" t="inlineStr">
        <is>
          <t>AGA SPK-tilskudd</t>
        </is>
      </c>
      <c r="B117" s="36" t="inlineStr">
        <is>
          <t>Region Midt-Norge</t>
        </is>
      </c>
      <c r="C117" s="36" t="inlineStr">
        <is>
          <t>Karienborg ungdomsheim</t>
        </is>
      </c>
      <c r="D117" s="26" t="n">
        <v>4265</v>
      </c>
      <c r="E117" s="26" t="n">
        <v>5890</v>
      </c>
      <c r="F117" s="26" t="n">
        <v>12336</v>
      </c>
      <c r="G117" s="26" t="n">
        <v>9707</v>
      </c>
      <c r="H117" s="26" t="n">
        <v>22819</v>
      </c>
      <c r="I117" s="26" t="n">
        <v>29903</v>
      </c>
      <c r="J117" s="19" t="n">
        <v>46723.4375</v>
      </c>
      <c r="K117" s="37" t="n">
        <v>0.25</v>
      </c>
    </row>
    <row r="118">
      <c r="A118" s="34" t="inlineStr">
        <is>
          <t>AGA SPK-tilskudd</t>
        </is>
      </c>
      <c r="B118" s="34" t="inlineStr">
        <is>
          <t>Region Midt-Norge</t>
        </is>
      </c>
      <c r="C118" s="34" t="inlineStr">
        <is>
          <t>Karienborg ungdomsheim</t>
        </is>
      </c>
      <c r="D118" s="18" t="n">
        <v>3972</v>
      </c>
      <c r="E118" s="18" t="n">
        <v>5933</v>
      </c>
      <c r="F118" s="18" t="n">
        <v>30114</v>
      </c>
      <c r="G118" s="18" t="n">
        <v>21632</v>
      </c>
      <c r="H118" s="18" t="n">
        <v>34655</v>
      </c>
      <c r="I118" s="18" t="n">
        <v>16534</v>
      </c>
      <c r="J118" s="19" t="n">
        <v>25834.375</v>
      </c>
      <c r="K118" s="35" t="n">
        <v>0.25</v>
      </c>
    </row>
    <row r="119">
      <c r="A119" s="36" t="inlineStr">
        <is>
          <t>AGA SPK-tilskudd</t>
        </is>
      </c>
      <c r="B119" s="36" t="inlineStr">
        <is>
          <t>Region Midt-Norge</t>
        </is>
      </c>
      <c r="C119" s="36" t="inlineStr">
        <is>
          <t>Karienborg ungdomsheim</t>
        </is>
      </c>
      <c r="D119" s="26" t="n"/>
      <c r="E119" s="26" t="n">
        <v>7595</v>
      </c>
      <c r="F119" s="26" t="n">
        <v>7150</v>
      </c>
      <c r="G119" s="26" t="n">
        <v>7994</v>
      </c>
      <c r="H119" s="26" t="n">
        <v>14118</v>
      </c>
      <c r="I119" s="26" t="n">
        <v>19865</v>
      </c>
      <c r="J119" s="19" t="n">
        <v>31039.0625</v>
      </c>
      <c r="K119" s="37" t="n">
        <v>0.25</v>
      </c>
    </row>
    <row r="120">
      <c r="A120" s="34" t="inlineStr">
        <is>
          <t>AGA SPK-tilskudd</t>
        </is>
      </c>
      <c r="B120" s="34" t="inlineStr">
        <is>
          <t>Region Midt-Norge</t>
        </is>
      </c>
      <c r="C120" s="34" t="inlineStr">
        <is>
          <t>Karienborg ungdomsheim</t>
        </is>
      </c>
      <c r="D120" s="18" t="n">
        <v>12623</v>
      </c>
      <c r="E120" s="18" t="n">
        <v>10130</v>
      </c>
      <c r="F120" s="18" t="n">
        <v>12910</v>
      </c>
      <c r="G120" s="18" t="n">
        <v>4808</v>
      </c>
      <c r="H120" s="18" t="n">
        <v>6156</v>
      </c>
      <c r="I120" s="18" t="n">
        <v>15046</v>
      </c>
      <c r="J120" s="19" t="n">
        <v>16140.777379921</v>
      </c>
      <c r="K120" s="35" t="n">
        <v>0.03574225644924001</v>
      </c>
    </row>
    <row r="121">
      <c r="A121" s="36" t="inlineStr">
        <is>
          <t>AGA SPK-tilskudd</t>
        </is>
      </c>
      <c r="B121" s="36" t="inlineStr">
        <is>
          <t>Region Midt-Norge</t>
        </is>
      </c>
      <c r="C121" s="36" t="inlineStr">
        <is>
          <t>Karienborg ungdomsheim</t>
        </is>
      </c>
      <c r="D121" s="26" t="n">
        <v>2849</v>
      </c>
      <c r="E121" s="26" t="n">
        <v>2760</v>
      </c>
      <c r="F121" s="26" t="n">
        <v>9458</v>
      </c>
      <c r="G121" s="26" t="n">
        <v>9362</v>
      </c>
      <c r="H121" s="26" t="n">
        <v>19786</v>
      </c>
      <c r="I121" s="26" t="n">
        <v>19477</v>
      </c>
      <c r="J121" s="19" t="n">
        <v>30432.8125</v>
      </c>
      <c r="K121" s="37" t="n">
        <v>0.25</v>
      </c>
    </row>
    <row r="122">
      <c r="A122" s="34" t="inlineStr">
        <is>
          <t>AGA SPK-tilskudd</t>
        </is>
      </c>
      <c r="B122" s="34" t="inlineStr">
        <is>
          <t>Region Midt-Norge</t>
        </is>
      </c>
      <c r="C122" s="34" t="inlineStr">
        <is>
          <t>Karienborg ungdomsheim</t>
        </is>
      </c>
      <c r="D122" s="18" t="n">
        <v>2000</v>
      </c>
      <c r="E122" s="18" t="n"/>
      <c r="F122" s="18" t="n"/>
      <c r="G122" s="18" t="n"/>
      <c r="H122" s="18" t="n"/>
      <c r="I122" s="18" t="n"/>
      <c r="J122" s="19" t="n">
        <v>0</v>
      </c>
      <c r="K122" s="35" t="n">
        <v>0.065</v>
      </c>
    </row>
    <row r="123">
      <c r="A123" s="36" t="inlineStr">
        <is>
          <t>AGA SPK-tilskudd</t>
        </is>
      </c>
      <c r="B123" s="36" t="inlineStr">
        <is>
          <t>Region Midt-Norge</t>
        </is>
      </c>
      <c r="C123" s="36" t="inlineStr">
        <is>
          <t>Karienborg ungdomsheim</t>
        </is>
      </c>
      <c r="D123" s="26" t="n"/>
      <c r="E123" s="26" t="n">
        <v>2893</v>
      </c>
      <c r="F123" s="26" t="n">
        <v>2500</v>
      </c>
      <c r="G123" s="26" t="n">
        <v>2794</v>
      </c>
      <c r="H123" s="26" t="n">
        <v>5186</v>
      </c>
      <c r="I123" s="26" t="n">
        <v>8966</v>
      </c>
      <c r="J123" s="19" t="n">
        <v>14009.375</v>
      </c>
      <c r="K123" s="37" t="n">
        <v>0.25</v>
      </c>
    </row>
    <row r="124">
      <c r="A124" s="34" t="inlineStr">
        <is>
          <t>AGA SPK-tilskudd</t>
        </is>
      </c>
      <c r="B124" s="34" t="inlineStr">
        <is>
          <t>Region Midt-Norge</t>
        </is>
      </c>
      <c r="C124" s="34" t="inlineStr">
        <is>
          <t>Karienborg ungdomsheim</t>
        </is>
      </c>
      <c r="D124" s="18" t="n">
        <v>6979</v>
      </c>
      <c r="E124" s="18" t="n"/>
      <c r="F124" s="18" t="n"/>
      <c r="G124" s="18" t="n"/>
      <c r="H124" s="18" t="n"/>
      <c r="I124" s="18" t="n"/>
      <c r="J124" s="19" t="n">
        <v>0</v>
      </c>
      <c r="K124" s="35" t="n">
        <v>0.065</v>
      </c>
    </row>
    <row r="125">
      <c r="A125" s="36" t="inlineStr">
        <is>
          <t>AGA SPK-tilskudd</t>
        </is>
      </c>
      <c r="B125" s="36" t="inlineStr">
        <is>
          <t>Region Midt-Norge</t>
        </is>
      </c>
      <c r="C125" s="36" t="inlineStr">
        <is>
          <t>Karienborg ungdomsheim</t>
        </is>
      </c>
      <c r="D125" s="26" t="n"/>
      <c r="E125" s="26" t="n"/>
      <c r="F125" s="26" t="n"/>
      <c r="G125" s="26" t="n"/>
      <c r="H125" s="26" t="n"/>
      <c r="I125" s="26" t="n">
        <v>23300</v>
      </c>
      <c r="J125" s="19" t="n">
        <v>26427.4425</v>
      </c>
      <c r="K125" s="37" t="n">
        <v>0.065</v>
      </c>
    </row>
    <row r="126">
      <c r="A126" s="34" t="inlineStr">
        <is>
          <t>AGA SPK-tilskudd</t>
        </is>
      </c>
      <c r="B126" s="34" t="inlineStr">
        <is>
          <t>Region Midt-Norge</t>
        </is>
      </c>
      <c r="C126" s="34" t="inlineStr">
        <is>
          <t>Karienborg ungdomsheim</t>
        </is>
      </c>
      <c r="D126" s="18" t="n">
        <v>1194</v>
      </c>
      <c r="E126" s="18" t="n">
        <v>9866</v>
      </c>
      <c r="F126" s="18" t="n">
        <v>17237</v>
      </c>
      <c r="G126" s="18" t="n">
        <v>14147</v>
      </c>
      <c r="H126" s="18" t="n">
        <v>13538</v>
      </c>
      <c r="I126" s="18" t="n">
        <v>303</v>
      </c>
      <c r="J126" s="19" t="n">
        <v>175.0725063528437</v>
      </c>
      <c r="K126" s="35" t="n">
        <v>-0.2398703724564795</v>
      </c>
    </row>
    <row r="127">
      <c r="A127" s="36" t="inlineStr">
        <is>
          <t>AGA SPK-tilskudd</t>
        </is>
      </c>
      <c r="B127" s="36" t="inlineStr">
        <is>
          <t>Region Midt-Norge</t>
        </is>
      </c>
      <c r="C127" s="36" t="inlineStr">
        <is>
          <t>Karienborg ungdomsheim</t>
        </is>
      </c>
      <c r="D127" s="26" t="n">
        <v>-70179</v>
      </c>
      <c r="E127" s="26" t="n"/>
      <c r="F127" s="26" t="n"/>
      <c r="G127" s="26" t="n"/>
      <c r="H127" s="26" t="n"/>
      <c r="I127" s="26" t="n"/>
      <c r="J127" s="19" t="n">
        <v>0</v>
      </c>
      <c r="K127" s="37" t="n">
        <v>0.065</v>
      </c>
    </row>
    <row r="128">
      <c r="A128" s="34" t="inlineStr">
        <is>
          <t>AGA SPK-tilskudd</t>
        </is>
      </c>
      <c r="B128" s="34" t="inlineStr">
        <is>
          <t>Region Midt-Norge</t>
        </is>
      </c>
      <c r="C128" s="34" t="inlineStr">
        <is>
          <t>Karienborg ungdomsheim</t>
        </is>
      </c>
      <c r="D128" s="18" t="n"/>
      <c r="E128" s="18" t="n"/>
      <c r="F128" s="18" t="n"/>
      <c r="G128" s="18" t="n"/>
      <c r="H128" s="18" t="n">
        <v>-21271</v>
      </c>
      <c r="I128" s="18" t="n">
        <v>-37040</v>
      </c>
      <c r="J128" s="19" t="n">
        <v>-42011.694</v>
      </c>
      <c r="K128" s="35" t="n">
        <v>0.065</v>
      </c>
    </row>
    <row r="129">
      <c r="A129" s="36" t="inlineStr">
        <is>
          <t>AGA SPK-tilskudd</t>
        </is>
      </c>
      <c r="B129" s="36" t="inlineStr">
        <is>
          <t>Region Midt-Norge</t>
        </is>
      </c>
      <c r="C129" s="36" t="inlineStr">
        <is>
          <t>Karienborg ungdomsheim</t>
        </is>
      </c>
      <c r="D129" s="26" t="n">
        <v>-510898</v>
      </c>
      <c r="E129" s="26" t="n">
        <v>-29921</v>
      </c>
      <c r="F129" s="26" t="n">
        <v>-414421</v>
      </c>
      <c r="G129" s="26" t="n">
        <v>-23787</v>
      </c>
      <c r="H129" s="26" t="n"/>
      <c r="I129" s="26" t="n">
        <v>-295759</v>
      </c>
      <c r="J129" s="19" t="n">
        <v>-335457.251775</v>
      </c>
      <c r="K129" s="37" t="n">
        <v>0.065</v>
      </c>
    </row>
    <row r="130">
      <c r="A130" s="34" t="inlineStr">
        <is>
          <t>AGA SPK-tilskudd</t>
        </is>
      </c>
      <c r="B130" s="34" t="inlineStr">
        <is>
          <t>Region Midt-Norge</t>
        </is>
      </c>
      <c r="C130" s="34" t="inlineStr">
        <is>
          <t>Karienborg ungdomsheim</t>
        </is>
      </c>
      <c r="D130" s="18" t="n">
        <v>-362670</v>
      </c>
      <c r="E130" s="18" t="n">
        <v>-440431</v>
      </c>
      <c r="F130" s="18" t="n">
        <v>-365708</v>
      </c>
      <c r="G130" s="18" t="n">
        <v>-242263</v>
      </c>
      <c r="H130" s="18" t="n">
        <v>-561088</v>
      </c>
      <c r="I130" s="18" t="n">
        <v>-297042</v>
      </c>
      <c r="J130" s="19" t="n">
        <v>-336912.4624499999</v>
      </c>
      <c r="K130" s="35" t="n">
        <v>0.065</v>
      </c>
    </row>
    <row r="131">
      <c r="A131" s="36" t="inlineStr">
        <is>
          <t>AGA SPK-tilskudd</t>
        </is>
      </c>
      <c r="B131" s="36" t="inlineStr">
        <is>
          <t>Region Midt-Norge</t>
        </is>
      </c>
      <c r="C131" s="36" t="inlineStr">
        <is>
          <t>Karienborg, familiehjem</t>
        </is>
      </c>
      <c r="D131" s="26" t="n"/>
      <c r="E131" s="26" t="n"/>
      <c r="F131" s="26" t="n"/>
      <c r="G131" s="26" t="n"/>
      <c r="H131" s="26" t="n">
        <v>34</v>
      </c>
      <c r="I131" s="26" t="n"/>
      <c r="J131" s="19" t="n">
        <v>0</v>
      </c>
      <c r="K131" s="37" t="n">
        <v>0.065</v>
      </c>
    </row>
    <row r="132">
      <c r="A132" s="34" t="inlineStr">
        <is>
          <t>AGA SPK-tilskudd</t>
        </is>
      </c>
      <c r="B132" s="34" t="inlineStr">
        <is>
          <t>Region Midt-Norge</t>
        </is>
      </c>
      <c r="C132" s="34" t="inlineStr">
        <is>
          <t>Kollen ungdomsbase</t>
        </is>
      </c>
      <c r="D132" s="18" t="n">
        <v>241502</v>
      </c>
      <c r="E132" s="18" t="n">
        <v>212115</v>
      </c>
      <c r="F132" s="18" t="n">
        <v>190574</v>
      </c>
      <c r="G132" s="18" t="n">
        <v>202379</v>
      </c>
      <c r="H132" s="18" t="n">
        <v>207664</v>
      </c>
      <c r="I132" s="18" t="n">
        <v>202370</v>
      </c>
      <c r="J132" s="19" t="n">
        <v>188554.2351746824</v>
      </c>
      <c r="K132" s="35" t="n">
        <v>-0.03473828765480647</v>
      </c>
    </row>
    <row r="133">
      <c r="A133" s="36" t="inlineStr">
        <is>
          <t>AGA SPK-tilskudd</t>
        </is>
      </c>
      <c r="B133" s="36" t="inlineStr">
        <is>
          <t>Region Midt-Norge</t>
        </is>
      </c>
      <c r="C133" s="36" t="inlineStr">
        <is>
          <t>Kollen ungdomsbase</t>
        </is>
      </c>
      <c r="D133" s="26" t="n"/>
      <c r="E133" s="26" t="n"/>
      <c r="F133" s="26" t="n"/>
      <c r="G133" s="26" t="n"/>
      <c r="H133" s="26" t="n">
        <v>2041</v>
      </c>
      <c r="I133" s="26" t="n">
        <v>38803</v>
      </c>
      <c r="J133" s="19" t="n">
        <v>44011.33267499999</v>
      </c>
      <c r="K133" s="37" t="n">
        <v>0.065</v>
      </c>
    </row>
    <row r="134">
      <c r="A134" s="34" t="inlineStr">
        <is>
          <t>AGA SPK-tilskudd</t>
        </is>
      </c>
      <c r="B134" s="34" t="inlineStr">
        <is>
          <t>Region Midt-Norge</t>
        </is>
      </c>
      <c r="C134" s="34" t="inlineStr">
        <is>
          <t>Kollen ungdomsbase</t>
        </is>
      </c>
      <c r="D134" s="18" t="n">
        <v>78945</v>
      </c>
      <c r="E134" s="18" t="n">
        <v>62494</v>
      </c>
      <c r="F134" s="18" t="n">
        <v>101885</v>
      </c>
      <c r="G134" s="18" t="n">
        <v>170982</v>
      </c>
      <c r="H134" s="18" t="n">
        <v>273401</v>
      </c>
      <c r="I134" s="18" t="n">
        <v>134228</v>
      </c>
      <c r="J134" s="19" t="n">
        <v>165977.9954825528</v>
      </c>
      <c r="K134" s="35" t="n">
        <v>0.1119972111016891</v>
      </c>
    </row>
    <row r="135">
      <c r="A135" s="36" t="inlineStr">
        <is>
          <t>AGA SPK-tilskudd</t>
        </is>
      </c>
      <c r="B135" s="36" t="inlineStr">
        <is>
          <t>Region Midt-Norge</t>
        </is>
      </c>
      <c r="C135" s="36" t="inlineStr">
        <is>
          <t>Kollen ungdomsbase</t>
        </is>
      </c>
      <c r="D135" s="26" t="n">
        <v>59100</v>
      </c>
      <c r="E135" s="26" t="n">
        <v>57567</v>
      </c>
      <c r="F135" s="26" t="n">
        <v>61248</v>
      </c>
      <c r="G135" s="26" t="n">
        <v>86124</v>
      </c>
      <c r="H135" s="26" t="n">
        <v>92824</v>
      </c>
      <c r="I135" s="26" t="n">
        <v>102649</v>
      </c>
      <c r="J135" s="19" t="n">
        <v>128015.2237561132</v>
      </c>
      <c r="K135" s="37" t="n">
        <v>0.1167435387072837</v>
      </c>
    </row>
    <row r="136">
      <c r="A136" s="34" t="inlineStr">
        <is>
          <t>AGA SPK-tilskudd</t>
        </is>
      </c>
      <c r="B136" s="34" t="inlineStr">
        <is>
          <t>Region Midt-Norge</t>
        </is>
      </c>
      <c r="C136" s="34" t="inlineStr">
        <is>
          <t>Kollen ungdomsbase</t>
        </is>
      </c>
      <c r="D136" s="18" t="n">
        <v>3480</v>
      </c>
      <c r="E136" s="18" t="n"/>
      <c r="F136" s="18" t="n">
        <v>17982</v>
      </c>
      <c r="G136" s="18" t="n">
        <v>26736</v>
      </c>
      <c r="H136" s="18" t="n">
        <v>41044</v>
      </c>
      <c r="I136" s="18" t="n">
        <v>6130</v>
      </c>
      <c r="J136" s="19" t="n">
        <v>7687.992779009594</v>
      </c>
      <c r="K136" s="35" t="n">
        <v>0.1198922678180674</v>
      </c>
    </row>
    <row r="137">
      <c r="A137" s="36" t="inlineStr">
        <is>
          <t>AGA SPK-tilskudd</t>
        </is>
      </c>
      <c r="B137" s="36" t="inlineStr">
        <is>
          <t>Region Midt-Norge</t>
        </is>
      </c>
      <c r="C137" s="36" t="inlineStr">
        <is>
          <t>Kollen ungdomsbase</t>
        </is>
      </c>
      <c r="D137" s="26" t="n">
        <v>1809</v>
      </c>
      <c r="E137" s="26" t="n">
        <v>1803</v>
      </c>
      <c r="F137" s="26" t="n">
        <v>15348</v>
      </c>
      <c r="G137" s="26" t="n">
        <v>13380</v>
      </c>
      <c r="H137" s="26" t="n">
        <v>15287</v>
      </c>
      <c r="I137" s="26" t="n">
        <v>20833</v>
      </c>
      <c r="J137" s="19" t="n">
        <v>32551.5625</v>
      </c>
      <c r="K137" s="37" t="n">
        <v>0.25</v>
      </c>
    </row>
    <row r="138">
      <c r="A138" s="34" t="inlineStr">
        <is>
          <t>AGA SPK-tilskudd</t>
        </is>
      </c>
      <c r="B138" s="34" t="inlineStr">
        <is>
          <t>Region Midt-Norge</t>
        </is>
      </c>
      <c r="C138" s="34" t="inlineStr">
        <is>
          <t>Kollen ungdomsbase</t>
        </is>
      </c>
      <c r="D138" s="18" t="n">
        <v>2366</v>
      </c>
      <c r="E138" s="18" t="n">
        <v>3095</v>
      </c>
      <c r="F138" s="18" t="n">
        <v>15298</v>
      </c>
      <c r="G138" s="18" t="n">
        <v>20035</v>
      </c>
      <c r="H138" s="18" t="n">
        <v>14079</v>
      </c>
      <c r="I138" s="18" t="n">
        <v>11173</v>
      </c>
      <c r="J138" s="19" t="n">
        <v>17457.8125</v>
      </c>
      <c r="K138" s="35" t="n">
        <v>0.25</v>
      </c>
    </row>
    <row r="139">
      <c r="A139" s="36" t="inlineStr">
        <is>
          <t>AGA SPK-tilskudd</t>
        </is>
      </c>
      <c r="B139" s="36" t="inlineStr">
        <is>
          <t>Region Midt-Norge</t>
        </is>
      </c>
      <c r="C139" s="36" t="inlineStr">
        <is>
          <t>Kollen ungdomsbase</t>
        </is>
      </c>
      <c r="D139" s="26" t="n"/>
      <c r="E139" s="26" t="n">
        <v>30843</v>
      </c>
      <c r="F139" s="26" t="n">
        <v>14177</v>
      </c>
      <c r="G139" s="26" t="n">
        <v>16789</v>
      </c>
      <c r="H139" s="26" t="n">
        <v>21130</v>
      </c>
      <c r="I139" s="26" t="n">
        <v>37352</v>
      </c>
      <c r="J139" s="19" t="n">
        <v>41104.79479549456</v>
      </c>
      <c r="K139" s="37" t="n">
        <v>0.04903339014457186</v>
      </c>
    </row>
    <row r="140">
      <c r="A140" s="34" t="inlineStr">
        <is>
          <t>AGA SPK-tilskudd</t>
        </is>
      </c>
      <c r="B140" s="34" t="inlineStr">
        <is>
          <t>Region Midt-Norge</t>
        </is>
      </c>
      <c r="C140" s="34" t="inlineStr">
        <is>
          <t>Kollen ungdomsbase</t>
        </is>
      </c>
      <c r="D140" s="18" t="n">
        <v>9038</v>
      </c>
      <c r="E140" s="18" t="n">
        <v>5727</v>
      </c>
      <c r="F140" s="18" t="n">
        <v>7089</v>
      </c>
      <c r="G140" s="18" t="n">
        <v>10053</v>
      </c>
      <c r="H140" s="18" t="n">
        <v>7073</v>
      </c>
      <c r="I140" s="18" t="n">
        <v>12422</v>
      </c>
      <c r="J140" s="19" t="n">
        <v>14107.14726802959</v>
      </c>
      <c r="K140" s="35" t="n">
        <v>0.06567269326316483</v>
      </c>
    </row>
    <row r="141">
      <c r="A141" s="36" t="inlineStr">
        <is>
          <t>AGA SPK-tilskudd</t>
        </is>
      </c>
      <c r="B141" s="36" t="inlineStr">
        <is>
          <t>Region Midt-Norge</t>
        </is>
      </c>
      <c r="C141" s="36" t="inlineStr">
        <is>
          <t>Kollen ungdomsbase</t>
        </is>
      </c>
      <c r="D141" s="26" t="n">
        <v>953</v>
      </c>
      <c r="E141" s="26" t="n">
        <v>728</v>
      </c>
      <c r="F141" s="26" t="n">
        <v>7924</v>
      </c>
      <c r="G141" s="26" t="n">
        <v>9814</v>
      </c>
      <c r="H141" s="26" t="n">
        <v>8589</v>
      </c>
      <c r="I141" s="26" t="n">
        <v>12322</v>
      </c>
      <c r="J141" s="19" t="n">
        <v>19253.125</v>
      </c>
      <c r="K141" s="37" t="n">
        <v>0.25</v>
      </c>
    </row>
    <row r="142">
      <c r="A142" s="34" t="inlineStr">
        <is>
          <t>AGA SPK-tilskudd</t>
        </is>
      </c>
      <c r="B142" s="34" t="inlineStr">
        <is>
          <t>Region Midt-Norge</t>
        </is>
      </c>
      <c r="C142" s="34" t="inlineStr">
        <is>
          <t>Kollen ungdomsbase</t>
        </is>
      </c>
      <c r="D142" s="18" t="n"/>
      <c r="E142" s="18" t="n">
        <v>5735</v>
      </c>
      <c r="F142" s="18" t="n">
        <v>6730</v>
      </c>
      <c r="G142" s="18" t="n">
        <v>13885</v>
      </c>
      <c r="H142" s="18" t="n"/>
      <c r="I142" s="18" t="n">
        <v>20415</v>
      </c>
      <c r="J142" s="19" t="n">
        <v>31898.4375</v>
      </c>
      <c r="K142" s="35" t="n">
        <v>0.25</v>
      </c>
    </row>
    <row r="143">
      <c r="A143" s="36" t="inlineStr">
        <is>
          <t>AGA SPK-tilskudd</t>
        </is>
      </c>
      <c r="B143" s="36" t="inlineStr">
        <is>
          <t>Region Midt-Norge</t>
        </is>
      </c>
      <c r="C143" s="36" t="inlineStr">
        <is>
          <t>Kollen ungdomsbase</t>
        </is>
      </c>
      <c r="D143" s="26" t="n"/>
      <c r="E143" s="26" t="n">
        <v>535</v>
      </c>
      <c r="F143" s="26" t="n"/>
      <c r="G143" s="26" t="n"/>
      <c r="H143" s="26" t="n"/>
      <c r="I143" s="26" t="n"/>
      <c r="J143" s="19" t="n">
        <v>0</v>
      </c>
      <c r="K143" s="37" t="n">
        <v>0.065</v>
      </c>
    </row>
    <row r="144">
      <c r="A144" s="34" t="inlineStr">
        <is>
          <t>AGA SPK-tilskudd</t>
        </is>
      </c>
      <c r="B144" s="34" t="inlineStr">
        <is>
          <t>Region Midt-Norge</t>
        </is>
      </c>
      <c r="C144" s="34" t="inlineStr">
        <is>
          <t>Kollen ungdomsbase</t>
        </is>
      </c>
      <c r="D144" s="18" t="n"/>
      <c r="E144" s="18" t="n"/>
      <c r="F144" s="18" t="n"/>
      <c r="G144" s="18" t="n"/>
      <c r="H144" s="18" t="n"/>
      <c r="I144" s="18" t="n">
        <v>659</v>
      </c>
      <c r="J144" s="19" t="n">
        <v>747.4542749999998</v>
      </c>
      <c r="K144" s="35" t="n">
        <v>0.065</v>
      </c>
    </row>
    <row r="145">
      <c r="A145" s="36" t="inlineStr">
        <is>
          <t>AGA SPK-tilskudd</t>
        </is>
      </c>
      <c r="B145" s="36" t="inlineStr">
        <is>
          <t>Region Midt-Norge</t>
        </is>
      </c>
      <c r="C145" s="36" t="inlineStr">
        <is>
          <t>Kollen ungdomsbase</t>
        </is>
      </c>
      <c r="D145" s="26" t="n">
        <v>11390</v>
      </c>
      <c r="E145" s="26" t="n"/>
      <c r="F145" s="26" t="n"/>
      <c r="G145" s="26" t="n"/>
      <c r="H145" s="26" t="n"/>
      <c r="I145" s="26" t="n"/>
      <c r="J145" s="19" t="n">
        <v>0</v>
      </c>
      <c r="K145" s="37" t="n">
        <v>0.065</v>
      </c>
    </row>
    <row r="146">
      <c r="A146" s="34" t="inlineStr">
        <is>
          <t>AGA SPK-tilskudd</t>
        </is>
      </c>
      <c r="B146" s="34" t="inlineStr">
        <is>
          <t>Region Midt-Norge</t>
        </is>
      </c>
      <c r="C146" s="34" t="inlineStr">
        <is>
          <t>Kollen ungdomsbase</t>
        </is>
      </c>
      <c r="D146" s="18" t="n"/>
      <c r="E146" s="18" t="n"/>
      <c r="F146" s="18" t="n"/>
      <c r="G146" s="18" t="n">
        <v>-13706</v>
      </c>
      <c r="H146" s="18" t="n"/>
      <c r="I146" s="18" t="n"/>
      <c r="J146" s="19" t="n">
        <v>0</v>
      </c>
      <c r="K146" s="35" t="n">
        <v>0.065</v>
      </c>
    </row>
    <row r="147">
      <c r="A147" s="36" t="inlineStr">
        <is>
          <t>AGA SPK-tilskudd</t>
        </is>
      </c>
      <c r="B147" s="36" t="inlineStr">
        <is>
          <t>Region Midt-Norge</t>
        </is>
      </c>
      <c r="C147" s="36" t="inlineStr">
        <is>
          <t>Kollen ungdomsbase</t>
        </is>
      </c>
      <c r="D147" s="26" t="n">
        <v>-59670</v>
      </c>
      <c r="E147" s="26" t="n">
        <v>-65374</v>
      </c>
      <c r="F147" s="26" t="n">
        <v>-60906</v>
      </c>
      <c r="G147" s="26" t="n">
        <v>-61937</v>
      </c>
      <c r="H147" s="26" t="n">
        <v>-66297</v>
      </c>
      <c r="I147" s="26" t="n">
        <v>-65900</v>
      </c>
      <c r="J147" s="19" t="n">
        <v>-74745.42749999999</v>
      </c>
      <c r="K147" s="37" t="n">
        <v>0.065</v>
      </c>
    </row>
    <row r="148">
      <c r="A148" s="34" t="inlineStr">
        <is>
          <t>AGA SPK-tilskudd</t>
        </is>
      </c>
      <c r="B148" s="34" t="inlineStr">
        <is>
          <t>Region Midt-Norge</t>
        </is>
      </c>
      <c r="C148" s="34" t="inlineStr">
        <is>
          <t>Kollen ungdomsbase</t>
        </is>
      </c>
      <c r="D148" s="18" t="n"/>
      <c r="E148" s="18" t="n"/>
      <c r="F148" s="18" t="n"/>
      <c r="G148" s="18" t="n"/>
      <c r="H148" s="18" t="n"/>
      <c r="I148" s="18" t="n">
        <v>-20000</v>
      </c>
      <c r="J148" s="19" t="n">
        <v>-22684.5</v>
      </c>
      <c r="K148" s="35" t="n">
        <v>0.065</v>
      </c>
    </row>
    <row r="149">
      <c r="A149" s="36" t="inlineStr">
        <is>
          <t>AGA SPK-tilskudd</t>
        </is>
      </c>
      <c r="B149" s="36" t="inlineStr">
        <is>
          <t>Region Midt-Norge</t>
        </is>
      </c>
      <c r="C149" s="36" t="inlineStr">
        <is>
          <t>Kollen ungdomsbase</t>
        </is>
      </c>
      <c r="D149" s="26" t="n">
        <v>-293095</v>
      </c>
      <c r="E149" s="26" t="n">
        <v>-1048042</v>
      </c>
      <c r="F149" s="26" t="n">
        <v>-605218</v>
      </c>
      <c r="G149" s="26" t="n">
        <v>-471287</v>
      </c>
      <c r="H149" s="26" t="n">
        <v>-698866</v>
      </c>
      <c r="I149" s="26" t="n">
        <v>-645436</v>
      </c>
      <c r="J149" s="19" t="n">
        <v>-732069.6470999998</v>
      </c>
      <c r="K149" s="37" t="n">
        <v>0.065</v>
      </c>
    </row>
    <row r="150">
      <c r="A150" s="34" t="inlineStr">
        <is>
          <t>AGA SPK-tilskudd</t>
        </is>
      </c>
      <c r="B150" s="34" t="inlineStr">
        <is>
          <t>Region Midt-Norge</t>
        </is>
      </c>
      <c r="C150" s="34" t="inlineStr">
        <is>
          <t>Kollen ungdomsbase</t>
        </is>
      </c>
      <c r="D150" s="18" t="n">
        <v>-669315</v>
      </c>
      <c r="E150" s="18" t="n">
        <v>-634757</v>
      </c>
      <c r="F150" s="18" t="n">
        <v>-1319516</v>
      </c>
      <c r="G150" s="18" t="n">
        <v>-1018681</v>
      </c>
      <c r="H150" s="18" t="n">
        <v>-696851</v>
      </c>
      <c r="I150" s="18" t="n">
        <v>-762290</v>
      </c>
      <c r="J150" s="19" t="n">
        <v>-864608.3752499998</v>
      </c>
      <c r="K150" s="35" t="n">
        <v>0.065</v>
      </c>
    </row>
    <row r="151">
      <c r="A151" s="36" t="inlineStr">
        <is>
          <t>AGA SPK-tilskudd</t>
        </is>
      </c>
      <c r="B151" s="36" t="inlineStr">
        <is>
          <t>Region Midt-Norge</t>
        </is>
      </c>
      <c r="C151" s="36" t="inlineStr">
        <is>
          <t>Kvammen akuttsenter</t>
        </is>
      </c>
      <c r="D151" s="26" t="n">
        <v>247634</v>
      </c>
      <c r="E151" s="26" t="n">
        <v>220538</v>
      </c>
      <c r="F151" s="26" t="n">
        <v>208935</v>
      </c>
      <c r="G151" s="26" t="n">
        <v>211735</v>
      </c>
      <c r="H151" s="26" t="n">
        <v>-257</v>
      </c>
      <c r="I151" s="26" t="n">
        <v>117</v>
      </c>
      <c r="J151" s="19" t="n">
        <v>65.8125</v>
      </c>
      <c r="K151" s="37" t="n">
        <v>-0.25</v>
      </c>
    </row>
    <row r="152">
      <c r="A152" s="34" t="inlineStr">
        <is>
          <t>AGA SPK-tilskudd</t>
        </is>
      </c>
      <c r="B152" s="34" t="inlineStr">
        <is>
          <t>Region Midt-Norge</t>
        </is>
      </c>
      <c r="C152" s="34" t="inlineStr">
        <is>
          <t>Kvammen akuttsenter</t>
        </is>
      </c>
      <c r="D152" s="18" t="n">
        <v>127098</v>
      </c>
      <c r="E152" s="18" t="n">
        <v>72145</v>
      </c>
      <c r="F152" s="18" t="n">
        <v>952</v>
      </c>
      <c r="G152" s="18" t="n"/>
      <c r="H152" s="18" t="n"/>
      <c r="I152" s="18" t="n"/>
      <c r="J152" s="19" t="n">
        <v>0</v>
      </c>
      <c r="K152" s="35" t="n">
        <v>0.065</v>
      </c>
    </row>
    <row r="153">
      <c r="A153" s="36" t="inlineStr">
        <is>
          <t>AGA SPK-tilskudd</t>
        </is>
      </c>
      <c r="B153" s="36" t="inlineStr">
        <is>
          <t>Region Midt-Norge</t>
        </is>
      </c>
      <c r="C153" s="36" t="inlineStr">
        <is>
          <t>Kvammen akuttsenter</t>
        </is>
      </c>
      <c r="D153" s="26" t="n">
        <v>41250</v>
      </c>
      <c r="E153" s="26" t="n">
        <v>27309</v>
      </c>
      <c r="F153" s="26" t="n">
        <v>95727</v>
      </c>
      <c r="G153" s="26" t="n">
        <v>69560</v>
      </c>
      <c r="H153" s="26" t="n"/>
      <c r="I153" s="26" t="n">
        <v>112</v>
      </c>
      <c r="J153" s="19" t="n">
        <v>63</v>
      </c>
      <c r="K153" s="37" t="n">
        <v>-0.25</v>
      </c>
    </row>
    <row r="154">
      <c r="A154" s="34" t="inlineStr">
        <is>
          <t>AGA SPK-tilskudd</t>
        </is>
      </c>
      <c r="B154" s="34" t="inlineStr">
        <is>
          <t>Region Midt-Norge</t>
        </is>
      </c>
      <c r="C154" s="34" t="inlineStr">
        <is>
          <t>Kvammen akuttsenter</t>
        </is>
      </c>
      <c r="D154" s="18" t="n">
        <v>63700</v>
      </c>
      <c r="E154" s="18" t="n">
        <v>71777</v>
      </c>
      <c r="F154" s="18" t="n">
        <v>71677</v>
      </c>
      <c r="G154" s="18" t="n">
        <v>82969</v>
      </c>
      <c r="H154" s="18" t="n">
        <v>1</v>
      </c>
      <c r="I154" s="18" t="n">
        <v>17</v>
      </c>
      <c r="J154" s="19" t="n">
        <v>9.5625</v>
      </c>
      <c r="K154" s="35" t="n">
        <v>-0.25</v>
      </c>
    </row>
    <row r="155">
      <c r="A155" s="36" t="inlineStr">
        <is>
          <t>AGA SPK-tilskudd</t>
        </is>
      </c>
      <c r="B155" s="36" t="inlineStr">
        <is>
          <t>Region Midt-Norge</t>
        </is>
      </c>
      <c r="C155" s="36" t="inlineStr">
        <is>
          <t>Kvammen akuttsenter</t>
        </is>
      </c>
      <c r="D155" s="26" t="n">
        <v>91968</v>
      </c>
      <c r="E155" s="26" t="n">
        <v>10652</v>
      </c>
      <c r="F155" s="26" t="n">
        <v>74193</v>
      </c>
      <c r="G155" s="26" t="n">
        <v>55173</v>
      </c>
      <c r="H155" s="26" t="n">
        <v>2285</v>
      </c>
      <c r="I155" s="26" t="n">
        <v>9725</v>
      </c>
      <c r="J155" s="19" t="n">
        <v>5470.3125</v>
      </c>
      <c r="K155" s="37" t="n">
        <v>-0.25</v>
      </c>
    </row>
    <row r="156">
      <c r="A156" s="34" t="inlineStr">
        <is>
          <t>AGA SPK-tilskudd</t>
        </is>
      </c>
      <c r="B156" s="34" t="inlineStr">
        <is>
          <t>Region Midt-Norge</t>
        </is>
      </c>
      <c r="C156" s="34" t="inlineStr">
        <is>
          <t>Kvammen akuttsenter</t>
        </is>
      </c>
      <c r="D156" s="18" t="n">
        <v>2305</v>
      </c>
      <c r="E156" s="18" t="n">
        <v>2385</v>
      </c>
      <c r="F156" s="18" t="n">
        <v>4846</v>
      </c>
      <c r="G156" s="18" t="n">
        <v>4106</v>
      </c>
      <c r="H156" s="18" t="n">
        <v>4446</v>
      </c>
      <c r="I156" s="18" t="n">
        <v>68</v>
      </c>
      <c r="J156" s="19" t="n">
        <v>38.25</v>
      </c>
      <c r="K156" s="35" t="n">
        <v>-0.25</v>
      </c>
    </row>
    <row r="157">
      <c r="A157" s="36" t="inlineStr">
        <is>
          <t>AGA SPK-tilskudd</t>
        </is>
      </c>
      <c r="B157" s="36" t="inlineStr">
        <is>
          <t>Region Midt-Norge</t>
        </is>
      </c>
      <c r="C157" s="36" t="inlineStr">
        <is>
          <t>Kvammen akuttsenter</t>
        </is>
      </c>
      <c r="D157" s="26" t="n">
        <v>2438</v>
      </c>
      <c r="E157" s="26" t="n">
        <v>1704</v>
      </c>
      <c r="F157" s="26" t="n">
        <v>3988</v>
      </c>
      <c r="G157" s="26" t="n">
        <v>1024</v>
      </c>
      <c r="H157" s="26" t="n">
        <v>306</v>
      </c>
      <c r="I157" s="26" t="n"/>
      <c r="J157" s="19" t="n">
        <v>0</v>
      </c>
      <c r="K157" s="37" t="n">
        <v>0.065</v>
      </c>
    </row>
    <row r="158">
      <c r="A158" s="34" t="inlineStr">
        <is>
          <t>AGA SPK-tilskudd</t>
        </is>
      </c>
      <c r="B158" s="34" t="inlineStr">
        <is>
          <t>Region Midt-Norge</t>
        </is>
      </c>
      <c r="C158" s="34" t="inlineStr">
        <is>
          <t>Kvammen akuttsenter</t>
        </is>
      </c>
      <c r="D158" s="18" t="n">
        <v>16873</v>
      </c>
      <c r="E158" s="18" t="n">
        <v>11471</v>
      </c>
      <c r="F158" s="18" t="n">
        <v>25695</v>
      </c>
      <c r="G158" s="18" t="n">
        <v>14133</v>
      </c>
      <c r="H158" s="18" t="n"/>
      <c r="I158" s="18" t="n"/>
      <c r="J158" s="19" t="n">
        <v>0</v>
      </c>
      <c r="K158" s="35" t="n">
        <v>0.065</v>
      </c>
    </row>
    <row r="159">
      <c r="A159" s="36" t="inlineStr">
        <is>
          <t>AGA SPK-tilskudd</t>
        </is>
      </c>
      <c r="B159" s="36" t="inlineStr">
        <is>
          <t>Region Midt-Norge</t>
        </is>
      </c>
      <c r="C159" s="36" t="inlineStr">
        <is>
          <t>Kvammen akuttsenter</t>
        </is>
      </c>
      <c r="D159" s="26" t="n">
        <v>13880</v>
      </c>
      <c r="E159" s="26" t="n">
        <v>15499</v>
      </c>
      <c r="F159" s="26" t="n">
        <v>32175</v>
      </c>
      <c r="G159" s="26" t="n">
        <v>16667</v>
      </c>
      <c r="H159" s="26" t="n">
        <v>1000</v>
      </c>
      <c r="I159" s="26" t="n"/>
      <c r="J159" s="19" t="n">
        <v>0</v>
      </c>
      <c r="K159" s="37" t="n">
        <v>0.065</v>
      </c>
    </row>
    <row r="160">
      <c r="A160" s="34" t="inlineStr">
        <is>
          <t>AGA SPK-tilskudd</t>
        </is>
      </c>
      <c r="B160" s="34" t="inlineStr">
        <is>
          <t>Region Midt-Norge</t>
        </is>
      </c>
      <c r="C160" s="34" t="inlineStr">
        <is>
          <t>Kvammen akuttsenter</t>
        </is>
      </c>
      <c r="D160" s="18" t="n">
        <v>1204</v>
      </c>
      <c r="E160" s="18" t="n">
        <v>783</v>
      </c>
      <c r="F160" s="18" t="n">
        <v>1543</v>
      </c>
      <c r="G160" s="18" t="n">
        <v>1350</v>
      </c>
      <c r="H160" s="18" t="n">
        <v>2755</v>
      </c>
      <c r="I160" s="18" t="n">
        <v>29</v>
      </c>
      <c r="J160" s="19" t="n">
        <v>16.3125</v>
      </c>
      <c r="K160" s="35" t="n">
        <v>-0.25</v>
      </c>
    </row>
    <row r="161">
      <c r="A161" s="36" t="inlineStr">
        <is>
          <t>AGA SPK-tilskudd</t>
        </is>
      </c>
      <c r="B161" s="36" t="inlineStr">
        <is>
          <t>Region Midt-Norge</t>
        </is>
      </c>
      <c r="C161" s="36" t="inlineStr">
        <is>
          <t>Kvammen akuttsenter</t>
        </is>
      </c>
      <c r="D161" s="26" t="n"/>
      <c r="E161" s="26" t="n">
        <v>4040</v>
      </c>
      <c r="F161" s="26" t="n"/>
      <c r="G161" s="26" t="n">
        <v>4090</v>
      </c>
      <c r="H161" s="26" t="n"/>
      <c r="I161" s="26" t="n"/>
      <c r="J161" s="19" t="n">
        <v>0</v>
      </c>
      <c r="K161" s="37" t="n">
        <v>0.065</v>
      </c>
    </row>
    <row r="162">
      <c r="A162" s="34" t="inlineStr">
        <is>
          <t>AGA SPK-tilskudd</t>
        </is>
      </c>
      <c r="B162" s="34" t="inlineStr">
        <is>
          <t>Region Midt-Norge</t>
        </is>
      </c>
      <c r="C162" s="34" t="inlineStr">
        <is>
          <t>Kvammen akuttsenter</t>
        </is>
      </c>
      <c r="D162" s="18" t="n"/>
      <c r="E162" s="18" t="n"/>
      <c r="F162" s="18" t="n">
        <v>-24565</v>
      </c>
      <c r="G162" s="18" t="n">
        <v>-24480</v>
      </c>
      <c r="H162" s="18" t="n"/>
      <c r="I162" s="18" t="n"/>
      <c r="J162" s="19" t="n">
        <v>0</v>
      </c>
      <c r="K162" s="35" t="n">
        <v>0.065</v>
      </c>
    </row>
    <row r="163">
      <c r="A163" s="36" t="inlineStr">
        <is>
          <t>AGA SPK-tilskudd</t>
        </is>
      </c>
      <c r="B163" s="36" t="inlineStr">
        <is>
          <t>Region Midt-Norge</t>
        </is>
      </c>
      <c r="C163" s="36" t="inlineStr">
        <is>
          <t>Kvammen akuttsenter</t>
        </is>
      </c>
      <c r="D163" s="26" t="n">
        <v>2147</v>
      </c>
      <c r="E163" s="26" t="n">
        <v>-14691</v>
      </c>
      <c r="F163" s="26" t="n">
        <v>-28301</v>
      </c>
      <c r="G163" s="26" t="n">
        <v>-22079</v>
      </c>
      <c r="H163" s="26" t="n">
        <v>-202</v>
      </c>
      <c r="I163" s="26" t="n">
        <v>-31</v>
      </c>
      <c r="J163" s="19" t="n">
        <v>-35.16097499999999</v>
      </c>
      <c r="K163" s="37" t="n">
        <v>0.065</v>
      </c>
    </row>
    <row r="164">
      <c r="A164" s="34" t="inlineStr">
        <is>
          <t>AGA SPK-tilskudd</t>
        </is>
      </c>
      <c r="B164" s="34" t="inlineStr">
        <is>
          <t>Region Midt-Norge</t>
        </is>
      </c>
      <c r="C164" s="34" t="inlineStr">
        <is>
          <t>Kvammen akuttsenter</t>
        </is>
      </c>
      <c r="D164" s="18" t="n"/>
      <c r="E164" s="18" t="n"/>
      <c r="F164" s="18" t="n"/>
      <c r="G164" s="18" t="n"/>
      <c r="H164" s="18" t="n"/>
      <c r="I164" s="18" t="n">
        <v>-24480</v>
      </c>
      <c r="J164" s="19" t="n">
        <v>-27765.82799999999</v>
      </c>
      <c r="K164" s="35" t="n">
        <v>0.065</v>
      </c>
    </row>
    <row r="165">
      <c r="A165" s="36" t="inlineStr">
        <is>
          <t>AGA SPK-tilskudd</t>
        </is>
      </c>
      <c r="B165" s="36" t="inlineStr">
        <is>
          <t>Region Midt-Norge</t>
        </is>
      </c>
      <c r="C165" s="36" t="inlineStr">
        <is>
          <t>Kvammen akuttsenter</t>
        </is>
      </c>
      <c r="D165" s="26" t="n">
        <v>-294464</v>
      </c>
      <c r="E165" s="26" t="n">
        <v>-124783</v>
      </c>
      <c r="F165" s="26" t="n">
        <v>-46862</v>
      </c>
      <c r="G165" s="26" t="n">
        <v>-246316</v>
      </c>
      <c r="H165" s="26" t="n">
        <v>-2096</v>
      </c>
      <c r="I165" s="26" t="n"/>
      <c r="J165" s="19" t="n">
        <v>0</v>
      </c>
      <c r="K165" s="37" t="n">
        <v>0.065</v>
      </c>
    </row>
    <row r="166">
      <c r="A166" s="34" t="inlineStr">
        <is>
          <t>AGA SPK-tilskudd</t>
        </is>
      </c>
      <c r="B166" s="34" t="inlineStr">
        <is>
          <t>Region Midt-Norge</t>
        </is>
      </c>
      <c r="C166" s="34" t="inlineStr">
        <is>
          <t>Kvammen akuttsenter</t>
        </is>
      </c>
      <c r="D166" s="18" t="n">
        <v>-1937776</v>
      </c>
      <c r="E166" s="18" t="n">
        <v>-845820</v>
      </c>
      <c r="F166" s="18" t="n">
        <v>-1157853</v>
      </c>
      <c r="G166" s="18" t="n">
        <v>-821893</v>
      </c>
      <c r="H166" s="18" t="n">
        <v>-29159</v>
      </c>
      <c r="I166" s="18" t="n">
        <v>-300</v>
      </c>
      <c r="J166" s="19" t="n">
        <v>-340.2674999999999</v>
      </c>
      <c r="K166" s="35" t="n">
        <v>0.065</v>
      </c>
    </row>
    <row r="167">
      <c r="A167" s="36" t="inlineStr">
        <is>
          <t>AGA SPK-tilskudd</t>
        </is>
      </c>
      <c r="B167" s="36" t="inlineStr">
        <is>
          <t>Region Midt-Norge</t>
        </is>
      </c>
      <c r="C167" s="36" t="inlineStr">
        <is>
          <t>Kvammen akuttsenter, avdeling Fannrem</t>
        </is>
      </c>
      <c r="D167" s="26" t="n"/>
      <c r="E167" s="26" t="n"/>
      <c r="F167" s="26" t="n"/>
      <c r="G167" s="26" t="n"/>
      <c r="H167" s="26" t="n">
        <v>78577</v>
      </c>
      <c r="I167" s="26" t="n">
        <v>187135</v>
      </c>
      <c r="J167" s="19" t="n">
        <v>212253.195375</v>
      </c>
      <c r="K167" s="37" t="n">
        <v>0.065</v>
      </c>
    </row>
    <row r="168">
      <c r="A168" s="34" t="inlineStr">
        <is>
          <t>AGA SPK-tilskudd</t>
        </is>
      </c>
      <c r="B168" s="34" t="inlineStr">
        <is>
          <t>Region Midt-Norge</t>
        </is>
      </c>
      <c r="C168" s="34" t="inlineStr">
        <is>
          <t>Kvammen akuttsenter, avdeling Fannrem</t>
        </is>
      </c>
      <c r="D168" s="18" t="n"/>
      <c r="E168" s="18" t="n"/>
      <c r="F168" s="18" t="n"/>
      <c r="G168" s="18" t="n"/>
      <c r="H168" s="18" t="n">
        <v>20745</v>
      </c>
      <c r="I168" s="18" t="n">
        <v>40542</v>
      </c>
      <c r="J168" s="19" t="n">
        <v>45983.74994999999</v>
      </c>
      <c r="K168" s="35" t="n">
        <v>0.065</v>
      </c>
    </row>
    <row r="169">
      <c r="A169" s="36" t="inlineStr">
        <is>
          <t>AGA SPK-tilskudd</t>
        </is>
      </c>
      <c r="B169" s="36" t="inlineStr">
        <is>
          <t>Region Midt-Norge</t>
        </is>
      </c>
      <c r="C169" s="36" t="inlineStr">
        <is>
          <t>Kvammen akuttsenter, avdeling Fannrem</t>
        </is>
      </c>
      <c r="D169" s="26" t="n"/>
      <c r="E169" s="26" t="n"/>
      <c r="F169" s="26" t="n"/>
      <c r="G169" s="26" t="n"/>
      <c r="H169" s="26" t="n">
        <v>10929</v>
      </c>
      <c r="I169" s="26" t="n">
        <v>40152</v>
      </c>
      <c r="J169" s="19" t="n">
        <v>45541.40219999999</v>
      </c>
      <c r="K169" s="37" t="n">
        <v>0.065</v>
      </c>
    </row>
    <row r="170">
      <c r="A170" s="34" t="inlineStr">
        <is>
          <t>AGA SPK-tilskudd</t>
        </is>
      </c>
      <c r="B170" s="34" t="inlineStr">
        <is>
          <t>Region Midt-Norge</t>
        </is>
      </c>
      <c r="C170" s="34" t="inlineStr">
        <is>
          <t>Kvammen akuttsenter, avdeling Fannrem</t>
        </is>
      </c>
      <c r="D170" s="18" t="n"/>
      <c r="E170" s="18" t="n"/>
      <c r="F170" s="18" t="n"/>
      <c r="G170" s="18" t="n"/>
      <c r="H170" s="18" t="n">
        <v>30947</v>
      </c>
      <c r="I170" s="18" t="n">
        <v>90734</v>
      </c>
      <c r="J170" s="19" t="n">
        <v>102912.77115</v>
      </c>
      <c r="K170" s="35" t="n">
        <v>0.065</v>
      </c>
    </row>
    <row r="171">
      <c r="A171" s="36" t="inlineStr">
        <is>
          <t>AGA SPK-tilskudd</t>
        </is>
      </c>
      <c r="B171" s="36" t="inlineStr">
        <is>
          <t>Region Midt-Norge</t>
        </is>
      </c>
      <c r="C171" s="36" t="inlineStr">
        <is>
          <t>Kvammen akuttsenter, avdeling Fannrem</t>
        </is>
      </c>
      <c r="D171" s="26" t="n"/>
      <c r="E171" s="26" t="n"/>
      <c r="F171" s="26" t="n"/>
      <c r="G171" s="26" t="n"/>
      <c r="H171" s="26" t="n">
        <v>2233</v>
      </c>
      <c r="I171" s="26" t="n"/>
      <c r="J171" s="19" t="n">
        <v>0</v>
      </c>
      <c r="K171" s="37" t="n">
        <v>0.065</v>
      </c>
    </row>
    <row r="172">
      <c r="A172" s="34" t="inlineStr">
        <is>
          <t>AGA SPK-tilskudd</t>
        </is>
      </c>
      <c r="B172" s="34" t="inlineStr">
        <is>
          <t>Region Midt-Norge</t>
        </is>
      </c>
      <c r="C172" s="34" t="inlineStr">
        <is>
          <t>Kvammen akuttsenter, avdeling Fannrem</t>
        </is>
      </c>
      <c r="D172" s="18" t="n"/>
      <c r="E172" s="18" t="n"/>
      <c r="F172" s="18" t="n"/>
      <c r="G172" s="18" t="n"/>
      <c r="H172" s="18" t="n">
        <v>2394</v>
      </c>
      <c r="I172" s="18" t="n">
        <v>3408</v>
      </c>
      <c r="J172" s="19" t="n">
        <v>3865.438799999999</v>
      </c>
      <c r="K172" s="35" t="n">
        <v>0.065</v>
      </c>
    </row>
    <row r="173">
      <c r="A173" s="36" t="inlineStr">
        <is>
          <t>AGA SPK-tilskudd</t>
        </is>
      </c>
      <c r="B173" s="36" t="inlineStr">
        <is>
          <t>Region Midt-Norge</t>
        </is>
      </c>
      <c r="C173" s="36" t="inlineStr">
        <is>
          <t>Kvammen akuttsenter, avdeling Fannrem</t>
        </is>
      </c>
      <c r="D173" s="26" t="n"/>
      <c r="E173" s="26" t="n"/>
      <c r="F173" s="26" t="n"/>
      <c r="G173" s="26" t="n"/>
      <c r="H173" s="26" t="n"/>
      <c r="I173" s="26" t="n">
        <v>1017</v>
      </c>
      <c r="J173" s="19" t="n">
        <v>1153.506825</v>
      </c>
      <c r="K173" s="37" t="n">
        <v>0.065</v>
      </c>
    </row>
    <row r="174">
      <c r="A174" s="34" t="inlineStr">
        <is>
          <t>AGA SPK-tilskudd</t>
        </is>
      </c>
      <c r="B174" s="34" t="inlineStr">
        <is>
          <t>Region Midt-Norge</t>
        </is>
      </c>
      <c r="C174" s="34" t="inlineStr">
        <is>
          <t>Kvammen akuttsenter, avdeling Fannrem</t>
        </is>
      </c>
      <c r="D174" s="18" t="n"/>
      <c r="E174" s="18" t="n"/>
      <c r="F174" s="18" t="n"/>
      <c r="G174" s="18" t="n"/>
      <c r="H174" s="18" t="n">
        <v>27222</v>
      </c>
      <c r="I174" s="18" t="n">
        <v>18206</v>
      </c>
      <c r="J174" s="19" t="n">
        <v>20649.70035</v>
      </c>
      <c r="K174" s="35" t="n">
        <v>0.065</v>
      </c>
    </row>
    <row r="175">
      <c r="A175" s="36" t="inlineStr">
        <is>
          <t>AGA SPK-tilskudd</t>
        </is>
      </c>
      <c r="B175" s="36" t="inlineStr">
        <is>
          <t>Region Midt-Norge</t>
        </is>
      </c>
      <c r="C175" s="36" t="inlineStr">
        <is>
          <t>Kvammen akuttsenter, avdeling Fannrem</t>
        </is>
      </c>
      <c r="D175" s="26" t="n"/>
      <c r="E175" s="26" t="n"/>
      <c r="F175" s="26" t="n"/>
      <c r="G175" s="26" t="n"/>
      <c r="H175" s="26" t="n">
        <v>1117</v>
      </c>
      <c r="I175" s="26" t="n">
        <v>12848</v>
      </c>
      <c r="J175" s="19" t="n">
        <v>14572.5228</v>
      </c>
      <c r="K175" s="37" t="n">
        <v>0.065</v>
      </c>
    </row>
    <row r="176">
      <c r="A176" s="34" t="inlineStr">
        <is>
          <t>AGA SPK-tilskudd</t>
        </is>
      </c>
      <c r="B176" s="34" t="inlineStr">
        <is>
          <t>Region Midt-Norge</t>
        </is>
      </c>
      <c r="C176" s="34" t="inlineStr">
        <is>
          <t>Kvammen akuttsenter, avdeling Fannrem</t>
        </is>
      </c>
      <c r="D176" s="18" t="n"/>
      <c r="E176" s="18" t="n"/>
      <c r="F176" s="18" t="n"/>
      <c r="G176" s="18" t="n"/>
      <c r="H176" s="18" t="n">
        <v>958</v>
      </c>
      <c r="I176" s="18" t="n">
        <v>1710</v>
      </c>
      <c r="J176" s="19" t="n">
        <v>1939.52475</v>
      </c>
      <c r="K176" s="35" t="n">
        <v>0.065</v>
      </c>
    </row>
    <row r="177">
      <c r="A177" s="36" t="inlineStr">
        <is>
          <t>AGA SPK-tilskudd</t>
        </is>
      </c>
      <c r="B177" s="36" t="inlineStr">
        <is>
          <t>Region Midt-Norge</t>
        </is>
      </c>
      <c r="C177" s="36" t="inlineStr">
        <is>
          <t>Kvammen akuttsenter, avdeling Fannrem</t>
        </is>
      </c>
      <c r="D177" s="26" t="n"/>
      <c r="E177" s="26" t="n"/>
      <c r="F177" s="26" t="n"/>
      <c r="G177" s="26" t="n"/>
      <c r="H177" s="26" t="n">
        <v>-20519</v>
      </c>
      <c r="I177" s="26" t="n">
        <v>-73827</v>
      </c>
      <c r="J177" s="19" t="n">
        <v>-83736.42907499999</v>
      </c>
      <c r="K177" s="37" t="n">
        <v>0.065</v>
      </c>
    </row>
    <row r="178">
      <c r="A178" s="34" t="inlineStr">
        <is>
          <t>AGA SPK-tilskudd</t>
        </is>
      </c>
      <c r="B178" s="34" t="inlineStr">
        <is>
          <t>Region Midt-Norge</t>
        </is>
      </c>
      <c r="C178" s="34" t="inlineStr">
        <is>
          <t>Kvammen akuttsenter, avdeling Fannrem</t>
        </is>
      </c>
      <c r="D178" s="18" t="n"/>
      <c r="E178" s="18" t="n"/>
      <c r="F178" s="18" t="n"/>
      <c r="G178" s="18" t="n"/>
      <c r="H178" s="18" t="n">
        <v>-148672</v>
      </c>
      <c r="I178" s="18" t="n">
        <v>-68066</v>
      </c>
      <c r="J178" s="19" t="n">
        <v>-77202.15884999999</v>
      </c>
      <c r="K178" s="35" t="n">
        <v>0.065</v>
      </c>
    </row>
    <row r="179">
      <c r="A179" s="36" t="inlineStr">
        <is>
          <t>AGA SPK-tilskudd</t>
        </is>
      </c>
      <c r="B179" s="36" t="inlineStr">
        <is>
          <t>Region Midt-Norge</t>
        </is>
      </c>
      <c r="C179" s="36" t="inlineStr">
        <is>
          <t>Kvammen akuttsenter, avdeling Fannrem</t>
        </is>
      </c>
      <c r="D179" s="26" t="n"/>
      <c r="E179" s="26" t="n"/>
      <c r="F179" s="26" t="n"/>
      <c r="G179" s="26" t="n"/>
      <c r="H179" s="26" t="n">
        <v>-950945</v>
      </c>
      <c r="I179" s="26" t="n">
        <v>-949904</v>
      </c>
      <c r="J179" s="19" t="n">
        <v>-1077404.8644</v>
      </c>
      <c r="K179" s="37" t="n">
        <v>0.065</v>
      </c>
    </row>
    <row r="180">
      <c r="A180" s="34" t="inlineStr">
        <is>
          <t>AGA SPK-tilskudd</t>
        </is>
      </c>
      <c r="B180" s="34" t="inlineStr">
        <is>
          <t>Region Midt-Norge</t>
        </is>
      </c>
      <c r="C180" s="34" t="inlineStr">
        <is>
          <t>Kvammen akuttsenter, avdeling Melhus</t>
        </is>
      </c>
      <c r="D180" s="18" t="n"/>
      <c r="E180" s="18" t="n"/>
      <c r="F180" s="18" t="n"/>
      <c r="G180" s="18" t="n"/>
      <c r="H180" s="18" t="n">
        <v>207192</v>
      </c>
      <c r="I180" s="18" t="n">
        <v>213991</v>
      </c>
      <c r="J180" s="19" t="n">
        <v>242713.941975</v>
      </c>
      <c r="K180" s="35" t="n">
        <v>0.065</v>
      </c>
    </row>
    <row r="181">
      <c r="A181" s="36" t="inlineStr">
        <is>
          <t>AGA SPK-tilskudd</t>
        </is>
      </c>
      <c r="B181" s="36" t="inlineStr">
        <is>
          <t>Region Midt-Norge</t>
        </is>
      </c>
      <c r="C181" s="36" t="inlineStr">
        <is>
          <t>Kvammen akuttsenter, avdeling Melhus</t>
        </is>
      </c>
      <c r="D181" s="26" t="n"/>
      <c r="E181" s="26" t="n"/>
      <c r="F181" s="26" t="n"/>
      <c r="G181" s="26" t="n"/>
      <c r="H181" s="26" t="n">
        <v>7211</v>
      </c>
      <c r="I181" s="26" t="n">
        <v>123562</v>
      </c>
      <c r="J181" s="19" t="n">
        <v>140147.10945</v>
      </c>
      <c r="K181" s="37" t="n">
        <v>0.065</v>
      </c>
    </row>
    <row r="182">
      <c r="A182" s="34" t="inlineStr">
        <is>
          <t>AGA SPK-tilskudd</t>
        </is>
      </c>
      <c r="B182" s="34" t="inlineStr">
        <is>
          <t>Region Midt-Norge</t>
        </is>
      </c>
      <c r="C182" s="34" t="inlineStr">
        <is>
          <t>Kvammen akuttsenter, avdeling Melhus</t>
        </is>
      </c>
      <c r="D182" s="18" t="n"/>
      <c r="E182" s="18" t="n"/>
      <c r="F182" s="18" t="n"/>
      <c r="G182" s="18" t="n"/>
      <c r="H182" s="18" t="n">
        <v>28788</v>
      </c>
      <c r="I182" s="18" t="n">
        <v>39080</v>
      </c>
      <c r="J182" s="19" t="n">
        <v>44325.51299999999</v>
      </c>
      <c r="K182" s="35" t="n">
        <v>0.065</v>
      </c>
    </row>
    <row r="183">
      <c r="A183" s="36" t="inlineStr">
        <is>
          <t>AGA SPK-tilskudd</t>
        </is>
      </c>
      <c r="B183" s="36" t="inlineStr">
        <is>
          <t>Region Midt-Norge</t>
        </is>
      </c>
      <c r="C183" s="36" t="inlineStr">
        <is>
          <t>Kvammen akuttsenter, avdeling Melhus</t>
        </is>
      </c>
      <c r="D183" s="26" t="n"/>
      <c r="E183" s="26" t="n"/>
      <c r="F183" s="26" t="n"/>
      <c r="G183" s="26" t="n"/>
      <c r="H183" s="26" t="n">
        <v>84769</v>
      </c>
      <c r="I183" s="26" t="n">
        <v>105341</v>
      </c>
      <c r="J183" s="19" t="n">
        <v>119480.395725</v>
      </c>
      <c r="K183" s="37" t="n">
        <v>0.065</v>
      </c>
    </row>
    <row r="184">
      <c r="A184" s="34" t="inlineStr">
        <is>
          <t>AGA SPK-tilskudd</t>
        </is>
      </c>
      <c r="B184" s="34" t="inlineStr">
        <is>
          <t>Region Midt-Norge</t>
        </is>
      </c>
      <c r="C184" s="34" t="inlineStr">
        <is>
          <t>Kvammen akuttsenter, avdeling Melhus</t>
        </is>
      </c>
      <c r="D184" s="18" t="n"/>
      <c r="E184" s="18" t="n"/>
      <c r="F184" s="18" t="n"/>
      <c r="G184" s="18" t="n"/>
      <c r="H184" s="18" t="n">
        <v>2890</v>
      </c>
      <c r="I184" s="18" t="n"/>
      <c r="J184" s="19" t="n">
        <v>0</v>
      </c>
      <c r="K184" s="35" t="n">
        <v>0.065</v>
      </c>
    </row>
    <row r="185">
      <c r="A185" s="36" t="inlineStr">
        <is>
          <t>AGA SPK-tilskudd</t>
        </is>
      </c>
      <c r="B185" s="36" t="inlineStr">
        <is>
          <t>Region Midt-Norge</t>
        </is>
      </c>
      <c r="C185" s="36" t="inlineStr">
        <is>
          <t>Kvammen akuttsenter, avdeling Melhus</t>
        </is>
      </c>
      <c r="D185" s="26" t="n"/>
      <c r="E185" s="26" t="n"/>
      <c r="F185" s="26" t="n"/>
      <c r="G185" s="26" t="n"/>
      <c r="H185" s="26" t="n">
        <v>5414</v>
      </c>
      <c r="I185" s="26" t="n">
        <v>5735</v>
      </c>
      <c r="J185" s="19" t="n">
        <v>6504.780374999999</v>
      </c>
      <c r="K185" s="37" t="n">
        <v>0.065</v>
      </c>
    </row>
    <row r="186">
      <c r="A186" s="34" t="inlineStr">
        <is>
          <t>AGA SPK-tilskudd</t>
        </is>
      </c>
      <c r="B186" s="34" t="inlineStr">
        <is>
          <t>Region Midt-Norge</t>
        </is>
      </c>
      <c r="C186" s="34" t="inlineStr">
        <is>
          <t>Kvammen akuttsenter, avdeling Melhus</t>
        </is>
      </c>
      <c r="D186" s="18" t="n"/>
      <c r="E186" s="18" t="n"/>
      <c r="F186" s="18" t="n"/>
      <c r="G186" s="18" t="n"/>
      <c r="H186" s="18" t="n">
        <v>255</v>
      </c>
      <c r="I186" s="18" t="n"/>
      <c r="J186" s="19" t="n">
        <v>0</v>
      </c>
      <c r="K186" s="35" t="n">
        <v>0.065</v>
      </c>
    </row>
    <row r="187">
      <c r="A187" s="36" t="inlineStr">
        <is>
          <t>AGA SPK-tilskudd</t>
        </is>
      </c>
      <c r="B187" s="36" t="inlineStr">
        <is>
          <t>Region Midt-Norge</t>
        </is>
      </c>
      <c r="C187" s="36" t="inlineStr">
        <is>
          <t>Kvammen akuttsenter, avdeling Melhus</t>
        </is>
      </c>
      <c r="D187" s="26" t="n"/>
      <c r="E187" s="26" t="n"/>
      <c r="F187" s="26" t="n"/>
      <c r="G187" s="26" t="n"/>
      <c r="H187" s="26" t="n">
        <v>27915</v>
      </c>
      <c r="I187" s="26" t="n">
        <v>14207</v>
      </c>
      <c r="J187" s="19" t="n">
        <v>16113.934575</v>
      </c>
      <c r="K187" s="37" t="n">
        <v>0.065</v>
      </c>
    </row>
    <row r="188">
      <c r="A188" s="34" t="inlineStr">
        <is>
          <t>AGA SPK-tilskudd</t>
        </is>
      </c>
      <c r="B188" s="34" t="inlineStr">
        <is>
          <t>Region Midt-Norge</t>
        </is>
      </c>
      <c r="C188" s="34" t="inlineStr">
        <is>
          <t>Kvammen akuttsenter, avdeling Melhus</t>
        </is>
      </c>
      <c r="D188" s="18" t="n"/>
      <c r="E188" s="18" t="n"/>
      <c r="F188" s="18" t="n"/>
      <c r="G188" s="18" t="n"/>
      <c r="H188" s="18" t="n">
        <v>2423</v>
      </c>
      <c r="I188" s="18" t="n">
        <v>13145</v>
      </c>
      <c r="J188" s="19" t="n">
        <v>14909.387625</v>
      </c>
      <c r="K188" s="35" t="n">
        <v>0.065</v>
      </c>
    </row>
    <row r="189">
      <c r="A189" s="36" t="inlineStr">
        <is>
          <t>AGA SPK-tilskudd</t>
        </is>
      </c>
      <c r="B189" s="36" t="inlineStr">
        <is>
          <t>Region Midt-Norge</t>
        </is>
      </c>
      <c r="C189" s="36" t="inlineStr">
        <is>
          <t>Kvammen akuttsenter, avdeling Melhus</t>
        </is>
      </c>
      <c r="D189" s="26" t="n"/>
      <c r="E189" s="26" t="n"/>
      <c r="F189" s="26" t="n"/>
      <c r="G189" s="26" t="n"/>
      <c r="H189" s="26" t="n">
        <v>3541</v>
      </c>
      <c r="I189" s="26" t="n">
        <v>1975</v>
      </c>
      <c r="J189" s="19" t="n">
        <v>2240.094375</v>
      </c>
      <c r="K189" s="37" t="n">
        <v>0.065</v>
      </c>
    </row>
    <row r="190">
      <c r="A190" s="34" t="inlineStr">
        <is>
          <t>AGA SPK-tilskudd</t>
        </is>
      </c>
      <c r="B190" s="34" t="inlineStr">
        <is>
          <t>Region Midt-Norge</t>
        </is>
      </c>
      <c r="C190" s="34" t="inlineStr">
        <is>
          <t>Kvammen akuttsenter, avdeling Melhus</t>
        </is>
      </c>
      <c r="D190" s="18" t="n"/>
      <c r="E190" s="18" t="n"/>
      <c r="F190" s="18" t="n"/>
      <c r="G190" s="18" t="n"/>
      <c r="H190" s="18" t="n"/>
      <c r="I190" s="18" t="n">
        <v>2595</v>
      </c>
      <c r="J190" s="19" t="n">
        <v>2943.313874999999</v>
      </c>
      <c r="K190" s="35" t="n">
        <v>0.065</v>
      </c>
    </row>
    <row r="191">
      <c r="A191" s="36" t="inlineStr">
        <is>
          <t>AGA SPK-tilskudd</t>
        </is>
      </c>
      <c r="B191" s="36" t="inlineStr">
        <is>
          <t>Region Midt-Norge</t>
        </is>
      </c>
      <c r="C191" s="36" t="inlineStr">
        <is>
          <t>Kvammen akuttsenter, avdeling Melhus</t>
        </is>
      </c>
      <c r="D191" s="26" t="n"/>
      <c r="E191" s="26" t="n"/>
      <c r="F191" s="26" t="n"/>
      <c r="G191" s="26" t="n"/>
      <c r="H191" s="26" t="n">
        <v>-50689</v>
      </c>
      <c r="I191" s="26" t="n">
        <v>-77567</v>
      </c>
      <c r="J191" s="19" t="n">
        <v>-87978.43057499999</v>
      </c>
      <c r="K191" s="37" t="n">
        <v>0.065</v>
      </c>
    </row>
    <row r="192">
      <c r="A192" s="34" t="inlineStr">
        <is>
          <t>AGA SPK-tilskudd</t>
        </is>
      </c>
      <c r="B192" s="34" t="inlineStr">
        <is>
          <t>Region Midt-Norge</t>
        </is>
      </c>
      <c r="C192" s="34" t="inlineStr">
        <is>
          <t>Kvammen akuttsenter, avdeling Melhus</t>
        </is>
      </c>
      <c r="D192" s="18" t="n"/>
      <c r="E192" s="18" t="n"/>
      <c r="F192" s="18" t="n"/>
      <c r="G192" s="18" t="n"/>
      <c r="H192" s="18" t="n">
        <v>-44228</v>
      </c>
      <c r="I192" s="18" t="n">
        <v>-65717</v>
      </c>
      <c r="J192" s="19" t="n">
        <v>-74537.86432499999</v>
      </c>
      <c r="K192" s="35" t="n">
        <v>0.065</v>
      </c>
    </row>
    <row r="193">
      <c r="A193" s="36" t="inlineStr">
        <is>
          <t>AGA SPK-tilskudd</t>
        </is>
      </c>
      <c r="B193" s="36" t="inlineStr">
        <is>
          <t>Region Midt-Norge</t>
        </is>
      </c>
      <c r="C193" s="36" t="inlineStr">
        <is>
          <t>Kvammen akuttsenter, avdeling Melhus</t>
        </is>
      </c>
      <c r="D193" s="26" t="n"/>
      <c r="E193" s="26" t="n"/>
      <c r="F193" s="26" t="n"/>
      <c r="G193" s="26" t="n"/>
      <c r="H193" s="26" t="n">
        <v>-814202</v>
      </c>
      <c r="I193" s="26" t="n">
        <v>-1051995</v>
      </c>
      <c r="J193" s="19" t="n">
        <v>-1193199.028875</v>
      </c>
      <c r="K193" s="37" t="n">
        <v>0.065</v>
      </c>
    </row>
    <row r="194">
      <c r="A194" s="34" t="inlineStr">
        <is>
          <t>AGA SPK-tilskudd</t>
        </is>
      </c>
      <c r="B194" s="34" t="inlineStr">
        <is>
          <t>Region Midt-Norge</t>
        </is>
      </c>
      <c r="C194" s="34" t="inlineStr">
        <is>
          <t>Kvammen, avdelig enetiltak</t>
        </is>
      </c>
      <c r="D194" s="18" t="n"/>
      <c r="E194" s="18" t="n"/>
      <c r="F194" s="18" t="n"/>
      <c r="G194" s="18" t="n"/>
      <c r="H194" s="18" t="n"/>
      <c r="I194" s="18" t="n">
        <v>73946</v>
      </c>
      <c r="J194" s="19" t="n">
        <v>83871.40184999998</v>
      </c>
      <c r="K194" s="35" t="n">
        <v>0.065</v>
      </c>
    </row>
    <row r="195">
      <c r="A195" s="36" t="inlineStr">
        <is>
          <t>AGA SPK-tilskudd</t>
        </is>
      </c>
      <c r="B195" s="36" t="inlineStr">
        <is>
          <t>Region Midt-Norge</t>
        </is>
      </c>
      <c r="C195" s="36" t="inlineStr">
        <is>
          <t>Kvammen, avdelig enetiltak</t>
        </is>
      </c>
      <c r="D195" s="26" t="n"/>
      <c r="E195" s="26" t="n"/>
      <c r="F195" s="26" t="n"/>
      <c r="G195" s="26" t="n"/>
      <c r="H195" s="26" t="n"/>
      <c r="I195" s="26" t="n">
        <v>350200</v>
      </c>
      <c r="J195" s="19" t="n">
        <v>397205.5949999999</v>
      </c>
      <c r="K195" s="37" t="n">
        <v>0.065</v>
      </c>
    </row>
    <row r="196">
      <c r="A196" s="34" t="inlineStr">
        <is>
          <t>AGA SPK-tilskudd</t>
        </is>
      </c>
      <c r="B196" s="34" t="inlineStr">
        <is>
          <t>Region Midt-Norge</t>
        </is>
      </c>
      <c r="C196" s="34" t="inlineStr">
        <is>
          <t>Kvammen, avdelig enetiltak</t>
        </is>
      </c>
      <c r="D196" s="18" t="n"/>
      <c r="E196" s="18" t="n"/>
      <c r="F196" s="18" t="n"/>
      <c r="G196" s="18" t="n"/>
      <c r="H196" s="18" t="n"/>
      <c r="I196" s="18" t="n">
        <v>4184</v>
      </c>
      <c r="J196" s="19" t="n">
        <v>4745.5974</v>
      </c>
      <c r="K196" s="35" t="n">
        <v>0.065</v>
      </c>
    </row>
    <row r="197">
      <c r="A197" s="36" t="inlineStr">
        <is>
          <t>AGA SPK-tilskudd</t>
        </is>
      </c>
      <c r="B197" s="36" t="inlineStr">
        <is>
          <t>Region Midt-Norge</t>
        </is>
      </c>
      <c r="C197" s="36" t="inlineStr">
        <is>
          <t>Kvammen, avdelig enetiltak</t>
        </is>
      </c>
      <c r="D197" s="26" t="n"/>
      <c r="E197" s="26" t="n"/>
      <c r="F197" s="26" t="n"/>
      <c r="G197" s="26" t="n"/>
      <c r="H197" s="26" t="n"/>
      <c r="I197" s="26" t="n">
        <v>25417</v>
      </c>
      <c r="J197" s="19" t="n">
        <v>28828.596825</v>
      </c>
      <c r="K197" s="37" t="n">
        <v>0.065</v>
      </c>
    </row>
    <row r="198">
      <c r="A198" s="34" t="inlineStr">
        <is>
          <t>AGA SPK-tilskudd</t>
        </is>
      </c>
      <c r="B198" s="34" t="inlineStr">
        <is>
          <t>Region Midt-Norge</t>
        </is>
      </c>
      <c r="C198" s="34" t="inlineStr">
        <is>
          <t>Kvammen, avdelig enetiltak</t>
        </is>
      </c>
      <c r="D198" s="18" t="n"/>
      <c r="E198" s="18" t="n"/>
      <c r="F198" s="18" t="n"/>
      <c r="G198" s="18" t="n"/>
      <c r="H198" s="18" t="n"/>
      <c r="I198" s="18" t="n">
        <v>1528</v>
      </c>
      <c r="J198" s="19" t="n">
        <v>1733.0958</v>
      </c>
      <c r="K198" s="35" t="n">
        <v>0.065</v>
      </c>
    </row>
    <row r="199">
      <c r="A199" s="36" t="inlineStr">
        <is>
          <t>AGA SPK-tilskudd</t>
        </is>
      </c>
      <c r="B199" s="36" t="inlineStr">
        <is>
          <t>Region Midt-Norge</t>
        </is>
      </c>
      <c r="C199" s="36" t="inlineStr">
        <is>
          <t>Kvammen, avdelig enetiltak</t>
        </is>
      </c>
      <c r="D199" s="26" t="n"/>
      <c r="E199" s="26" t="n"/>
      <c r="F199" s="26" t="n"/>
      <c r="G199" s="26" t="n"/>
      <c r="H199" s="26" t="n"/>
      <c r="I199" s="26" t="n">
        <v>303</v>
      </c>
      <c r="J199" s="19" t="n">
        <v>343.670175</v>
      </c>
      <c r="K199" s="37" t="n">
        <v>0.065</v>
      </c>
    </row>
    <row r="200">
      <c r="A200" s="34" t="inlineStr">
        <is>
          <t>AGA SPK-tilskudd</t>
        </is>
      </c>
      <c r="B200" s="34" t="inlineStr">
        <is>
          <t>Region Midt-Norge</t>
        </is>
      </c>
      <c r="C200" s="34" t="inlineStr">
        <is>
          <t>Kvammen, avdelig enetiltak</t>
        </is>
      </c>
      <c r="D200" s="18" t="n"/>
      <c r="E200" s="18" t="n"/>
      <c r="F200" s="18" t="n"/>
      <c r="G200" s="18" t="n"/>
      <c r="H200" s="18" t="n"/>
      <c r="I200" s="18" t="n">
        <v>149</v>
      </c>
      <c r="J200" s="19" t="n">
        <v>168.999525</v>
      </c>
      <c r="K200" s="35" t="n">
        <v>0.065</v>
      </c>
    </row>
    <row r="201">
      <c r="A201" s="36" t="inlineStr">
        <is>
          <t>AGA SPK-tilskudd</t>
        </is>
      </c>
      <c r="B201" s="36" t="inlineStr">
        <is>
          <t>Region Midt-Norge</t>
        </is>
      </c>
      <c r="C201" s="36" t="inlineStr">
        <is>
          <t>Kvammen, avdelig enetiltak</t>
        </is>
      </c>
      <c r="D201" s="26" t="n"/>
      <c r="E201" s="26" t="n"/>
      <c r="F201" s="26" t="n"/>
      <c r="G201" s="26" t="n"/>
      <c r="H201" s="26" t="n"/>
      <c r="I201" s="26" t="n">
        <v>10608</v>
      </c>
      <c r="J201" s="19" t="n">
        <v>12031.8588</v>
      </c>
      <c r="K201" s="37" t="n">
        <v>0.065</v>
      </c>
    </row>
    <row r="202">
      <c r="A202" s="34" t="inlineStr">
        <is>
          <t>AGA SPK-tilskudd</t>
        </is>
      </c>
      <c r="B202" s="34" t="inlineStr">
        <is>
          <t>Region Midt-Norge</t>
        </is>
      </c>
      <c r="C202" s="34" t="inlineStr">
        <is>
          <t>Kvammen, avdelig enetiltak</t>
        </is>
      </c>
      <c r="D202" s="18" t="n"/>
      <c r="E202" s="18" t="n"/>
      <c r="F202" s="18" t="n"/>
      <c r="G202" s="18" t="n"/>
      <c r="H202" s="18" t="n"/>
      <c r="I202" s="18" t="n">
        <v>-18610</v>
      </c>
      <c r="J202" s="19" t="n">
        <v>-21107.92725</v>
      </c>
      <c r="K202" s="35" t="n">
        <v>0.065</v>
      </c>
    </row>
    <row r="203">
      <c r="A203" s="36" t="inlineStr">
        <is>
          <t>AGA SPK-tilskudd</t>
        </is>
      </c>
      <c r="B203" s="36" t="inlineStr">
        <is>
          <t>Region Midt-Norge</t>
        </is>
      </c>
      <c r="C203" s="36" t="inlineStr">
        <is>
          <t>Kvammen, avdelig enetiltak</t>
        </is>
      </c>
      <c r="D203" s="26" t="n"/>
      <c r="E203" s="26" t="n"/>
      <c r="F203" s="26" t="n"/>
      <c r="G203" s="26" t="n"/>
      <c r="H203" s="26" t="n"/>
      <c r="I203" s="26" t="n">
        <v>-36876</v>
      </c>
      <c r="J203" s="19" t="n">
        <v>-41825.68109999999</v>
      </c>
      <c r="K203" s="37" t="n">
        <v>0.065</v>
      </c>
    </row>
    <row r="204">
      <c r="A204" s="34" t="inlineStr">
        <is>
          <t>AGA SPK-tilskudd</t>
        </is>
      </c>
      <c r="B204" s="34" t="inlineStr">
        <is>
          <t>Region Midt-Norge</t>
        </is>
      </c>
      <c r="C204" s="34" t="inlineStr">
        <is>
          <t>Kvammen, avdelig enetiltak</t>
        </is>
      </c>
      <c r="D204" s="18" t="n"/>
      <c r="E204" s="18" t="n"/>
      <c r="F204" s="18" t="n"/>
      <c r="G204" s="18" t="n"/>
      <c r="H204" s="18" t="n"/>
      <c r="I204" s="18" t="n">
        <v>-220984</v>
      </c>
      <c r="J204" s="19" t="n">
        <v>-250645.5774</v>
      </c>
      <c r="K204" s="35" t="n">
        <v>0.065</v>
      </c>
    </row>
    <row r="205">
      <c r="A205" s="36" t="inlineStr">
        <is>
          <t>AGA SPK-tilskudd</t>
        </is>
      </c>
      <c r="B205" s="36" t="inlineStr">
        <is>
          <t>Region Midt-Norge</t>
        </is>
      </c>
      <c r="C205" s="36" t="inlineStr">
        <is>
          <t>Moholt ungdomssenter</t>
        </is>
      </c>
      <c r="D205" s="26" t="n"/>
      <c r="E205" s="26" t="n"/>
      <c r="F205" s="26" t="n">
        <v>116349</v>
      </c>
      <c r="G205" s="26" t="n">
        <v>169568</v>
      </c>
      <c r="H205" s="26" t="n">
        <v>214171</v>
      </c>
      <c r="I205" s="26" t="n">
        <v>208709</v>
      </c>
      <c r="J205" s="19" t="n">
        <v>236722.9655249999</v>
      </c>
      <c r="K205" s="37" t="n">
        <v>0.065</v>
      </c>
    </row>
    <row r="206">
      <c r="A206" s="34" t="inlineStr">
        <is>
          <t>AGA SPK-tilskudd</t>
        </is>
      </c>
      <c r="B206" s="34" t="inlineStr">
        <is>
          <t>Region Midt-Norge</t>
        </is>
      </c>
      <c r="C206" s="34" t="inlineStr">
        <is>
          <t>Moholt ungdomssenter</t>
        </is>
      </c>
      <c r="D206" s="18" t="n"/>
      <c r="E206" s="18" t="n"/>
      <c r="F206" s="18" t="n">
        <v>3656</v>
      </c>
      <c r="G206" s="18" t="n">
        <v>12636</v>
      </c>
      <c r="H206" s="18" t="n">
        <v>72942</v>
      </c>
      <c r="I206" s="18" t="n">
        <v>71180</v>
      </c>
      <c r="J206" s="19" t="n">
        <v>80734.13549999999</v>
      </c>
      <c r="K206" s="35" t="n">
        <v>0.065</v>
      </c>
    </row>
    <row r="207">
      <c r="A207" s="36" t="inlineStr">
        <is>
          <t>AGA SPK-tilskudd</t>
        </is>
      </c>
      <c r="B207" s="36" t="inlineStr">
        <is>
          <t>Region Midt-Norge</t>
        </is>
      </c>
      <c r="C207" s="36" t="inlineStr">
        <is>
          <t>Moholt ungdomssenter</t>
        </is>
      </c>
      <c r="D207" s="26" t="n"/>
      <c r="E207" s="26" t="n"/>
      <c r="F207" s="26" t="n">
        <v>33837</v>
      </c>
      <c r="G207" s="26" t="n">
        <v>65283</v>
      </c>
      <c r="H207" s="26" t="n">
        <v>70522</v>
      </c>
      <c r="I207" s="26" t="n">
        <v>66436</v>
      </c>
      <c r="J207" s="19" t="n">
        <v>75353.37209999999</v>
      </c>
      <c r="K207" s="37" t="n">
        <v>0.065</v>
      </c>
    </row>
    <row r="208">
      <c r="A208" s="34" t="inlineStr">
        <is>
          <t>AGA SPK-tilskudd</t>
        </is>
      </c>
      <c r="B208" s="34" t="inlineStr">
        <is>
          <t>Region Midt-Norge</t>
        </is>
      </c>
      <c r="C208" s="34" t="inlineStr">
        <is>
          <t>Moholt ungdomssenter</t>
        </is>
      </c>
      <c r="D208" s="18" t="n"/>
      <c r="E208" s="18" t="n"/>
      <c r="F208" s="18" t="n">
        <v>34237</v>
      </c>
      <c r="G208" s="18" t="n">
        <v>70004</v>
      </c>
      <c r="H208" s="18" t="n">
        <v>89676</v>
      </c>
      <c r="I208" s="18" t="n">
        <v>98472</v>
      </c>
      <c r="J208" s="19" t="n">
        <v>111689.4042</v>
      </c>
      <c r="K208" s="35" t="n">
        <v>0.065</v>
      </c>
    </row>
    <row r="209">
      <c r="A209" s="36" t="inlineStr">
        <is>
          <t>AGA SPK-tilskudd</t>
        </is>
      </c>
      <c r="B209" s="36" t="inlineStr">
        <is>
          <t>Region Midt-Norge</t>
        </is>
      </c>
      <c r="C209" s="36" t="inlineStr">
        <is>
          <t>Moholt ungdomssenter</t>
        </is>
      </c>
      <c r="D209" s="26" t="n"/>
      <c r="E209" s="26" t="n"/>
      <c r="F209" s="26" t="n">
        <v>3018</v>
      </c>
      <c r="G209" s="26" t="n"/>
      <c r="H209" s="26" t="n">
        <v>6300</v>
      </c>
      <c r="I209" s="26" t="n"/>
      <c r="J209" s="19" t="n">
        <v>0</v>
      </c>
      <c r="K209" s="37" t="n">
        <v>0.065</v>
      </c>
    </row>
    <row r="210">
      <c r="A210" s="34" t="inlineStr">
        <is>
          <t>AGA SPK-tilskudd</t>
        </is>
      </c>
      <c r="B210" s="34" t="inlineStr">
        <is>
          <t>Region Midt-Norge</t>
        </is>
      </c>
      <c r="C210" s="34" t="inlineStr">
        <is>
          <t>Moholt ungdomssenter</t>
        </is>
      </c>
      <c r="D210" s="18" t="n"/>
      <c r="E210" s="18" t="n"/>
      <c r="F210" s="18" t="n">
        <v>491</v>
      </c>
      <c r="G210" s="18" t="n">
        <v>20378</v>
      </c>
      <c r="H210" s="18" t="n">
        <v>10432</v>
      </c>
      <c r="I210" s="18" t="n">
        <v>16136</v>
      </c>
      <c r="J210" s="19" t="n">
        <v>18301.8546</v>
      </c>
      <c r="K210" s="35" t="n">
        <v>0.065</v>
      </c>
    </row>
    <row r="211">
      <c r="A211" s="36" t="inlineStr">
        <is>
          <t>AGA SPK-tilskudd</t>
        </is>
      </c>
      <c r="B211" s="36" t="inlineStr">
        <is>
          <t>Region Midt-Norge</t>
        </is>
      </c>
      <c r="C211" s="36" t="inlineStr">
        <is>
          <t>Moholt ungdomssenter</t>
        </is>
      </c>
      <c r="D211" s="26" t="n"/>
      <c r="E211" s="26" t="n"/>
      <c r="F211" s="26" t="n">
        <v>3676</v>
      </c>
      <c r="G211" s="26" t="n">
        <v>10476</v>
      </c>
      <c r="H211" s="26" t="n">
        <v>8892</v>
      </c>
      <c r="I211" s="26" t="n">
        <v>3333</v>
      </c>
      <c r="J211" s="19" t="n">
        <v>3780.371924999999</v>
      </c>
      <c r="K211" s="37" t="n">
        <v>0.065</v>
      </c>
    </row>
    <row r="212">
      <c r="A212" s="34" t="inlineStr">
        <is>
          <t>AGA SPK-tilskudd</t>
        </is>
      </c>
      <c r="B212" s="34" t="inlineStr">
        <is>
          <t>Region Midt-Norge</t>
        </is>
      </c>
      <c r="C212" s="34" t="inlineStr">
        <is>
          <t>Moholt ungdomssenter</t>
        </is>
      </c>
      <c r="D212" s="18" t="n"/>
      <c r="E212" s="18" t="n"/>
      <c r="F212" s="18" t="n">
        <v>5935</v>
      </c>
      <c r="G212" s="18" t="n">
        <v>7032</v>
      </c>
      <c r="H212" s="18" t="n"/>
      <c r="I212" s="18" t="n">
        <v>8417</v>
      </c>
      <c r="J212" s="19" t="n">
        <v>9546.771824999998</v>
      </c>
      <c r="K212" s="35" t="n">
        <v>0.065</v>
      </c>
    </row>
    <row r="213">
      <c r="A213" s="36" t="inlineStr">
        <is>
          <t>AGA SPK-tilskudd</t>
        </is>
      </c>
      <c r="B213" s="36" t="inlineStr">
        <is>
          <t>Region Midt-Norge</t>
        </is>
      </c>
      <c r="C213" s="36" t="inlineStr">
        <is>
          <t>Moholt ungdomssenter</t>
        </is>
      </c>
      <c r="D213" s="26" t="n"/>
      <c r="E213" s="26" t="n"/>
      <c r="F213" s="26" t="n">
        <v>10884</v>
      </c>
      <c r="G213" s="26" t="n">
        <v>3623</v>
      </c>
      <c r="H213" s="26" t="n">
        <v>101</v>
      </c>
      <c r="I213" s="26" t="n">
        <v>6188</v>
      </c>
      <c r="J213" s="19" t="n">
        <v>7018.584299999999</v>
      </c>
      <c r="K213" s="37" t="n">
        <v>0.065</v>
      </c>
    </row>
    <row r="214">
      <c r="A214" s="34" t="inlineStr">
        <is>
          <t>AGA SPK-tilskudd</t>
        </is>
      </c>
      <c r="B214" s="34" t="inlineStr">
        <is>
          <t>Region Midt-Norge</t>
        </is>
      </c>
      <c r="C214" s="34" t="inlineStr">
        <is>
          <t>Moholt ungdomssenter</t>
        </is>
      </c>
      <c r="D214" s="18" t="n"/>
      <c r="E214" s="18" t="n"/>
      <c r="F214" s="18" t="n">
        <v>2365</v>
      </c>
      <c r="G214" s="18" t="n">
        <v>10519</v>
      </c>
      <c r="H214" s="18" t="n">
        <v>10389</v>
      </c>
      <c r="I214" s="18" t="n">
        <v>8589</v>
      </c>
      <c r="J214" s="19" t="n">
        <v>9741.858524999998</v>
      </c>
      <c r="K214" s="35" t="n">
        <v>0.065</v>
      </c>
    </row>
    <row r="215">
      <c r="A215" s="36" t="inlineStr">
        <is>
          <t>AGA SPK-tilskudd</t>
        </is>
      </c>
      <c r="B215" s="36" t="inlineStr">
        <is>
          <t>Region Midt-Norge</t>
        </is>
      </c>
      <c r="C215" s="36" t="inlineStr">
        <is>
          <t>Moholt ungdomssenter</t>
        </is>
      </c>
      <c r="D215" s="26" t="n"/>
      <c r="E215" s="26" t="n"/>
      <c r="F215" s="26" t="n"/>
      <c r="G215" s="26" t="n">
        <v>8802</v>
      </c>
      <c r="H215" s="26" t="n"/>
      <c r="I215" s="26" t="n"/>
      <c r="J215" s="19" t="n">
        <v>0</v>
      </c>
      <c r="K215" s="37" t="n">
        <v>0.065</v>
      </c>
    </row>
    <row r="216">
      <c r="A216" s="34" t="inlineStr">
        <is>
          <t>AGA SPK-tilskudd</t>
        </is>
      </c>
      <c r="B216" s="34" t="inlineStr">
        <is>
          <t>Region Midt-Norge</t>
        </is>
      </c>
      <c r="C216" s="34" t="inlineStr">
        <is>
          <t>Moholt ungdomssenter</t>
        </is>
      </c>
      <c r="D216" s="18" t="n"/>
      <c r="E216" s="18" t="n"/>
      <c r="F216" s="18" t="n">
        <v>-49130</v>
      </c>
      <c r="G216" s="18" t="n"/>
      <c r="H216" s="18" t="n"/>
      <c r="I216" s="18" t="n"/>
      <c r="J216" s="19" t="n">
        <v>0</v>
      </c>
      <c r="K216" s="35" t="n">
        <v>0.065</v>
      </c>
    </row>
    <row r="217">
      <c r="A217" s="36" t="inlineStr">
        <is>
          <t>AGA SPK-tilskudd</t>
        </is>
      </c>
      <c r="B217" s="36" t="inlineStr">
        <is>
          <t>Region Midt-Norge</t>
        </is>
      </c>
      <c r="C217" s="36" t="inlineStr">
        <is>
          <t>Moholt ungdomssenter</t>
        </is>
      </c>
      <c r="D217" s="26" t="n"/>
      <c r="E217" s="26" t="n"/>
      <c r="F217" s="26" t="n">
        <v>-19524</v>
      </c>
      <c r="G217" s="26" t="n">
        <v>-9045</v>
      </c>
      <c r="H217" s="26" t="n">
        <v>-19062</v>
      </c>
      <c r="I217" s="26" t="n">
        <v>-15334</v>
      </c>
      <c r="J217" s="19" t="n">
        <v>-17392.20615</v>
      </c>
      <c r="K217" s="37" t="n">
        <v>0.065</v>
      </c>
    </row>
    <row r="218">
      <c r="A218" s="34" t="inlineStr">
        <is>
          <t>AGA SPK-tilskudd</t>
        </is>
      </c>
      <c r="B218" s="34" t="inlineStr">
        <is>
          <t>Region Midt-Norge</t>
        </is>
      </c>
      <c r="C218" s="34" t="inlineStr">
        <is>
          <t>Moholt ungdomssenter</t>
        </is>
      </c>
      <c r="D218" s="18" t="n"/>
      <c r="E218" s="18" t="n"/>
      <c r="F218" s="18" t="n">
        <v>-36260</v>
      </c>
      <c r="G218" s="18" t="n">
        <v>-113810</v>
      </c>
      <c r="H218" s="18" t="n">
        <v>-333157</v>
      </c>
      <c r="I218" s="18" t="n">
        <v>-782395</v>
      </c>
      <c r="J218" s="19" t="n">
        <v>-887411.9688749999</v>
      </c>
      <c r="K218" s="35" t="n">
        <v>0.065</v>
      </c>
    </row>
    <row r="219">
      <c r="A219" s="36" t="inlineStr">
        <is>
          <t>AGA SPK-tilskudd</t>
        </is>
      </c>
      <c r="B219" s="36" t="inlineStr">
        <is>
          <t>Region Midt-Norge</t>
        </is>
      </c>
      <c r="C219" s="36" t="inlineStr">
        <is>
          <t>Moholt ungdomssenter</t>
        </is>
      </c>
      <c r="D219" s="26" t="n"/>
      <c r="E219" s="26" t="n"/>
      <c r="F219" s="26" t="n">
        <v>-949778</v>
      </c>
      <c r="G219" s="26" t="n">
        <v>-516297</v>
      </c>
      <c r="H219" s="26" t="n">
        <v>-1643235</v>
      </c>
      <c r="I219" s="26" t="n">
        <v>-1343710</v>
      </c>
      <c r="J219" s="19" t="n">
        <v>-1524069.47475</v>
      </c>
      <c r="K219" s="37" t="n">
        <v>0.065</v>
      </c>
    </row>
    <row r="220">
      <c r="A220" s="34" t="inlineStr">
        <is>
          <t>AGA SPK-tilskudd</t>
        </is>
      </c>
      <c r="B220" s="34" t="inlineStr">
        <is>
          <t>Region Midt-Norge</t>
        </is>
      </c>
      <c r="C220" s="34" t="inlineStr">
        <is>
          <t>NABE, avdeling implementering og kvalitetssikring</t>
        </is>
      </c>
      <c r="D220" s="18" t="n"/>
      <c r="E220" s="18" t="n"/>
      <c r="F220" s="18" t="n"/>
      <c r="G220" s="18" t="n"/>
      <c r="H220" s="18" t="n"/>
      <c r="I220" s="18" t="n">
        <v>4117</v>
      </c>
      <c r="J220" s="19" t="n">
        <v>4669.604324999999</v>
      </c>
      <c r="K220" s="35" t="n">
        <v>0.065</v>
      </c>
    </row>
    <row r="221">
      <c r="A221" s="36" t="inlineStr">
        <is>
          <t>AGA SPK-tilskudd</t>
        </is>
      </c>
      <c r="B221" s="36" t="inlineStr">
        <is>
          <t>Region Midt-Norge</t>
        </is>
      </c>
      <c r="C221" s="36" t="inlineStr">
        <is>
          <t>NABE, avdeling implementering og kvalitetssikring</t>
        </is>
      </c>
      <c r="D221" s="26" t="n"/>
      <c r="E221" s="26" t="n"/>
      <c r="F221" s="26" t="n"/>
      <c r="G221" s="26" t="n"/>
      <c r="H221" s="26" t="n"/>
      <c r="I221" s="26" t="n">
        <v>12297</v>
      </c>
      <c r="J221" s="19" t="n">
        <v>13947.564825</v>
      </c>
      <c r="K221" s="37" t="n">
        <v>0.065</v>
      </c>
    </row>
    <row r="222">
      <c r="A222" s="34" t="inlineStr">
        <is>
          <t>AGA SPK-tilskudd</t>
        </is>
      </c>
      <c r="B222" s="34" t="inlineStr">
        <is>
          <t>Region Midt-Norge</t>
        </is>
      </c>
      <c r="C222" s="34" t="inlineStr">
        <is>
          <t>NABE, avdeling implementering og kvalitetssikring</t>
        </is>
      </c>
      <c r="D222" s="18" t="n"/>
      <c r="E222" s="18" t="n"/>
      <c r="F222" s="18" t="n"/>
      <c r="G222" s="18" t="n"/>
      <c r="H222" s="18" t="n"/>
      <c r="I222" s="18" t="n">
        <v>623</v>
      </c>
      <c r="J222" s="19" t="n">
        <v>706.6221749999999</v>
      </c>
      <c r="K222" s="35" t="n">
        <v>0.065</v>
      </c>
    </row>
    <row r="223">
      <c r="A223" s="36" t="inlineStr">
        <is>
          <t>AGA SPK-tilskudd</t>
        </is>
      </c>
      <c r="B223" s="36" t="inlineStr">
        <is>
          <t>Region Midt-Norge</t>
        </is>
      </c>
      <c r="C223" s="36" t="inlineStr">
        <is>
          <t>NABE, avdeling implementering og kvalitetssikring</t>
        </is>
      </c>
      <c r="D223" s="26" t="n"/>
      <c r="E223" s="26" t="n"/>
      <c r="F223" s="26" t="n"/>
      <c r="G223" s="26" t="n"/>
      <c r="H223" s="26" t="n"/>
      <c r="I223" s="26" t="n">
        <v>930</v>
      </c>
      <c r="J223" s="19" t="n">
        <v>1054.82925</v>
      </c>
      <c r="K223" s="37" t="n">
        <v>0.065</v>
      </c>
    </row>
    <row r="224">
      <c r="A224" s="34" t="inlineStr">
        <is>
          <t>AGA SPK-tilskudd</t>
        </is>
      </c>
      <c r="B224" s="34" t="inlineStr">
        <is>
          <t>Region Midt-Norge</t>
        </is>
      </c>
      <c r="C224" s="34" t="inlineStr">
        <is>
          <t>NABE, avdeling implementering og kvalitetssikring</t>
        </is>
      </c>
      <c r="D224" s="18" t="n"/>
      <c r="E224" s="18" t="n"/>
      <c r="F224" s="18" t="n"/>
      <c r="G224" s="18" t="n"/>
      <c r="H224" s="18" t="n"/>
      <c r="I224" s="18" t="n">
        <v>288</v>
      </c>
      <c r="J224" s="19" t="n">
        <v>326.6568</v>
      </c>
      <c r="K224" s="35" t="n">
        <v>0.065</v>
      </c>
    </row>
    <row r="225">
      <c r="A225" s="36" t="inlineStr">
        <is>
          <t>AGA SPK-tilskudd</t>
        </is>
      </c>
      <c r="B225" s="36" t="inlineStr">
        <is>
          <t>Region Midt-Norge</t>
        </is>
      </c>
      <c r="C225" s="36" t="inlineStr">
        <is>
          <t>NABE, avdeling implementering og kvalitetssikring</t>
        </is>
      </c>
      <c r="D225" s="26" t="n"/>
      <c r="E225" s="26" t="n"/>
      <c r="F225" s="26" t="n"/>
      <c r="G225" s="26" t="n"/>
      <c r="H225" s="26" t="n"/>
      <c r="I225" s="26" t="n">
        <v>752</v>
      </c>
      <c r="J225" s="19" t="n">
        <v>852.9371999999998</v>
      </c>
      <c r="K225" s="37" t="n">
        <v>0.065</v>
      </c>
    </row>
    <row r="226">
      <c r="A226" s="34" t="inlineStr">
        <is>
          <t>AGA SPK-tilskudd</t>
        </is>
      </c>
      <c r="B226" s="34" t="inlineStr">
        <is>
          <t>Region Midt-Norge</t>
        </is>
      </c>
      <c r="C226" s="34" t="inlineStr">
        <is>
          <t>Orkdal barnevernsenter</t>
        </is>
      </c>
      <c r="D226" s="18" t="n">
        <v>105770</v>
      </c>
      <c r="E226" s="18" t="n">
        <v>87190</v>
      </c>
      <c r="F226" s="18" t="n">
        <v>70419</v>
      </c>
      <c r="G226" s="18" t="n">
        <v>116804</v>
      </c>
      <c r="H226" s="18" t="n">
        <v>119</v>
      </c>
      <c r="I226" s="18" t="n"/>
      <c r="J226" s="19" t="n">
        <v>0</v>
      </c>
      <c r="K226" s="35" t="n">
        <v>0.065</v>
      </c>
    </row>
    <row r="227">
      <c r="A227" s="36" t="inlineStr">
        <is>
          <t>AGA SPK-tilskudd</t>
        </is>
      </c>
      <c r="B227" s="36" t="inlineStr">
        <is>
          <t>Region Midt-Norge</t>
        </is>
      </c>
      <c r="C227" s="36" t="inlineStr">
        <is>
          <t>Orkdal barnevernsenter</t>
        </is>
      </c>
      <c r="D227" s="26" t="n">
        <v>603660</v>
      </c>
      <c r="E227" s="26" t="n">
        <v>416143</v>
      </c>
      <c r="F227" s="26" t="n">
        <v>7176</v>
      </c>
      <c r="G227" s="26" t="n">
        <v>13182</v>
      </c>
      <c r="H227" s="26" t="n"/>
      <c r="I227" s="26" t="n"/>
      <c r="J227" s="19" t="n">
        <v>0</v>
      </c>
      <c r="K227" s="37" t="n">
        <v>0.065</v>
      </c>
    </row>
    <row r="228">
      <c r="A228" s="34" t="inlineStr">
        <is>
          <t>AGA SPK-tilskudd</t>
        </is>
      </c>
      <c r="B228" s="34" t="inlineStr">
        <is>
          <t>Region Midt-Norge</t>
        </is>
      </c>
      <c r="C228" s="34" t="inlineStr">
        <is>
          <t>Orkdal barnevernsenter</t>
        </is>
      </c>
      <c r="D228" s="18" t="n">
        <v>7245</v>
      </c>
      <c r="E228" s="18" t="n">
        <v>3148</v>
      </c>
      <c r="F228" s="18" t="n">
        <v>22297</v>
      </c>
      <c r="G228" s="18" t="n">
        <v>19137</v>
      </c>
      <c r="H228" s="18" t="n"/>
      <c r="I228" s="18" t="n"/>
      <c r="J228" s="19" t="n">
        <v>0</v>
      </c>
      <c r="K228" s="35" t="n">
        <v>0.065</v>
      </c>
    </row>
    <row r="229">
      <c r="A229" s="36" t="inlineStr">
        <is>
          <t>AGA SPK-tilskudd</t>
        </is>
      </c>
      <c r="B229" s="36" t="inlineStr">
        <is>
          <t>Region Midt-Norge</t>
        </is>
      </c>
      <c r="C229" s="36" t="inlineStr">
        <is>
          <t>Orkdal barnevernsenter</t>
        </is>
      </c>
      <c r="D229" s="26" t="n">
        <v>44200</v>
      </c>
      <c r="E229" s="26" t="n">
        <v>39073</v>
      </c>
      <c r="F229" s="26" t="n">
        <v>35379</v>
      </c>
      <c r="G229" s="26" t="n">
        <v>44839</v>
      </c>
      <c r="H229" s="26" t="n"/>
      <c r="I229" s="26" t="n"/>
      <c r="J229" s="19" t="n">
        <v>0</v>
      </c>
      <c r="K229" s="37" t="n">
        <v>0.065</v>
      </c>
    </row>
    <row r="230">
      <c r="A230" s="34" t="inlineStr">
        <is>
          <t>AGA SPK-tilskudd</t>
        </is>
      </c>
      <c r="B230" s="34" t="inlineStr">
        <is>
          <t>Region Midt-Norge</t>
        </is>
      </c>
      <c r="C230" s="34" t="inlineStr">
        <is>
          <t>Orkdal barnevernsenter</t>
        </is>
      </c>
      <c r="D230" s="18" t="n">
        <v>3375</v>
      </c>
      <c r="E230" s="18" t="n">
        <v>12815</v>
      </c>
      <c r="F230" s="18" t="n">
        <v>9054</v>
      </c>
      <c r="G230" s="18" t="n">
        <v>43732</v>
      </c>
      <c r="H230" s="18" t="n"/>
      <c r="I230" s="18" t="n"/>
      <c r="J230" s="19" t="n">
        <v>0</v>
      </c>
      <c r="K230" s="35" t="n">
        <v>0.065</v>
      </c>
    </row>
    <row r="231">
      <c r="A231" s="36" t="inlineStr">
        <is>
          <t>AGA SPK-tilskudd</t>
        </is>
      </c>
      <c r="B231" s="36" t="inlineStr">
        <is>
          <t>Region Midt-Norge</t>
        </is>
      </c>
      <c r="C231" s="36" t="inlineStr">
        <is>
          <t>Orkdal barnevernsenter</t>
        </is>
      </c>
      <c r="D231" s="26" t="n">
        <v>5020</v>
      </c>
      <c r="E231" s="26" t="n">
        <v>1438</v>
      </c>
      <c r="F231" s="26" t="n">
        <v>5174</v>
      </c>
      <c r="G231" s="26" t="n">
        <v>2069</v>
      </c>
      <c r="H231" s="26" t="n"/>
      <c r="I231" s="26" t="n"/>
      <c r="J231" s="19" t="n">
        <v>0</v>
      </c>
      <c r="K231" s="37" t="n">
        <v>0.065</v>
      </c>
    </row>
    <row r="232">
      <c r="A232" s="34" t="inlineStr">
        <is>
          <t>AGA SPK-tilskudd</t>
        </is>
      </c>
      <c r="B232" s="34" t="inlineStr">
        <is>
          <t>Region Midt-Norge</t>
        </is>
      </c>
      <c r="C232" s="34" t="inlineStr">
        <is>
          <t>Orkdal barnevernsenter</t>
        </is>
      </c>
      <c r="D232" s="18" t="n">
        <v>400</v>
      </c>
      <c r="E232" s="18" t="n"/>
      <c r="F232" s="18" t="n">
        <v>3105</v>
      </c>
      <c r="G232" s="18" t="n">
        <v>1380</v>
      </c>
      <c r="H232" s="18" t="n"/>
      <c r="I232" s="18" t="n"/>
      <c r="J232" s="19" t="n">
        <v>0</v>
      </c>
      <c r="K232" s="35" t="n">
        <v>0.065</v>
      </c>
    </row>
    <row r="233">
      <c r="A233" s="36" t="inlineStr">
        <is>
          <t>AGA SPK-tilskudd</t>
        </is>
      </c>
      <c r="B233" s="36" t="inlineStr">
        <is>
          <t>Region Midt-Norge</t>
        </is>
      </c>
      <c r="C233" s="36" t="inlineStr">
        <is>
          <t>Orkdal barnevernsenter</t>
        </is>
      </c>
      <c r="D233" s="26" t="n">
        <v>4856</v>
      </c>
      <c r="E233" s="26" t="n">
        <v>9128</v>
      </c>
      <c r="F233" s="26" t="n">
        <v>18152</v>
      </c>
      <c r="G233" s="26" t="n">
        <v>1378</v>
      </c>
      <c r="H233" s="26" t="n"/>
      <c r="I233" s="26" t="n"/>
      <c r="J233" s="19" t="n">
        <v>0</v>
      </c>
      <c r="K233" s="37" t="n">
        <v>0.065</v>
      </c>
    </row>
    <row r="234">
      <c r="A234" s="34" t="inlineStr">
        <is>
          <t>AGA SPK-tilskudd</t>
        </is>
      </c>
      <c r="B234" s="34" t="inlineStr">
        <is>
          <t>Region Midt-Norge</t>
        </is>
      </c>
      <c r="C234" s="34" t="inlineStr">
        <is>
          <t>Orkdal barnevernsenter</t>
        </is>
      </c>
      <c r="D234" s="18" t="n">
        <v>3288</v>
      </c>
      <c r="E234" s="18" t="n">
        <v>5984</v>
      </c>
      <c r="F234" s="18" t="n">
        <v>3744</v>
      </c>
      <c r="G234" s="18" t="n">
        <v>9191</v>
      </c>
      <c r="H234" s="18" t="n"/>
      <c r="I234" s="18" t="n"/>
      <c r="J234" s="19" t="n">
        <v>0</v>
      </c>
      <c r="K234" s="35" t="n">
        <v>0.065</v>
      </c>
    </row>
    <row r="235">
      <c r="A235" s="36" t="inlineStr">
        <is>
          <t>AGA SPK-tilskudd</t>
        </is>
      </c>
      <c r="B235" s="36" t="inlineStr">
        <is>
          <t>Region Midt-Norge</t>
        </is>
      </c>
      <c r="C235" s="36" t="inlineStr">
        <is>
          <t>Orkdal barnevernsenter</t>
        </is>
      </c>
      <c r="D235" s="26" t="n">
        <v>946</v>
      </c>
      <c r="E235" s="26" t="n">
        <v>172</v>
      </c>
      <c r="F235" s="26" t="n">
        <v>1777</v>
      </c>
      <c r="G235" s="26" t="n">
        <v>1008</v>
      </c>
      <c r="H235" s="26" t="n"/>
      <c r="I235" s="26" t="n"/>
      <c r="J235" s="19" t="n">
        <v>0</v>
      </c>
      <c r="K235" s="37" t="n">
        <v>0.065</v>
      </c>
    </row>
    <row r="236">
      <c r="A236" s="34" t="inlineStr">
        <is>
          <t>AGA SPK-tilskudd</t>
        </is>
      </c>
      <c r="B236" s="34" t="inlineStr">
        <is>
          <t>Region Midt-Norge</t>
        </is>
      </c>
      <c r="C236" s="34" t="inlineStr">
        <is>
          <t>Orkdal barnevernsenter</t>
        </is>
      </c>
      <c r="D236" s="18" t="n">
        <v>5140</v>
      </c>
      <c r="E236" s="18" t="n"/>
      <c r="F236" s="18" t="n"/>
      <c r="G236" s="18" t="n">
        <v>3125</v>
      </c>
      <c r="H236" s="18" t="n"/>
      <c r="I236" s="18" t="n"/>
      <c r="J236" s="19" t="n">
        <v>0</v>
      </c>
      <c r="K236" s="35" t="n">
        <v>0.065</v>
      </c>
    </row>
    <row r="237">
      <c r="A237" s="36" t="inlineStr">
        <is>
          <t>AGA SPK-tilskudd</t>
        </is>
      </c>
      <c r="B237" s="36" t="inlineStr">
        <is>
          <t>Region Midt-Norge</t>
        </is>
      </c>
      <c r="C237" s="36" t="inlineStr">
        <is>
          <t>Orkdal barnevernsenter</t>
        </is>
      </c>
      <c r="D237" s="26" t="n">
        <v>8406</v>
      </c>
      <c r="E237" s="26" t="n">
        <v>7845</v>
      </c>
      <c r="F237" s="26" t="n">
        <v>1561</v>
      </c>
      <c r="G237" s="26" t="n">
        <v>-9788</v>
      </c>
      <c r="H237" s="26" t="n">
        <v>1800</v>
      </c>
      <c r="I237" s="26" t="n"/>
      <c r="J237" s="19" t="n">
        <v>0</v>
      </c>
      <c r="K237" s="37" t="n">
        <v>0.065</v>
      </c>
    </row>
    <row r="238">
      <c r="A238" s="34" t="inlineStr">
        <is>
          <t>AGA SPK-tilskudd</t>
        </is>
      </c>
      <c r="B238" s="34" t="inlineStr">
        <is>
          <t>Region Midt-Norge</t>
        </is>
      </c>
      <c r="C238" s="34" t="inlineStr">
        <is>
          <t>Orkdal barnevernsenter</t>
        </is>
      </c>
      <c r="D238" s="18" t="n"/>
      <c r="E238" s="18" t="n"/>
      <c r="F238" s="18" t="n"/>
      <c r="G238" s="18" t="n">
        <v>-14988</v>
      </c>
      <c r="H238" s="18" t="n"/>
      <c r="I238" s="18" t="n"/>
      <c r="J238" s="19" t="n">
        <v>0</v>
      </c>
      <c r="K238" s="35" t="n">
        <v>0.065</v>
      </c>
    </row>
    <row r="239">
      <c r="A239" s="36" t="inlineStr">
        <is>
          <t>AGA SPK-tilskudd</t>
        </is>
      </c>
      <c r="B239" s="36" t="inlineStr">
        <is>
          <t>Region Midt-Norge</t>
        </is>
      </c>
      <c r="C239" s="36" t="inlineStr">
        <is>
          <t>Orkdal barnevernsenter</t>
        </is>
      </c>
      <c r="D239" s="26" t="n">
        <v>-77910</v>
      </c>
      <c r="E239" s="26" t="n">
        <v>-605146</v>
      </c>
      <c r="F239" s="26" t="n">
        <v>-266526</v>
      </c>
      <c r="G239" s="26" t="n"/>
      <c r="H239" s="26" t="n"/>
      <c r="I239" s="26" t="n"/>
      <c r="J239" s="19" t="n">
        <v>0</v>
      </c>
      <c r="K239" s="37" t="n">
        <v>0.065</v>
      </c>
    </row>
    <row r="240">
      <c r="A240" s="34" t="inlineStr">
        <is>
          <t>AGA SPK-tilskudd</t>
        </is>
      </c>
      <c r="B240" s="34" t="inlineStr">
        <is>
          <t>Region Midt-Norge</t>
        </is>
      </c>
      <c r="C240" s="34" t="inlineStr">
        <is>
          <t>Orkdal barnevernsenter</t>
        </is>
      </c>
      <c r="D240" s="18" t="n">
        <v>-404076</v>
      </c>
      <c r="E240" s="18" t="n">
        <v>-1349850</v>
      </c>
      <c r="F240" s="18" t="n">
        <v>-156947</v>
      </c>
      <c r="G240" s="18" t="n">
        <v>-2115715</v>
      </c>
      <c r="H240" s="18" t="n">
        <v>-75844</v>
      </c>
      <c r="I240" s="18" t="n"/>
      <c r="J240" s="19" t="n">
        <v>0</v>
      </c>
      <c r="K240" s="35" t="n">
        <v>0.065</v>
      </c>
    </row>
    <row r="241">
      <c r="A241" s="36" t="inlineStr">
        <is>
          <t>AGA SPK-tilskudd</t>
        </is>
      </c>
      <c r="B241" s="36" t="inlineStr">
        <is>
          <t>Region Midt-Norge</t>
        </is>
      </c>
      <c r="C241" s="36" t="inlineStr">
        <is>
          <t>Ranheim Vestre</t>
        </is>
      </c>
      <c r="D241" s="26" t="n">
        <v>221749</v>
      </c>
      <c r="E241" s="26" t="n">
        <v>183345</v>
      </c>
      <c r="F241" s="26" t="n">
        <v>173197</v>
      </c>
      <c r="G241" s="26" t="n">
        <v>197528</v>
      </c>
      <c r="H241" s="26" t="n">
        <v>232504</v>
      </c>
      <c r="I241" s="26" t="n">
        <v>232229</v>
      </c>
      <c r="J241" s="19" t="n">
        <v>236558.3949781443</v>
      </c>
      <c r="K241" s="37" t="n">
        <v>0.009278347898914019</v>
      </c>
    </row>
    <row r="242">
      <c r="A242" s="34" t="inlineStr">
        <is>
          <t>AGA SPK-tilskudd</t>
        </is>
      </c>
      <c r="B242" s="34" t="inlineStr">
        <is>
          <t>Region Midt-Norge</t>
        </is>
      </c>
      <c r="C242" s="34" t="inlineStr">
        <is>
          <t>Ranheim Vestre</t>
        </is>
      </c>
      <c r="D242" s="18" t="n">
        <v>86484</v>
      </c>
      <c r="E242" s="18" t="n">
        <v>21456</v>
      </c>
      <c r="F242" s="18" t="n">
        <v>116624</v>
      </c>
      <c r="G242" s="18" t="n">
        <v>205492</v>
      </c>
      <c r="H242" s="18" t="n">
        <v>157946</v>
      </c>
      <c r="I242" s="18" t="n">
        <v>162332</v>
      </c>
      <c r="J242" s="19" t="n">
        <v>208829.3265282903</v>
      </c>
      <c r="K242" s="35" t="n">
        <v>0.1342105281716985</v>
      </c>
    </row>
    <row r="243">
      <c r="A243" s="36" t="inlineStr">
        <is>
          <t>AGA SPK-tilskudd</t>
        </is>
      </c>
      <c r="B243" s="36" t="inlineStr">
        <is>
          <t>Region Midt-Norge</t>
        </is>
      </c>
      <c r="C243" s="36" t="inlineStr">
        <is>
          <t>Ranheim Vestre</t>
        </is>
      </c>
      <c r="D243" s="26" t="n">
        <v>14235</v>
      </c>
      <c r="E243" s="26" t="n">
        <v>9403</v>
      </c>
      <c r="F243" s="26" t="n">
        <v>70545</v>
      </c>
      <c r="G243" s="26" t="n">
        <v>76670</v>
      </c>
      <c r="H243" s="26" t="n">
        <v>53218</v>
      </c>
      <c r="I243" s="26" t="n">
        <v>42735</v>
      </c>
      <c r="J243" s="19" t="n">
        <v>66336.75190423426</v>
      </c>
      <c r="K243" s="37" t="n">
        <v>0.2459059141205762</v>
      </c>
    </row>
    <row r="244">
      <c r="A244" s="34" t="inlineStr">
        <is>
          <t>AGA SPK-tilskudd</t>
        </is>
      </c>
      <c r="B244" s="34" t="inlineStr">
        <is>
          <t>Region Midt-Norge</t>
        </is>
      </c>
      <c r="C244" s="34" t="inlineStr">
        <is>
          <t>Ranheim Vestre</t>
        </is>
      </c>
      <c r="D244" s="18" t="n">
        <v>45700</v>
      </c>
      <c r="E244" s="18" t="n">
        <v>45803</v>
      </c>
      <c r="F244" s="18" t="n">
        <v>45501</v>
      </c>
      <c r="G244" s="18" t="n">
        <v>73386</v>
      </c>
      <c r="H244" s="18" t="n">
        <v>82626</v>
      </c>
      <c r="I244" s="18" t="n">
        <v>91836</v>
      </c>
      <c r="J244" s="19" t="n">
        <v>121409.2183583983</v>
      </c>
      <c r="K244" s="35" t="n">
        <v>0.1497921833827049</v>
      </c>
    </row>
    <row r="245">
      <c r="A245" s="36" t="inlineStr">
        <is>
          <t>AGA SPK-tilskudd</t>
        </is>
      </c>
      <c r="B245" s="36" t="inlineStr">
        <is>
          <t>Region Midt-Norge</t>
        </is>
      </c>
      <c r="C245" s="36" t="inlineStr">
        <is>
          <t>Ranheim Vestre</t>
        </is>
      </c>
      <c r="D245" s="26" t="n"/>
      <c r="E245" s="26" t="n"/>
      <c r="F245" s="26" t="n"/>
      <c r="G245" s="26" t="n"/>
      <c r="H245" s="26" t="n"/>
      <c r="I245" s="26" t="n">
        <v>2832</v>
      </c>
      <c r="J245" s="19" t="n">
        <v>3212.125199999999</v>
      </c>
      <c r="K245" s="37" t="n">
        <v>0.065</v>
      </c>
    </row>
    <row r="246">
      <c r="A246" s="34" t="inlineStr">
        <is>
          <t>AGA SPK-tilskudd</t>
        </is>
      </c>
      <c r="B246" s="34" t="inlineStr">
        <is>
          <t>Region Midt-Norge</t>
        </is>
      </c>
      <c r="C246" s="34" t="inlineStr">
        <is>
          <t>Ranheim Vestre</t>
        </is>
      </c>
      <c r="D246" s="18" t="n">
        <v>22563</v>
      </c>
      <c r="E246" s="18" t="n">
        <v>9383</v>
      </c>
      <c r="F246" s="18" t="n">
        <v>137607</v>
      </c>
      <c r="G246" s="18" t="n">
        <v>10270</v>
      </c>
      <c r="H246" s="18" t="n">
        <v>132180</v>
      </c>
      <c r="I246" s="18" t="n">
        <v>36217</v>
      </c>
      <c r="J246" s="19" t="n">
        <v>43764.17288482179</v>
      </c>
      <c r="K246" s="35" t="n">
        <v>0.09926683623122678</v>
      </c>
    </row>
    <row r="247">
      <c r="A247" s="36" t="inlineStr">
        <is>
          <t>AGA SPK-tilskudd</t>
        </is>
      </c>
      <c r="B247" s="36" t="inlineStr">
        <is>
          <t>Region Midt-Norge</t>
        </is>
      </c>
      <c r="C247" s="36" t="inlineStr">
        <is>
          <t>Ranheim Vestre</t>
        </is>
      </c>
      <c r="D247" s="26" t="n">
        <v>704</v>
      </c>
      <c r="E247" s="26" t="n"/>
      <c r="F247" s="26" t="n">
        <v>965</v>
      </c>
      <c r="G247" s="26" t="n">
        <v>9178</v>
      </c>
      <c r="H247" s="26" t="n">
        <v>19920</v>
      </c>
      <c r="I247" s="26" t="n">
        <v>2920</v>
      </c>
      <c r="J247" s="19" t="n">
        <v>4562.5</v>
      </c>
      <c r="K247" s="37" t="n">
        <v>0.25</v>
      </c>
    </row>
    <row r="248">
      <c r="A248" s="34" t="inlineStr">
        <is>
          <t>AGA SPK-tilskudd</t>
        </is>
      </c>
      <c r="B248" s="34" t="inlineStr">
        <is>
          <t>Region Midt-Norge</t>
        </is>
      </c>
      <c r="C248" s="34" t="inlineStr">
        <is>
          <t>Ranheim Vestre</t>
        </is>
      </c>
      <c r="D248" s="18" t="n">
        <v>3699</v>
      </c>
      <c r="E248" s="18" t="n">
        <v>548</v>
      </c>
      <c r="F248" s="18" t="n">
        <v>3374</v>
      </c>
      <c r="G248" s="18" t="n">
        <v>12910</v>
      </c>
      <c r="H248" s="18" t="n">
        <v>9922</v>
      </c>
      <c r="I248" s="18" t="n">
        <v>4413</v>
      </c>
      <c r="J248" s="19" t="n">
        <v>4735.804500442221</v>
      </c>
      <c r="K248" s="35" t="n">
        <v>0.03592882888230031</v>
      </c>
    </row>
    <row r="249">
      <c r="A249" s="36" t="inlineStr">
        <is>
          <t>AGA SPK-tilskudd</t>
        </is>
      </c>
      <c r="B249" s="36" t="inlineStr">
        <is>
          <t>Region Midt-Norge</t>
        </is>
      </c>
      <c r="C249" s="36" t="inlineStr">
        <is>
          <t>Ranheim Vestre</t>
        </is>
      </c>
      <c r="D249" s="26" t="n">
        <v>6093</v>
      </c>
      <c r="E249" s="26" t="n">
        <v>23027</v>
      </c>
      <c r="F249" s="26" t="n">
        <v>8642</v>
      </c>
      <c r="G249" s="26" t="n">
        <v>21288</v>
      </c>
      <c r="H249" s="26" t="n">
        <v>14205</v>
      </c>
      <c r="I249" s="26" t="n">
        <v>8273</v>
      </c>
      <c r="J249" s="19" t="n">
        <v>9349.658810551873</v>
      </c>
      <c r="K249" s="37" t="n">
        <v>0.06308103178186641</v>
      </c>
    </row>
    <row r="250">
      <c r="A250" s="34" t="inlineStr">
        <is>
          <t>AGA SPK-tilskudd</t>
        </is>
      </c>
      <c r="B250" s="34" t="inlineStr">
        <is>
          <t>Region Midt-Norge</t>
        </is>
      </c>
      <c r="C250" s="34" t="inlineStr">
        <is>
          <t>Ranheim Vestre</t>
        </is>
      </c>
      <c r="D250" s="18" t="n">
        <v>2724</v>
      </c>
      <c r="E250" s="18" t="n">
        <v>19224</v>
      </c>
      <c r="F250" s="18" t="n">
        <v>1598</v>
      </c>
      <c r="G250" s="18" t="n">
        <v>11971</v>
      </c>
      <c r="H250" s="18" t="n">
        <v>11847</v>
      </c>
      <c r="I250" s="18" t="n">
        <v>24028</v>
      </c>
      <c r="J250" s="19" t="n">
        <v>37543.75</v>
      </c>
      <c r="K250" s="35" t="n">
        <v>0.25</v>
      </c>
    </row>
    <row r="251">
      <c r="A251" s="36" t="inlineStr">
        <is>
          <t>AGA SPK-tilskudd</t>
        </is>
      </c>
      <c r="B251" s="36" t="inlineStr">
        <is>
          <t>Region Midt-Norge</t>
        </is>
      </c>
      <c r="C251" s="36" t="inlineStr">
        <is>
          <t>Ranheim Vestre</t>
        </is>
      </c>
      <c r="D251" s="26" t="n">
        <v>1417</v>
      </c>
      <c r="E251" s="26" t="n">
        <v>173</v>
      </c>
      <c r="F251" s="26" t="n">
        <v>2824</v>
      </c>
      <c r="G251" s="26" t="n">
        <v>7052</v>
      </c>
      <c r="H251" s="26" t="n">
        <v>8677</v>
      </c>
      <c r="I251" s="26" t="n">
        <v>3085</v>
      </c>
      <c r="J251" s="19" t="n">
        <v>4211.233240430124</v>
      </c>
      <c r="K251" s="37" t="n">
        <v>0.1683610319373876</v>
      </c>
    </row>
    <row r="252">
      <c r="A252" s="34" t="inlineStr">
        <is>
          <t>AGA SPK-tilskudd</t>
        </is>
      </c>
      <c r="B252" s="34" t="inlineStr">
        <is>
          <t>Region Midt-Norge</t>
        </is>
      </c>
      <c r="C252" s="34" t="inlineStr">
        <is>
          <t>Ranheim Vestre</t>
        </is>
      </c>
      <c r="D252" s="18" t="n"/>
      <c r="E252" s="18" t="n"/>
      <c r="F252" s="18" t="n"/>
      <c r="G252" s="18" t="n"/>
      <c r="H252" s="18" t="n"/>
      <c r="I252" s="18" t="n">
        <v>1438</v>
      </c>
      <c r="J252" s="19" t="n">
        <v>1631.01555</v>
      </c>
      <c r="K252" s="35" t="n">
        <v>0.065</v>
      </c>
    </row>
    <row r="253">
      <c r="A253" s="36" t="inlineStr">
        <is>
          <t>AGA SPK-tilskudd</t>
        </is>
      </c>
      <c r="B253" s="36" t="inlineStr">
        <is>
          <t>Region Midt-Norge</t>
        </is>
      </c>
      <c r="C253" s="36" t="inlineStr">
        <is>
          <t>Ranheim Vestre</t>
        </is>
      </c>
      <c r="D253" s="26" t="n"/>
      <c r="E253" s="26" t="n">
        <v>2540</v>
      </c>
      <c r="F253" s="26" t="n"/>
      <c r="G253" s="26" t="n">
        <v>3360</v>
      </c>
      <c r="H253" s="26" t="n">
        <v>12135</v>
      </c>
      <c r="I253" s="26" t="n">
        <v>5744</v>
      </c>
      <c r="J253" s="19" t="n">
        <v>8637.832705717823</v>
      </c>
      <c r="K253" s="37" t="n">
        <v>0.2262956244382242</v>
      </c>
    </row>
    <row r="254">
      <c r="A254" s="34" t="inlineStr">
        <is>
          <t>AGA SPK-tilskudd</t>
        </is>
      </c>
      <c r="B254" s="34" t="inlineStr">
        <is>
          <t>Region Midt-Norge</t>
        </is>
      </c>
      <c r="C254" s="34" t="inlineStr">
        <is>
          <t>Ranheim Vestre</t>
        </is>
      </c>
      <c r="D254" s="18" t="n"/>
      <c r="E254" s="18" t="n"/>
      <c r="F254" s="18" t="n">
        <v>-98260</v>
      </c>
      <c r="G254" s="18" t="n">
        <v>-36720</v>
      </c>
      <c r="H254" s="18" t="n"/>
      <c r="I254" s="18" t="n"/>
      <c r="J254" s="19" t="n">
        <v>0</v>
      </c>
      <c r="K254" s="35" t="n">
        <v>0.065</v>
      </c>
    </row>
    <row r="255">
      <c r="A255" s="36" t="inlineStr">
        <is>
          <t>AGA SPK-tilskudd</t>
        </is>
      </c>
      <c r="B255" s="36" t="inlineStr">
        <is>
          <t>Region Midt-Norge</t>
        </is>
      </c>
      <c r="C255" s="36" t="inlineStr">
        <is>
          <t>Ranheim Vestre</t>
        </is>
      </c>
      <c r="D255" s="26" t="n">
        <v>-37360</v>
      </c>
      <c r="E255" s="26" t="n">
        <v>-34878</v>
      </c>
      <c r="F255" s="26" t="n">
        <v>-43350</v>
      </c>
      <c r="G255" s="26" t="n">
        <v>-39700</v>
      </c>
      <c r="H255" s="26" t="n">
        <v>-31737</v>
      </c>
      <c r="I255" s="26" t="n">
        <v>-31537</v>
      </c>
      <c r="J255" s="19" t="n">
        <v>-35770.053825</v>
      </c>
      <c r="K255" s="37" t="n">
        <v>0.065</v>
      </c>
    </row>
    <row r="256">
      <c r="A256" s="34" t="inlineStr">
        <is>
          <t>AGA SPK-tilskudd</t>
        </is>
      </c>
      <c r="B256" s="34" t="inlineStr">
        <is>
          <t>Region Midt-Norge</t>
        </is>
      </c>
      <c r="C256" s="34" t="inlineStr">
        <is>
          <t>Ranheim Vestre</t>
        </is>
      </c>
      <c r="D256" s="18" t="n"/>
      <c r="E256" s="18" t="n"/>
      <c r="F256" s="18" t="n"/>
      <c r="G256" s="18" t="n"/>
      <c r="H256" s="18" t="n"/>
      <c r="I256" s="18" t="n">
        <v>-36720</v>
      </c>
      <c r="J256" s="19" t="n">
        <v>-41648.74199999999</v>
      </c>
      <c r="K256" s="35" t="n">
        <v>0.065</v>
      </c>
    </row>
    <row r="257">
      <c r="A257" s="36" t="inlineStr">
        <is>
          <t>AGA SPK-tilskudd</t>
        </is>
      </c>
      <c r="B257" s="36" t="inlineStr">
        <is>
          <t>Region Midt-Norge</t>
        </is>
      </c>
      <c r="C257" s="36" t="inlineStr">
        <is>
          <t>Ranheim Vestre</t>
        </is>
      </c>
      <c r="D257" s="26" t="n">
        <v>-242659</v>
      </c>
      <c r="E257" s="26" t="n">
        <v>-7478</v>
      </c>
      <c r="F257" s="26" t="n">
        <v>-499841</v>
      </c>
      <c r="G257" s="26" t="n">
        <v>-181415</v>
      </c>
      <c r="H257" s="26" t="n">
        <v>-13220</v>
      </c>
      <c r="I257" s="26" t="n">
        <v>-941080</v>
      </c>
      <c r="J257" s="19" t="n">
        <v>-1067396.463</v>
      </c>
      <c r="K257" s="37" t="n">
        <v>0.065</v>
      </c>
    </row>
    <row r="258">
      <c r="A258" s="34" t="inlineStr">
        <is>
          <t>AGA SPK-tilskudd</t>
        </is>
      </c>
      <c r="B258" s="34" t="inlineStr">
        <is>
          <t>Region Midt-Norge</t>
        </is>
      </c>
      <c r="C258" s="34" t="inlineStr">
        <is>
          <t>Ranheim Vestre</t>
        </is>
      </c>
      <c r="D258" s="18" t="n">
        <v>-1199338</v>
      </c>
      <c r="E258" s="18" t="n">
        <v>-1287100</v>
      </c>
      <c r="F258" s="18" t="n">
        <v>-810006</v>
      </c>
      <c r="G258" s="18" t="n">
        <v>-1923136</v>
      </c>
      <c r="H258" s="18" t="n">
        <v>-3213136</v>
      </c>
      <c r="I258" s="18" t="n">
        <v>-1942685</v>
      </c>
      <c r="J258" s="19" t="n">
        <v>-2203441.894125</v>
      </c>
      <c r="K258" s="35" t="n">
        <v>0.065</v>
      </c>
    </row>
    <row r="259">
      <c r="A259" s="36" t="inlineStr">
        <is>
          <t>AGA SPK-tilskudd</t>
        </is>
      </c>
      <c r="B259" s="36" t="inlineStr">
        <is>
          <t>Region Midt-Norge</t>
        </is>
      </c>
      <c r="C259" s="36" t="inlineStr">
        <is>
          <t>Ranheim Vestre, familiehjem</t>
        </is>
      </c>
      <c r="D259" s="26" t="n"/>
      <c r="E259" s="26" t="n"/>
      <c r="F259" s="26" t="n"/>
      <c r="G259" s="26" t="n"/>
      <c r="H259" s="26" t="n"/>
      <c r="I259" s="26" t="n">
        <v>95</v>
      </c>
      <c r="J259" s="19" t="n">
        <v>107.751375</v>
      </c>
      <c r="K259" s="37" t="n">
        <v>0.065</v>
      </c>
    </row>
    <row r="260">
      <c r="A260" s="34" t="inlineStr">
        <is>
          <t>AGA SPK-tilskudd</t>
        </is>
      </c>
      <c r="B260" s="34" t="inlineStr">
        <is>
          <t>Region Midt-Norge</t>
        </is>
      </c>
      <c r="C260" s="34" t="inlineStr">
        <is>
          <t>Ranheim Vestre, familiehjem</t>
        </is>
      </c>
      <c r="D260" s="18" t="n"/>
      <c r="E260" s="18" t="n"/>
      <c r="F260" s="18" t="n"/>
      <c r="G260" s="18" t="n"/>
      <c r="H260" s="18" t="n"/>
      <c r="I260" s="18" t="n">
        <v>12776</v>
      </c>
      <c r="J260" s="19" t="n">
        <v>14490.8586</v>
      </c>
      <c r="K260" s="35" t="n">
        <v>0.065</v>
      </c>
    </row>
    <row r="261">
      <c r="A261" s="36" t="inlineStr">
        <is>
          <t>AGA SPK-tilskudd</t>
        </is>
      </c>
      <c r="B261" s="36" t="inlineStr">
        <is>
          <t>Region Midt-Norge</t>
        </is>
      </c>
      <c r="C261" s="36" t="inlineStr">
        <is>
          <t>Ranheim Vestre, familiehjem</t>
        </is>
      </c>
      <c r="D261" s="26" t="n">
        <v>365</v>
      </c>
      <c r="E261" s="26" t="n">
        <v>1751</v>
      </c>
      <c r="F261" s="26" t="n"/>
      <c r="G261" s="26" t="n"/>
      <c r="H261" s="26" t="n"/>
      <c r="I261" s="26" t="n"/>
      <c r="J261" s="19" t="n">
        <v>0</v>
      </c>
      <c r="K261" s="37" t="n">
        <v>0.065</v>
      </c>
    </row>
    <row r="262">
      <c r="A262" s="34" t="inlineStr">
        <is>
          <t>AGA SPK-tilskudd</t>
        </is>
      </c>
      <c r="B262" s="34" t="inlineStr">
        <is>
          <t>Region Midt-Norge</t>
        </is>
      </c>
      <c r="C262" s="34" t="inlineStr">
        <is>
          <t>Ranheim Vestre, familiehjem</t>
        </is>
      </c>
      <c r="D262" s="18" t="n"/>
      <c r="E262" s="18" t="n"/>
      <c r="F262" s="18" t="n"/>
      <c r="G262" s="18" t="n"/>
      <c r="H262" s="18" t="n"/>
      <c r="I262" s="18" t="n">
        <v>558</v>
      </c>
      <c r="J262" s="19" t="n">
        <v>632.8975499999999</v>
      </c>
      <c r="K262" s="35" t="n">
        <v>0.065</v>
      </c>
    </row>
    <row r="263">
      <c r="A263" s="36" t="inlineStr">
        <is>
          <t>AGA SPK-tilskudd</t>
        </is>
      </c>
      <c r="B263" s="36" t="inlineStr">
        <is>
          <t>Region Midt-Norge</t>
        </is>
      </c>
      <c r="C263" s="36" t="inlineStr">
        <is>
          <t>Ranheim Vestre, familiehjem</t>
        </is>
      </c>
      <c r="D263" s="26" t="n">
        <v>43</v>
      </c>
      <c r="E263" s="26" t="n">
        <v>206</v>
      </c>
      <c r="F263" s="26" t="n"/>
      <c r="G263" s="26" t="n"/>
      <c r="H263" s="26" t="n"/>
      <c r="I263" s="26" t="n"/>
      <c r="J263" s="19" t="n">
        <v>0</v>
      </c>
      <c r="K263" s="37" t="n">
        <v>0.065</v>
      </c>
    </row>
    <row r="264">
      <c r="A264" s="34" t="inlineStr">
        <is>
          <t>AGA SPK-tilskudd</t>
        </is>
      </c>
      <c r="B264" s="34" t="inlineStr">
        <is>
          <t>Region Midt-Norge</t>
        </is>
      </c>
      <c r="C264" s="34" t="inlineStr">
        <is>
          <t>Ranheim Vestre, familiehjem</t>
        </is>
      </c>
      <c r="D264" s="18" t="n"/>
      <c r="E264" s="18" t="n"/>
      <c r="F264" s="18" t="n"/>
      <c r="G264" s="18" t="n"/>
      <c r="H264" s="18" t="n">
        <v>88</v>
      </c>
      <c r="I264" s="18" t="n">
        <v>1115</v>
      </c>
      <c r="J264" s="19" t="n">
        <v>1264.660875</v>
      </c>
      <c r="K264" s="35" t="n">
        <v>0.065</v>
      </c>
    </row>
    <row r="265">
      <c r="A265" s="36" t="inlineStr">
        <is>
          <t>AGA SPK-tilskudd</t>
        </is>
      </c>
      <c r="B265" s="36" t="inlineStr">
        <is>
          <t>Region Midt-Norge</t>
        </is>
      </c>
      <c r="C265" s="36" t="inlineStr">
        <is>
          <t>Region Midt-Norge felleskostnader barnevern</t>
        </is>
      </c>
      <c r="D265" s="26" t="n"/>
      <c r="E265" s="26" t="n"/>
      <c r="F265" s="26" t="n">
        <v>-61439</v>
      </c>
      <c r="G265" s="26" t="n">
        <v>90220</v>
      </c>
      <c r="H265" s="26" t="n">
        <v>39922</v>
      </c>
      <c r="I265" s="26" t="n">
        <v>-53142</v>
      </c>
      <c r="J265" s="19" t="n">
        <v>-60274.98494999999</v>
      </c>
      <c r="K265" s="37" t="n">
        <v>0.065</v>
      </c>
    </row>
    <row r="266">
      <c r="A266" s="34" t="inlineStr">
        <is>
          <t>AGA SPK-tilskudd</t>
        </is>
      </c>
      <c r="B266" s="34" t="inlineStr">
        <is>
          <t>Region Midt-Norge</t>
        </is>
      </c>
      <c r="C266" s="34" t="inlineStr">
        <is>
          <t>Region Midt-Norge felleskostnader barnevern</t>
        </is>
      </c>
      <c r="D266" s="18" t="n">
        <v>24089</v>
      </c>
      <c r="E266" s="18" t="n">
        <v>12801</v>
      </c>
      <c r="F266" s="18" t="n">
        <v>37862</v>
      </c>
      <c r="G266" s="18" t="n">
        <v>34047</v>
      </c>
      <c r="H266" s="18" t="n">
        <v>15665</v>
      </c>
      <c r="I266" s="18" t="n">
        <v>6046</v>
      </c>
      <c r="J266" s="19" t="n">
        <v>3477.986495168473</v>
      </c>
      <c r="K266" s="35" t="n">
        <v>-0.2415449029994337</v>
      </c>
    </row>
    <row r="267">
      <c r="A267" s="36" t="inlineStr">
        <is>
          <t>AGA SPK-tilskudd</t>
        </is>
      </c>
      <c r="B267" s="36" t="inlineStr">
        <is>
          <t>Region Midt-Norge</t>
        </is>
      </c>
      <c r="C267" s="36" t="inlineStr">
        <is>
          <t>Region Midt-Norge felleskostnader barnevern</t>
        </is>
      </c>
      <c r="D267" s="26" t="n"/>
      <c r="E267" s="26" t="n"/>
      <c r="F267" s="26" t="n"/>
      <c r="G267" s="26" t="n">
        <v>-185460</v>
      </c>
      <c r="H267" s="26" t="n">
        <v>-201792</v>
      </c>
      <c r="I267" s="26" t="n">
        <v>-244173</v>
      </c>
      <c r="J267" s="19" t="n">
        <v>-276947.1209249999</v>
      </c>
      <c r="K267" s="37" t="n">
        <v>0.065</v>
      </c>
    </row>
    <row r="268">
      <c r="A268" s="34" t="inlineStr">
        <is>
          <t>AGA SPK-tilskudd</t>
        </is>
      </c>
      <c r="B268" s="34" t="inlineStr">
        <is>
          <t>Region Midt-Norge</t>
        </is>
      </c>
      <c r="C268" s="34" t="inlineStr">
        <is>
          <t>Region Midt-Norge felleskostnader barnevern</t>
        </is>
      </c>
      <c r="D268" s="18" t="n">
        <v>18763</v>
      </c>
      <c r="E268" s="18" t="n">
        <v>33833</v>
      </c>
      <c r="F268" s="18" t="n"/>
      <c r="G268" s="18" t="n"/>
      <c r="H268" s="18" t="n">
        <v>123960</v>
      </c>
      <c r="I268" s="18" t="n">
        <v>1</v>
      </c>
      <c r="J268" s="19" t="n">
        <v>0.5625</v>
      </c>
      <c r="K268" s="35" t="n">
        <v>-0.25</v>
      </c>
    </row>
    <row r="269">
      <c r="A269" s="36" t="inlineStr">
        <is>
          <t>AGA SPK-tilskudd</t>
        </is>
      </c>
      <c r="B269" s="36" t="inlineStr">
        <is>
          <t>Region Midt-Norge</t>
        </is>
      </c>
      <c r="C269" s="36" t="inlineStr">
        <is>
          <t>Region Midt-Norge felleskostnader barnevern</t>
        </is>
      </c>
      <c r="D269" s="26" t="n"/>
      <c r="E269" s="26" t="n"/>
      <c r="F269" s="26" t="n">
        <v>536</v>
      </c>
      <c r="G269" s="26" t="n"/>
      <c r="H269" s="26" t="n"/>
      <c r="I269" s="26" t="n"/>
      <c r="J269" s="19" t="n">
        <v>0</v>
      </c>
      <c r="K269" s="37" t="n">
        <v>0.065</v>
      </c>
    </row>
    <row r="270">
      <c r="A270" s="34" t="inlineStr">
        <is>
          <t>AGA SPK-tilskudd</t>
        </is>
      </c>
      <c r="B270" s="34" t="inlineStr">
        <is>
          <t>Region Midt-Norge</t>
        </is>
      </c>
      <c r="C270" s="34" t="inlineStr">
        <is>
          <t>Region Midt-Norge felleskostnader barnevern</t>
        </is>
      </c>
      <c r="D270" s="18" t="n"/>
      <c r="E270" s="18" t="n"/>
      <c r="F270" s="18" t="n">
        <v>1779</v>
      </c>
      <c r="G270" s="18" t="n">
        <v>19135</v>
      </c>
      <c r="H270" s="18" t="n">
        <v>30883</v>
      </c>
      <c r="I270" s="18" t="n">
        <v>28692</v>
      </c>
      <c r="J270" s="19" t="n">
        <v>32543.18369999999</v>
      </c>
      <c r="K270" s="35" t="n">
        <v>0.065</v>
      </c>
    </row>
    <row r="271">
      <c r="A271" s="36" t="inlineStr">
        <is>
          <t>AGA SPK-tilskudd</t>
        </is>
      </c>
      <c r="B271" s="36" t="inlineStr">
        <is>
          <t>Region Midt-Norge</t>
        </is>
      </c>
      <c r="C271" s="36" t="inlineStr">
        <is>
          <t>Region Midt-Norge felleskostnader barnevern</t>
        </is>
      </c>
      <c r="D271" s="26" t="n"/>
      <c r="E271" s="26" t="n">
        <v>690</v>
      </c>
      <c r="F271" s="26" t="n"/>
      <c r="G271" s="26" t="n"/>
      <c r="H271" s="26" t="n"/>
      <c r="I271" s="26" t="n"/>
      <c r="J271" s="19" t="n">
        <v>0</v>
      </c>
      <c r="K271" s="37" t="n">
        <v>0.065</v>
      </c>
    </row>
    <row r="272">
      <c r="A272" s="34" t="inlineStr">
        <is>
          <t>AGA SPK-tilskudd</t>
        </is>
      </c>
      <c r="B272" s="34" t="inlineStr">
        <is>
          <t>Region Midt-Norge</t>
        </is>
      </c>
      <c r="C272" s="34" t="inlineStr">
        <is>
          <t>Region Midt-Norge felleskostnader barnevern</t>
        </is>
      </c>
      <c r="D272" s="18" t="n"/>
      <c r="E272" s="18" t="n"/>
      <c r="F272" s="18" t="n">
        <v>103</v>
      </c>
      <c r="G272" s="18" t="n"/>
      <c r="H272" s="18" t="n"/>
      <c r="I272" s="18" t="n"/>
      <c r="J272" s="19" t="n">
        <v>0</v>
      </c>
      <c r="K272" s="35" t="n">
        <v>0.065</v>
      </c>
    </row>
    <row r="273">
      <c r="A273" s="36" t="inlineStr">
        <is>
          <t>AGA SPK-tilskudd</t>
        </is>
      </c>
      <c r="B273" s="36" t="inlineStr">
        <is>
          <t>Region Midt-Norge</t>
        </is>
      </c>
      <c r="C273" s="36" t="inlineStr">
        <is>
          <t>Region Midt-Norge felleskostnader barnevern</t>
        </is>
      </c>
      <c r="D273" s="26" t="n">
        <v>119450</v>
      </c>
      <c r="E273" s="26" t="n">
        <v>99672</v>
      </c>
      <c r="F273" s="26" t="n">
        <v>92707</v>
      </c>
      <c r="G273" s="26" t="n">
        <v>99421</v>
      </c>
      <c r="H273" s="26" t="n">
        <v>105600</v>
      </c>
      <c r="I273" s="26" t="n">
        <v>122601</v>
      </c>
      <c r="J273" s="19" t="n">
        <v>123884.552362983</v>
      </c>
      <c r="K273" s="37" t="n">
        <v>0.005221043653526936</v>
      </c>
    </row>
    <row r="274">
      <c r="A274" s="34" t="inlineStr">
        <is>
          <t>AGA SPK-tilskudd</t>
        </is>
      </c>
      <c r="B274" s="34" t="inlineStr">
        <is>
          <t>Region Midt-Norge</t>
        </is>
      </c>
      <c r="C274" s="34" t="inlineStr">
        <is>
          <t>Region Midt-Norge felleskostnader barnevern</t>
        </is>
      </c>
      <c r="D274" s="18" t="n"/>
      <c r="E274" s="18" t="n"/>
      <c r="F274" s="18" t="n">
        <v>-270215</v>
      </c>
      <c r="G274" s="18" t="n"/>
      <c r="H274" s="18" t="n"/>
      <c r="I274" s="18" t="n"/>
      <c r="J274" s="19" t="n">
        <v>0</v>
      </c>
      <c r="K274" s="35" t="n">
        <v>0.065</v>
      </c>
    </row>
    <row r="275">
      <c r="A275" s="36" t="inlineStr">
        <is>
          <t>AGA SPK-tilskudd</t>
        </is>
      </c>
      <c r="B275" s="36" t="inlineStr">
        <is>
          <t>Region Midt-Norge</t>
        </is>
      </c>
      <c r="C275" s="36" t="inlineStr">
        <is>
          <t>Regionkontor felleskostnader</t>
        </is>
      </c>
      <c r="D275" s="26" t="n"/>
      <c r="E275" s="26" t="n"/>
      <c r="F275" s="26" t="n">
        <v>3018</v>
      </c>
      <c r="G275" s="26" t="n"/>
      <c r="H275" s="26" t="n"/>
      <c r="I275" s="26" t="n">
        <v>2100</v>
      </c>
      <c r="J275" s="19" t="n">
        <v>2381.872499999999</v>
      </c>
      <c r="K275" s="37" t="n">
        <v>0.065</v>
      </c>
    </row>
    <row r="276">
      <c r="A276" s="34" t="inlineStr">
        <is>
          <t>AGA SPK-tilskudd</t>
        </is>
      </c>
      <c r="B276" s="34" t="inlineStr">
        <is>
          <t>Region Midt-Norge</t>
        </is>
      </c>
      <c r="C276" s="34" t="inlineStr">
        <is>
          <t>Regionkontor felleskostnader</t>
        </is>
      </c>
      <c r="D276" s="18" t="n"/>
      <c r="E276" s="18" t="n"/>
      <c r="F276" s="18" t="n">
        <v>60</v>
      </c>
      <c r="G276" s="18" t="n"/>
      <c r="H276" s="18" t="n"/>
      <c r="I276" s="18" t="n"/>
      <c r="J276" s="19" t="n">
        <v>0</v>
      </c>
      <c r="K276" s="35" t="n">
        <v>0.065</v>
      </c>
    </row>
    <row r="277">
      <c r="A277" s="36" t="inlineStr">
        <is>
          <t>AGA SPK-tilskudd</t>
        </is>
      </c>
      <c r="B277" s="36" t="inlineStr">
        <is>
          <t>Region Midt-Norge</t>
        </is>
      </c>
      <c r="C277" s="36" t="inlineStr">
        <is>
          <t>Regionkontor felleskostnader</t>
        </is>
      </c>
      <c r="D277" s="26" t="n"/>
      <c r="E277" s="26" t="n"/>
      <c r="F277" s="26" t="n"/>
      <c r="G277" s="26" t="n">
        <v>511</v>
      </c>
      <c r="H277" s="26" t="n"/>
      <c r="I277" s="26" t="n"/>
      <c r="J277" s="19" t="n">
        <v>0</v>
      </c>
      <c r="K277" s="37" t="n">
        <v>0.065</v>
      </c>
    </row>
    <row r="278">
      <c r="A278" s="34" t="inlineStr">
        <is>
          <t>AGA SPK-tilskudd</t>
        </is>
      </c>
      <c r="B278" s="34" t="inlineStr">
        <is>
          <t>Region Midt-Norge</t>
        </is>
      </c>
      <c r="C278" s="34" t="inlineStr">
        <is>
          <t>Regionkontor felleskostnader</t>
        </is>
      </c>
      <c r="D278" s="18" t="n"/>
      <c r="E278" s="18" t="n"/>
      <c r="F278" s="18" t="n"/>
      <c r="G278" s="18" t="n">
        <v>11</v>
      </c>
      <c r="H278" s="18" t="n"/>
      <c r="I278" s="18" t="n"/>
      <c r="J278" s="19" t="n">
        <v>0</v>
      </c>
      <c r="K278" s="35" t="n">
        <v>0.065</v>
      </c>
    </row>
    <row r="279">
      <c r="A279" s="36" t="inlineStr">
        <is>
          <t>AGA SPK-tilskudd</t>
        </is>
      </c>
      <c r="B279" s="36" t="inlineStr">
        <is>
          <t>Region Midt-Norge</t>
        </is>
      </c>
      <c r="C279" s="36" t="inlineStr">
        <is>
          <t>Regionkontor felleskostnader</t>
        </is>
      </c>
      <c r="D279" s="26" t="n"/>
      <c r="E279" s="26" t="n"/>
      <c r="F279" s="26" t="n">
        <v>1443</v>
      </c>
      <c r="G279" s="26" t="n">
        <v>2715</v>
      </c>
      <c r="H279" s="26" t="n">
        <v>12136</v>
      </c>
      <c r="I279" s="26" t="n">
        <v>5731</v>
      </c>
      <c r="J279" s="19" t="n">
        <v>6500.243474999999</v>
      </c>
      <c r="K279" s="37" t="n">
        <v>0.065</v>
      </c>
    </row>
    <row r="280">
      <c r="A280" s="34" t="inlineStr">
        <is>
          <t>AGA SPK-tilskudd</t>
        </is>
      </c>
      <c r="B280" s="34" t="inlineStr">
        <is>
          <t>Region Midt-Norge</t>
        </is>
      </c>
      <c r="C280" s="34" t="inlineStr">
        <is>
          <t>Seksjon fagstøtte inkl adopsjon</t>
        </is>
      </c>
      <c r="D280" s="18" t="n"/>
      <c r="E280" s="18" t="n"/>
      <c r="F280" s="18" t="n"/>
      <c r="G280" s="18" t="n">
        <v>3431</v>
      </c>
      <c r="H280" s="18" t="n">
        <v>9304</v>
      </c>
      <c r="I280" s="18" t="n">
        <v>12676</v>
      </c>
      <c r="J280" s="19" t="n">
        <v>14377.4361</v>
      </c>
      <c r="K280" s="35" t="n">
        <v>0.065</v>
      </c>
    </row>
    <row r="281">
      <c r="A281" s="36" t="inlineStr">
        <is>
          <t>AGA SPK-tilskudd</t>
        </is>
      </c>
      <c r="B281" s="36" t="inlineStr">
        <is>
          <t>Region Midt-Norge</t>
        </is>
      </c>
      <c r="C281" s="36" t="inlineStr">
        <is>
          <t>Seksjon fagstøtte inkl adopsjon</t>
        </is>
      </c>
      <c r="D281" s="26" t="n"/>
      <c r="E281" s="26" t="n">
        <v>532</v>
      </c>
      <c r="F281" s="26" t="n">
        <v>32902</v>
      </c>
      <c r="G281" s="26" t="n">
        <v>17148</v>
      </c>
      <c r="H281" s="26" t="n">
        <v>26806</v>
      </c>
      <c r="I281" s="26" t="n">
        <v>47104</v>
      </c>
      <c r="J281" s="19" t="n">
        <v>73600</v>
      </c>
      <c r="K281" s="37" t="n">
        <v>0.25</v>
      </c>
    </row>
    <row r="282">
      <c r="A282" s="34" t="inlineStr">
        <is>
          <t>AGA SPK-tilskudd</t>
        </is>
      </c>
      <c r="B282" s="34" t="inlineStr">
        <is>
          <t>Region Midt-Norge</t>
        </is>
      </c>
      <c r="C282" s="34" t="inlineStr">
        <is>
          <t>Seksjon fagstøtte inkl adopsjon</t>
        </is>
      </c>
      <c r="D282" s="18" t="n"/>
      <c r="E282" s="18" t="n"/>
      <c r="F282" s="18" t="n"/>
      <c r="G282" s="18" t="n">
        <v>664</v>
      </c>
      <c r="H282" s="18" t="n">
        <v>1804</v>
      </c>
      <c r="I282" s="18" t="n">
        <v>2595</v>
      </c>
      <c r="J282" s="19" t="n">
        <v>2943.313874999999</v>
      </c>
      <c r="K282" s="35" t="n">
        <v>0.065</v>
      </c>
    </row>
    <row r="283">
      <c r="A283" s="36" t="inlineStr">
        <is>
          <t>AGA SPK-tilskudd</t>
        </is>
      </c>
      <c r="B283" s="36" t="inlineStr">
        <is>
          <t>Region Midt-Norge</t>
        </is>
      </c>
      <c r="C283" s="36" t="inlineStr">
        <is>
          <t>Seksjon fagstøtte inkl adopsjon</t>
        </is>
      </c>
      <c r="D283" s="26" t="n"/>
      <c r="E283" s="26" t="n"/>
      <c r="F283" s="26" t="n"/>
      <c r="G283" s="26" t="n">
        <v>7901</v>
      </c>
      <c r="H283" s="26" t="n">
        <v>2765</v>
      </c>
      <c r="I283" s="26" t="n">
        <v>644</v>
      </c>
      <c r="J283" s="19" t="n">
        <v>730.4408999999998</v>
      </c>
      <c r="K283" s="37" t="n">
        <v>0.065</v>
      </c>
    </row>
    <row r="284">
      <c r="A284" s="34" t="inlineStr">
        <is>
          <t>AGA SPK-tilskudd</t>
        </is>
      </c>
      <c r="B284" s="34" t="inlineStr">
        <is>
          <t>Region Midt-Norge</t>
        </is>
      </c>
      <c r="C284" s="34" t="inlineStr">
        <is>
          <t>Seksjon fagstøtte inkl adopsjon</t>
        </is>
      </c>
      <c r="D284" s="18" t="n"/>
      <c r="E284" s="18" t="n">
        <v>608</v>
      </c>
      <c r="F284" s="18" t="n"/>
      <c r="G284" s="18" t="n">
        <v>18105</v>
      </c>
      <c r="H284" s="18" t="n">
        <v>4831</v>
      </c>
      <c r="I284" s="18" t="n">
        <v>4700</v>
      </c>
      <c r="J284" s="19" t="n">
        <v>7343.75</v>
      </c>
      <c r="K284" s="35" t="n">
        <v>0.25</v>
      </c>
    </row>
    <row r="285">
      <c r="A285" s="36" t="inlineStr">
        <is>
          <t>AGA SPK-tilskudd</t>
        </is>
      </c>
      <c r="B285" s="36" t="inlineStr">
        <is>
          <t>Region Midt-Norge</t>
        </is>
      </c>
      <c r="C285" s="36" t="inlineStr">
        <is>
          <t>Seksjon fagstøtte inkl adopsjon</t>
        </is>
      </c>
      <c r="D285" s="26" t="n"/>
      <c r="E285" s="26" t="n"/>
      <c r="F285" s="26" t="n"/>
      <c r="G285" s="26" t="n">
        <v>2185</v>
      </c>
      <c r="H285" s="26" t="n"/>
      <c r="I285" s="26" t="n">
        <v>136</v>
      </c>
      <c r="J285" s="19" t="n">
        <v>154.2546</v>
      </c>
      <c r="K285" s="37" t="n">
        <v>0.065</v>
      </c>
    </row>
    <row r="286">
      <c r="A286" s="34" t="inlineStr">
        <is>
          <t>AGA SPK-tilskudd</t>
        </is>
      </c>
      <c r="B286" s="34" t="inlineStr">
        <is>
          <t>Region Midt-Norge</t>
        </is>
      </c>
      <c r="C286" s="34" t="inlineStr">
        <is>
          <t>Seksjon fagstøtte inkl adopsjon</t>
        </is>
      </c>
      <c r="D286" s="18" t="n"/>
      <c r="E286" s="18" t="n">
        <v>194</v>
      </c>
      <c r="F286" s="18" t="n"/>
      <c r="G286" s="18" t="n">
        <v>8098</v>
      </c>
      <c r="H286" s="18" t="n">
        <v>2266</v>
      </c>
      <c r="I286" s="18" t="n">
        <v>1830</v>
      </c>
      <c r="J286" s="19" t="n">
        <v>2859.375</v>
      </c>
      <c r="K286" s="35" t="n">
        <v>0.25</v>
      </c>
    </row>
    <row r="287">
      <c r="A287" s="36" t="inlineStr">
        <is>
          <t>AGA SPK-tilskudd</t>
        </is>
      </c>
      <c r="B287" s="36" t="inlineStr">
        <is>
          <t>Region Midt-Norge</t>
        </is>
      </c>
      <c r="C287" s="36" t="inlineStr">
        <is>
          <t>Seksjon fagstøtte inkl adopsjon</t>
        </is>
      </c>
      <c r="D287" s="26" t="n"/>
      <c r="E287" s="26" t="n"/>
      <c r="F287" s="26" t="n"/>
      <c r="G287" s="26" t="n"/>
      <c r="H287" s="26" t="n"/>
      <c r="I287" s="26" t="n">
        <v>-350</v>
      </c>
      <c r="J287" s="19" t="n">
        <v>-396.9787499999999</v>
      </c>
      <c r="K287" s="37" t="n">
        <v>0.065</v>
      </c>
    </row>
    <row r="288">
      <c r="A288" s="34" t="inlineStr">
        <is>
          <t>AGA SPK-tilskudd</t>
        </is>
      </c>
      <c r="B288" s="34" t="inlineStr">
        <is>
          <t>Region Midt-Norge</t>
        </is>
      </c>
      <c r="C288" s="34" t="inlineStr">
        <is>
          <t>Skatval ungdomssenter</t>
        </is>
      </c>
      <c r="D288" s="18" t="n"/>
      <c r="E288" s="18" t="n"/>
      <c r="F288" s="18" t="n"/>
      <c r="G288" s="18" t="n"/>
      <c r="H288" s="18" t="n">
        <v>89783</v>
      </c>
      <c r="I288" s="18" t="n">
        <v>253282</v>
      </c>
      <c r="J288" s="19" t="n">
        <v>287278.7764499999</v>
      </c>
      <c r="K288" s="35" t="n">
        <v>0.065</v>
      </c>
    </row>
    <row r="289">
      <c r="A289" s="36" t="inlineStr">
        <is>
          <t>AGA SPK-tilskudd</t>
        </is>
      </c>
      <c r="B289" s="36" t="inlineStr">
        <is>
          <t>Region Midt-Norge</t>
        </is>
      </c>
      <c r="C289" s="36" t="inlineStr">
        <is>
          <t>Skatval ungdomssenter</t>
        </is>
      </c>
      <c r="D289" s="26" t="n"/>
      <c r="E289" s="26" t="n"/>
      <c r="F289" s="26" t="n"/>
      <c r="G289" s="26" t="n"/>
      <c r="H289" s="26" t="n"/>
      <c r="I289" s="26" t="n">
        <v>132111</v>
      </c>
      <c r="J289" s="19" t="n">
        <v>149843.598975</v>
      </c>
      <c r="K289" s="37" t="n">
        <v>0.065</v>
      </c>
    </row>
    <row r="290">
      <c r="A290" s="34" t="inlineStr">
        <is>
          <t>AGA SPK-tilskudd</t>
        </is>
      </c>
      <c r="B290" s="34" t="inlineStr">
        <is>
          <t>Region Midt-Norge</t>
        </is>
      </c>
      <c r="C290" s="34" t="inlineStr">
        <is>
          <t>Skatval ungdomssenter</t>
        </is>
      </c>
      <c r="D290" s="18" t="n"/>
      <c r="E290" s="18" t="n"/>
      <c r="F290" s="18" t="n"/>
      <c r="G290" s="18" t="n"/>
      <c r="H290" s="18" t="n">
        <v>42123</v>
      </c>
      <c r="I290" s="18" t="n">
        <v>21942</v>
      </c>
      <c r="J290" s="19" t="n">
        <v>24887.16494999999</v>
      </c>
      <c r="K290" s="35" t="n">
        <v>0.065</v>
      </c>
    </row>
    <row r="291">
      <c r="A291" s="36" t="inlineStr">
        <is>
          <t>AGA SPK-tilskudd</t>
        </is>
      </c>
      <c r="B291" s="36" t="inlineStr">
        <is>
          <t>Region Midt-Norge</t>
        </is>
      </c>
      <c r="C291" s="36" t="inlineStr">
        <is>
          <t>Skatval ungdomssenter</t>
        </is>
      </c>
      <c r="D291" s="26" t="n"/>
      <c r="E291" s="26" t="n"/>
      <c r="F291" s="26" t="n"/>
      <c r="G291" s="26" t="n"/>
      <c r="H291" s="26" t="n">
        <v>23366</v>
      </c>
      <c r="I291" s="26" t="n">
        <v>86051</v>
      </c>
      <c r="J291" s="19" t="n">
        <v>97601.19547499999</v>
      </c>
      <c r="K291" s="37" t="n">
        <v>0.065</v>
      </c>
    </row>
    <row r="292">
      <c r="A292" s="34" t="inlineStr">
        <is>
          <t>AGA SPK-tilskudd</t>
        </is>
      </c>
      <c r="B292" s="34" t="inlineStr">
        <is>
          <t>Region Midt-Norge</t>
        </is>
      </c>
      <c r="C292" s="34" t="inlineStr">
        <is>
          <t>Skatval ungdomssenter</t>
        </is>
      </c>
      <c r="D292" s="18" t="n"/>
      <c r="E292" s="18" t="n"/>
      <c r="F292" s="18" t="n"/>
      <c r="G292" s="18" t="n"/>
      <c r="H292" s="18" t="n">
        <v>1290</v>
      </c>
      <c r="I292" s="18" t="n">
        <v>1290</v>
      </c>
      <c r="J292" s="19" t="n">
        <v>1463.15025</v>
      </c>
      <c r="K292" s="35" t="n">
        <v>0.065</v>
      </c>
    </row>
    <row r="293">
      <c r="A293" s="36" t="inlineStr">
        <is>
          <t>AGA SPK-tilskudd</t>
        </is>
      </c>
      <c r="B293" s="36" t="inlineStr">
        <is>
          <t>Region Midt-Norge</t>
        </is>
      </c>
      <c r="C293" s="36" t="inlineStr">
        <is>
          <t>Skatval ungdomssenter</t>
        </is>
      </c>
      <c r="D293" s="26" t="n"/>
      <c r="E293" s="26" t="n"/>
      <c r="F293" s="26" t="n"/>
      <c r="G293" s="26" t="n"/>
      <c r="H293" s="26" t="n">
        <v>6209</v>
      </c>
      <c r="I293" s="26" t="n">
        <v>44453</v>
      </c>
      <c r="J293" s="19" t="n">
        <v>50419.70392499999</v>
      </c>
      <c r="K293" s="37" t="n">
        <v>0.065</v>
      </c>
    </row>
    <row r="294">
      <c r="A294" s="34" t="inlineStr">
        <is>
          <t>AGA SPK-tilskudd</t>
        </is>
      </c>
      <c r="B294" s="34" t="inlineStr">
        <is>
          <t>Region Midt-Norge</t>
        </is>
      </c>
      <c r="C294" s="34" t="inlineStr">
        <is>
          <t>Skatval ungdomssenter</t>
        </is>
      </c>
      <c r="D294" s="18" t="n"/>
      <c r="E294" s="18" t="n"/>
      <c r="F294" s="18" t="n"/>
      <c r="G294" s="18" t="n"/>
      <c r="H294" s="18" t="n">
        <v>2292</v>
      </c>
      <c r="I294" s="18" t="n">
        <v>157</v>
      </c>
      <c r="J294" s="19" t="n">
        <v>178.073325</v>
      </c>
      <c r="K294" s="35" t="n">
        <v>0.065</v>
      </c>
    </row>
    <row r="295">
      <c r="A295" s="36" t="inlineStr">
        <is>
          <t>AGA SPK-tilskudd</t>
        </is>
      </c>
      <c r="B295" s="36" t="inlineStr">
        <is>
          <t>Region Midt-Norge</t>
        </is>
      </c>
      <c r="C295" s="36" t="inlineStr">
        <is>
          <t>Skatval ungdomssenter</t>
        </is>
      </c>
      <c r="D295" s="26" t="n"/>
      <c r="E295" s="26" t="n"/>
      <c r="F295" s="26" t="n"/>
      <c r="G295" s="26" t="n"/>
      <c r="H295" s="26" t="n"/>
      <c r="I295" s="26" t="n">
        <v>5705</v>
      </c>
      <c r="J295" s="19" t="n">
        <v>6470.753624999999</v>
      </c>
      <c r="K295" s="37" t="n">
        <v>0.065</v>
      </c>
    </row>
    <row r="296">
      <c r="A296" s="34" t="inlineStr">
        <is>
          <t>AGA SPK-tilskudd</t>
        </is>
      </c>
      <c r="B296" s="34" t="inlineStr">
        <is>
          <t>Region Midt-Norge</t>
        </is>
      </c>
      <c r="C296" s="34" t="inlineStr">
        <is>
          <t>Skatval ungdomssenter</t>
        </is>
      </c>
      <c r="D296" s="18" t="n"/>
      <c r="E296" s="18" t="n"/>
      <c r="F296" s="18" t="n"/>
      <c r="G296" s="18" t="n"/>
      <c r="H296" s="18" t="n"/>
      <c r="I296" s="18" t="n">
        <v>475</v>
      </c>
      <c r="J296" s="19" t="n">
        <v>538.7568749999999</v>
      </c>
      <c r="K296" s="35" t="n">
        <v>0.065</v>
      </c>
    </row>
    <row r="297">
      <c r="A297" s="36" t="inlineStr">
        <is>
          <t>AGA SPK-tilskudd</t>
        </is>
      </c>
      <c r="B297" s="36" t="inlineStr">
        <is>
          <t>Region Midt-Norge</t>
        </is>
      </c>
      <c r="C297" s="36" t="inlineStr">
        <is>
          <t>Skatval ungdomssenter</t>
        </is>
      </c>
      <c r="D297" s="26" t="n"/>
      <c r="E297" s="26" t="n"/>
      <c r="F297" s="26" t="n"/>
      <c r="G297" s="26" t="n"/>
      <c r="H297" s="26" t="n">
        <v>4309</v>
      </c>
      <c r="I297" s="26" t="n">
        <v>73742</v>
      </c>
      <c r="J297" s="19" t="n">
        <v>83640.01994999999</v>
      </c>
      <c r="K297" s="37" t="n">
        <v>0.065</v>
      </c>
    </row>
    <row r="298">
      <c r="A298" s="34" t="inlineStr">
        <is>
          <t>AGA SPK-tilskudd</t>
        </is>
      </c>
      <c r="B298" s="34" t="inlineStr">
        <is>
          <t>Region Midt-Norge</t>
        </is>
      </c>
      <c r="C298" s="34" t="inlineStr">
        <is>
          <t>Skatval ungdomssenter</t>
        </is>
      </c>
      <c r="D298" s="18" t="n"/>
      <c r="E298" s="18" t="n"/>
      <c r="F298" s="18" t="n"/>
      <c r="G298" s="18" t="n"/>
      <c r="H298" s="18" t="n"/>
      <c r="I298" s="18" t="n">
        <v>14990</v>
      </c>
      <c r="J298" s="19" t="n">
        <v>17002.03275</v>
      </c>
      <c r="K298" s="35" t="n">
        <v>0.065</v>
      </c>
    </row>
    <row r="299">
      <c r="A299" s="36" t="inlineStr">
        <is>
          <t>AGA SPK-tilskudd</t>
        </is>
      </c>
      <c r="B299" s="36" t="inlineStr">
        <is>
          <t>Region Midt-Norge</t>
        </is>
      </c>
      <c r="C299" s="36" t="inlineStr">
        <is>
          <t>Skatval ungdomssenter</t>
        </is>
      </c>
      <c r="D299" s="26" t="n"/>
      <c r="E299" s="26" t="n"/>
      <c r="F299" s="26" t="n"/>
      <c r="G299" s="26" t="n"/>
      <c r="H299" s="26" t="n">
        <v>-10455</v>
      </c>
      <c r="I299" s="26" t="n">
        <v>-56319</v>
      </c>
      <c r="J299" s="19" t="n">
        <v>-63878.41777499999</v>
      </c>
      <c r="K299" s="37" t="n">
        <v>0.065</v>
      </c>
    </row>
    <row r="300">
      <c r="A300" s="34" t="inlineStr">
        <is>
          <t>AGA SPK-tilskudd</t>
        </is>
      </c>
      <c r="B300" s="34" t="inlineStr">
        <is>
          <t>Region Midt-Norge</t>
        </is>
      </c>
      <c r="C300" s="34" t="inlineStr">
        <is>
          <t>Skatval ungdomssenter</t>
        </is>
      </c>
      <c r="D300" s="18" t="n"/>
      <c r="E300" s="18" t="n"/>
      <c r="F300" s="18" t="n"/>
      <c r="G300" s="18" t="n"/>
      <c r="H300" s="18" t="n">
        <v>-39220</v>
      </c>
      <c r="I300" s="18" t="n"/>
      <c r="J300" s="19" t="n">
        <v>0</v>
      </c>
      <c r="K300" s="35" t="n">
        <v>0.065</v>
      </c>
    </row>
    <row r="301">
      <c r="A301" s="36" t="inlineStr">
        <is>
          <t>AGA SPK-tilskudd</t>
        </is>
      </c>
      <c r="B301" s="36" t="inlineStr">
        <is>
          <t>Region Midt-Norge</t>
        </is>
      </c>
      <c r="C301" s="36" t="inlineStr">
        <is>
          <t>Skatval ungdomssenter</t>
        </is>
      </c>
      <c r="D301" s="26" t="n"/>
      <c r="E301" s="26" t="n"/>
      <c r="F301" s="26" t="n"/>
      <c r="G301" s="26" t="n"/>
      <c r="H301" s="26" t="n">
        <v>-26088</v>
      </c>
      <c r="I301" s="26" t="n">
        <v>-1699032</v>
      </c>
      <c r="J301" s="19" t="n">
        <v>-1927084.5702</v>
      </c>
      <c r="K301" s="37" t="n">
        <v>0.065</v>
      </c>
    </row>
    <row r="302">
      <c r="A302" s="34" t="inlineStr">
        <is>
          <t>AGA SPK-tilskudd</t>
        </is>
      </c>
      <c r="B302" s="34" t="inlineStr">
        <is>
          <t>Region Midt-Norge</t>
        </is>
      </c>
      <c r="C302" s="34" t="inlineStr">
        <is>
          <t>Spillumheimen ungdomsheim</t>
        </is>
      </c>
      <c r="D302" s="18" t="n">
        <v>86996</v>
      </c>
      <c r="E302" s="18" t="n">
        <v>73319</v>
      </c>
      <c r="F302" s="18" t="n">
        <v>54019</v>
      </c>
      <c r="G302" s="18" t="n">
        <v>56020</v>
      </c>
      <c r="H302" s="18" t="n">
        <v>41947</v>
      </c>
      <c r="I302" s="18" t="n">
        <v>9111</v>
      </c>
      <c r="J302" s="19" t="n">
        <v>5124.9375</v>
      </c>
      <c r="K302" s="35" t="n">
        <v>-0.25</v>
      </c>
    </row>
    <row r="303">
      <c r="A303" s="36" t="inlineStr">
        <is>
          <t>AGA SPK-tilskudd</t>
        </is>
      </c>
      <c r="B303" s="36" t="inlineStr">
        <is>
          <t>Region Midt-Norge</t>
        </is>
      </c>
      <c r="C303" s="36" t="inlineStr">
        <is>
          <t>Spillumheimen ungdomsheim</t>
        </is>
      </c>
      <c r="D303" s="26" t="n">
        <v>248591</v>
      </c>
      <c r="E303" s="26" t="n">
        <v>76160</v>
      </c>
      <c r="F303" s="26" t="n"/>
      <c r="G303" s="26" t="n">
        <v>4393</v>
      </c>
      <c r="H303" s="26" t="n">
        <v>21033</v>
      </c>
      <c r="I303" s="26" t="n"/>
      <c r="J303" s="19" t="n">
        <v>0</v>
      </c>
      <c r="K303" s="37" t="n">
        <v>0.065</v>
      </c>
    </row>
    <row r="304">
      <c r="A304" s="34" t="inlineStr">
        <is>
          <t>AGA SPK-tilskudd</t>
        </is>
      </c>
      <c r="B304" s="34" t="inlineStr">
        <is>
          <t>Region Midt-Norge</t>
        </is>
      </c>
      <c r="C304" s="34" t="inlineStr">
        <is>
          <t>Spillumheimen ungdomsheim</t>
        </is>
      </c>
      <c r="D304" s="18" t="n">
        <v>73142</v>
      </c>
      <c r="E304" s="18" t="n">
        <v>53698</v>
      </c>
      <c r="F304" s="18" t="n">
        <v>292880</v>
      </c>
      <c r="G304" s="18" t="n">
        <v>92247</v>
      </c>
      <c r="H304" s="18" t="n">
        <v>52744</v>
      </c>
      <c r="I304" s="18" t="n">
        <v>-1333</v>
      </c>
      <c r="J304" s="19" t="n">
        <v>-1511.921925</v>
      </c>
      <c r="K304" s="35" t="n">
        <v>0.065</v>
      </c>
    </row>
    <row r="305">
      <c r="A305" s="36" t="inlineStr">
        <is>
          <t>AGA SPK-tilskudd</t>
        </is>
      </c>
      <c r="B305" s="36" t="inlineStr">
        <is>
          <t>Region Midt-Norge</t>
        </is>
      </c>
      <c r="C305" s="36" t="inlineStr">
        <is>
          <t>Spillumheimen ungdomsheim</t>
        </is>
      </c>
      <c r="D305" s="26" t="n">
        <v>42800</v>
      </c>
      <c r="E305" s="26" t="n">
        <v>45499</v>
      </c>
      <c r="F305" s="26" t="n">
        <v>45501</v>
      </c>
      <c r="G305" s="26" t="n">
        <v>60902</v>
      </c>
      <c r="H305" s="26" t="n">
        <v>42735</v>
      </c>
      <c r="I305" s="26" t="n">
        <v>6055</v>
      </c>
      <c r="J305" s="19" t="n">
        <v>3405.9375</v>
      </c>
      <c r="K305" s="37" t="n">
        <v>-0.25</v>
      </c>
    </row>
    <row r="306">
      <c r="A306" s="34" t="inlineStr">
        <is>
          <t>AGA SPK-tilskudd</t>
        </is>
      </c>
      <c r="B306" s="34" t="inlineStr">
        <is>
          <t>Region Midt-Norge</t>
        </is>
      </c>
      <c r="C306" s="34" t="inlineStr">
        <is>
          <t>Spillumheimen ungdomsheim</t>
        </is>
      </c>
      <c r="D306" s="18" t="n">
        <v>5886</v>
      </c>
      <c r="E306" s="18" t="n">
        <v>30889</v>
      </c>
      <c r="F306" s="18" t="n">
        <v>114755</v>
      </c>
      <c r="G306" s="18" t="n">
        <v>152602</v>
      </c>
      <c r="H306" s="18" t="n">
        <v>73378</v>
      </c>
      <c r="I306" s="18" t="n">
        <v>26905</v>
      </c>
      <c r="J306" s="19" t="n">
        <v>42039.0625</v>
      </c>
      <c r="K306" s="35" t="n">
        <v>0.25</v>
      </c>
    </row>
    <row r="307">
      <c r="A307" s="36" t="inlineStr">
        <is>
          <t>AGA SPK-tilskudd</t>
        </is>
      </c>
      <c r="B307" s="36" t="inlineStr">
        <is>
          <t>Region Midt-Norge</t>
        </is>
      </c>
      <c r="C307" s="36" t="inlineStr">
        <is>
          <t>Spillumheimen ungdomsheim</t>
        </is>
      </c>
      <c r="D307" s="26" t="n"/>
      <c r="E307" s="26" t="n"/>
      <c r="F307" s="26" t="n"/>
      <c r="G307" s="26" t="n"/>
      <c r="H307" s="26" t="n"/>
      <c r="I307" s="26" t="n">
        <v>2311264</v>
      </c>
      <c r="J307" s="19" t="n">
        <v>2621493.410399999</v>
      </c>
      <c r="K307" s="37" t="n">
        <v>0.065</v>
      </c>
    </row>
    <row r="308">
      <c r="A308" s="34" t="inlineStr">
        <is>
          <t>AGA SPK-tilskudd</t>
        </is>
      </c>
      <c r="B308" s="34" t="inlineStr">
        <is>
          <t>Region Midt-Norge</t>
        </is>
      </c>
      <c r="C308" s="34" t="inlineStr">
        <is>
          <t>Spillumheimen ungdomsheim</t>
        </is>
      </c>
      <c r="D308" s="18" t="n">
        <v>8869</v>
      </c>
      <c r="E308" s="18" t="n">
        <v>22522</v>
      </c>
      <c r="F308" s="18" t="n">
        <v>27510</v>
      </c>
      <c r="G308" s="18" t="n">
        <v>14084</v>
      </c>
      <c r="H308" s="18" t="n">
        <v>19530</v>
      </c>
      <c r="I308" s="18" t="n">
        <v>3490</v>
      </c>
      <c r="J308" s="19" t="n">
        <v>2403.287545255189</v>
      </c>
      <c r="K308" s="35" t="n">
        <v>-0.1701680452410724</v>
      </c>
    </row>
    <row r="309">
      <c r="A309" s="36" t="inlineStr">
        <is>
          <t>AGA SPK-tilskudd</t>
        </is>
      </c>
      <c r="B309" s="36" t="inlineStr">
        <is>
          <t>Region Midt-Norge</t>
        </is>
      </c>
      <c r="C309" s="36" t="inlineStr">
        <is>
          <t>Spillumheimen ungdomsheim</t>
        </is>
      </c>
      <c r="D309" s="26" t="n">
        <v>4784</v>
      </c>
      <c r="E309" s="26" t="n">
        <v>9320</v>
      </c>
      <c r="F309" s="26" t="n">
        <v>42579</v>
      </c>
      <c r="G309" s="26" t="n">
        <v>15273</v>
      </c>
      <c r="H309" s="26" t="n">
        <v>5354</v>
      </c>
      <c r="I309" s="26" t="n">
        <v>140</v>
      </c>
      <c r="J309" s="19" t="n">
        <v>78.75</v>
      </c>
      <c r="K309" s="37" t="n">
        <v>-0.25</v>
      </c>
    </row>
    <row r="310">
      <c r="A310" s="34" t="inlineStr">
        <is>
          <t>AGA SPK-tilskudd</t>
        </is>
      </c>
      <c r="B310" s="34" t="inlineStr">
        <is>
          <t>Region Midt-Norge</t>
        </is>
      </c>
      <c r="C310" s="34" t="inlineStr">
        <is>
          <t>Spillumheimen ungdomsheim</t>
        </is>
      </c>
      <c r="D310" s="18" t="n">
        <v>4269</v>
      </c>
      <c r="E310" s="18" t="n">
        <v>6931</v>
      </c>
      <c r="F310" s="18" t="n">
        <v>6000</v>
      </c>
      <c r="G310" s="18" t="n">
        <v>14935</v>
      </c>
      <c r="H310" s="18" t="n">
        <v>9345</v>
      </c>
      <c r="I310" s="18" t="n"/>
      <c r="J310" s="19" t="n">
        <v>0</v>
      </c>
      <c r="K310" s="35" t="n">
        <v>0.065</v>
      </c>
    </row>
    <row r="311">
      <c r="A311" s="36" t="inlineStr">
        <is>
          <t>AGA SPK-tilskudd</t>
        </is>
      </c>
      <c r="B311" s="36" t="inlineStr">
        <is>
          <t>Region Midt-Norge</t>
        </is>
      </c>
      <c r="C311" s="36" t="inlineStr">
        <is>
          <t>Spillumheimen ungdomsheim</t>
        </is>
      </c>
      <c r="D311" s="26" t="n">
        <v>23306</v>
      </c>
      <c r="E311" s="26" t="n">
        <v>11549</v>
      </c>
      <c r="F311" s="26" t="n">
        <v>27790</v>
      </c>
      <c r="G311" s="26" t="n">
        <v>29070</v>
      </c>
      <c r="H311" s="26" t="n">
        <v>18666</v>
      </c>
      <c r="I311" s="26" t="n"/>
      <c r="J311" s="19" t="n">
        <v>0</v>
      </c>
      <c r="K311" s="37" t="n">
        <v>0.065</v>
      </c>
    </row>
    <row r="312">
      <c r="A312" s="34" t="inlineStr">
        <is>
          <t>AGA SPK-tilskudd</t>
        </is>
      </c>
      <c r="B312" s="34" t="inlineStr">
        <is>
          <t>Region Midt-Norge</t>
        </is>
      </c>
      <c r="C312" s="34" t="inlineStr">
        <is>
          <t>Spillumheimen ungdomsheim</t>
        </is>
      </c>
      <c r="D312" s="18" t="n">
        <v>3799</v>
      </c>
      <c r="E312" s="18" t="n">
        <v>8561</v>
      </c>
      <c r="F312" s="18" t="n">
        <v>16661</v>
      </c>
      <c r="G312" s="18" t="n">
        <v>12022</v>
      </c>
      <c r="H312" s="18" t="n">
        <v>11519</v>
      </c>
      <c r="I312" s="18" t="n">
        <v>1479</v>
      </c>
      <c r="J312" s="19" t="n">
        <v>1014.116213461148</v>
      </c>
      <c r="K312" s="35" t="n">
        <v>-0.1719438708743709</v>
      </c>
    </row>
    <row r="313">
      <c r="A313" s="36" t="inlineStr">
        <is>
          <t>AGA SPK-tilskudd</t>
        </is>
      </c>
      <c r="B313" s="36" t="inlineStr">
        <is>
          <t>Region Midt-Norge</t>
        </is>
      </c>
      <c r="C313" s="36" t="inlineStr">
        <is>
          <t>Spillumheimen ungdomsheim</t>
        </is>
      </c>
      <c r="D313" s="26" t="n">
        <v>3940</v>
      </c>
      <c r="E313" s="26" t="n"/>
      <c r="F313" s="26" t="n">
        <v>2980</v>
      </c>
      <c r="G313" s="26" t="n"/>
      <c r="H313" s="26" t="n"/>
      <c r="I313" s="26" t="n"/>
      <c r="J313" s="19" t="n">
        <v>0</v>
      </c>
      <c r="K313" s="37" t="n">
        <v>0.065</v>
      </c>
    </row>
    <row r="314">
      <c r="A314" s="34" t="inlineStr">
        <is>
          <t>AGA SPK-tilskudd</t>
        </is>
      </c>
      <c r="B314" s="34" t="inlineStr">
        <is>
          <t>Region Midt-Norge</t>
        </is>
      </c>
      <c r="C314" s="34" t="inlineStr">
        <is>
          <t>Spillumheimen ungdomsheim</t>
        </is>
      </c>
      <c r="D314" s="18" t="n"/>
      <c r="E314" s="18" t="n"/>
      <c r="F314" s="18" t="n">
        <v>-24565</v>
      </c>
      <c r="G314" s="18" t="n">
        <v>-12240</v>
      </c>
      <c r="H314" s="18" t="n"/>
      <c r="I314" s="18" t="n"/>
      <c r="J314" s="19" t="n">
        <v>0</v>
      </c>
      <c r="K314" s="35" t="n">
        <v>0.065</v>
      </c>
    </row>
    <row r="315">
      <c r="A315" s="36" t="inlineStr">
        <is>
          <t>AGA SPK-tilskudd</t>
        </is>
      </c>
      <c r="B315" s="36" t="inlineStr">
        <is>
          <t>Region Midt-Norge</t>
        </is>
      </c>
      <c r="C315" s="36" t="inlineStr">
        <is>
          <t>Spillumheimen ungdomsheim</t>
        </is>
      </c>
      <c r="D315" s="26" t="n">
        <v>5249</v>
      </c>
      <c r="E315" s="26" t="n">
        <v>479</v>
      </c>
      <c r="F315" s="26" t="n">
        <v>169</v>
      </c>
      <c r="G315" s="26" t="n">
        <v>8851</v>
      </c>
      <c r="H315" s="26" t="n"/>
      <c r="I315" s="26" t="n"/>
      <c r="J315" s="19" t="n">
        <v>0</v>
      </c>
      <c r="K315" s="37" t="n">
        <v>0.065</v>
      </c>
    </row>
    <row r="316">
      <c r="A316" s="34" t="inlineStr">
        <is>
          <t>AGA SPK-tilskudd</t>
        </is>
      </c>
      <c r="B316" s="34" t="inlineStr">
        <is>
          <t>Region Midt-Norge</t>
        </is>
      </c>
      <c r="C316" s="34" t="inlineStr">
        <is>
          <t>Spillumheimen ungdomsheim</t>
        </is>
      </c>
      <c r="D316" s="18" t="n">
        <v>-196168</v>
      </c>
      <c r="E316" s="18" t="n">
        <v>-415250</v>
      </c>
      <c r="F316" s="18" t="n">
        <v>-428513</v>
      </c>
      <c r="G316" s="18" t="n"/>
      <c r="H316" s="18" t="n"/>
      <c r="I316" s="18" t="n"/>
      <c r="J316" s="19" t="n">
        <v>0</v>
      </c>
      <c r="K316" s="35" t="n">
        <v>0.065</v>
      </c>
    </row>
    <row r="317">
      <c r="A317" s="36" t="inlineStr">
        <is>
          <t>AGA SPK-tilskudd</t>
        </is>
      </c>
      <c r="B317" s="36" t="inlineStr">
        <is>
          <t>Region Midt-Norge</t>
        </is>
      </c>
      <c r="C317" s="36" t="inlineStr">
        <is>
          <t>Spillumheimen ungdomsheim</t>
        </is>
      </c>
      <c r="D317" s="26" t="n">
        <v>-887442</v>
      </c>
      <c r="E317" s="26" t="n">
        <v>-1753241</v>
      </c>
      <c r="F317" s="26" t="n">
        <v>-1390473</v>
      </c>
      <c r="G317" s="26" t="n">
        <v>-1843133</v>
      </c>
      <c r="H317" s="26" t="n">
        <v>-989962</v>
      </c>
      <c r="I317" s="26" t="n">
        <v>-57160</v>
      </c>
      <c r="J317" s="19" t="n">
        <v>-64832.30099999999</v>
      </c>
      <c r="K317" s="37" t="n">
        <v>0.065</v>
      </c>
    </row>
    <row r="318">
      <c r="A318" s="34" t="inlineStr">
        <is>
          <t>AGA SPK-tilskudd</t>
        </is>
      </c>
      <c r="B318" s="34" t="inlineStr">
        <is>
          <t>Region Midt-Norge</t>
        </is>
      </c>
      <c r="C318" s="34" t="inlineStr">
        <is>
          <t>SpisskompetansemiljøF4 behandling ungdom</t>
        </is>
      </c>
      <c r="D318" s="18" t="n"/>
      <c r="E318" s="18" t="n"/>
      <c r="F318" s="18" t="n"/>
      <c r="G318" s="18" t="n">
        <v>49312</v>
      </c>
      <c r="H318" s="18" t="n">
        <v>51666</v>
      </c>
      <c r="I318" s="18" t="n">
        <v>43613</v>
      </c>
      <c r="J318" s="19" t="n">
        <v>49466.95492499999</v>
      </c>
      <c r="K318" s="35" t="n">
        <v>0.065</v>
      </c>
    </row>
    <row r="319">
      <c r="A319" s="36" t="inlineStr">
        <is>
          <t>AGA SPK-tilskudd</t>
        </is>
      </c>
      <c r="B319" s="36" t="inlineStr">
        <is>
          <t>Region Midt-Norge</t>
        </is>
      </c>
      <c r="C319" s="36" t="inlineStr">
        <is>
          <t>SpisskompetansemiljøF4 behandling ungdom</t>
        </is>
      </c>
      <c r="D319" s="26" t="n"/>
      <c r="E319" s="26" t="n"/>
      <c r="F319" s="26" t="n"/>
      <c r="G319" s="26" t="n">
        <v>481010</v>
      </c>
      <c r="H319" s="26" t="n">
        <v>548276</v>
      </c>
      <c r="I319" s="26" t="n">
        <v>324157</v>
      </c>
      <c r="J319" s="19" t="n">
        <v>367666.9733249999</v>
      </c>
      <c r="K319" s="37" t="n">
        <v>0.065</v>
      </c>
    </row>
    <row r="320">
      <c r="A320" s="34" t="inlineStr">
        <is>
          <t>AGA SPK-tilskudd</t>
        </is>
      </c>
      <c r="B320" s="34" t="inlineStr">
        <is>
          <t>Region Midt-Norge</t>
        </is>
      </c>
      <c r="C320" s="34" t="inlineStr">
        <is>
          <t>SpisskompetansemiljøF4 behandling ungdom</t>
        </is>
      </c>
      <c r="D320" s="18" t="n"/>
      <c r="E320" s="18" t="n"/>
      <c r="F320" s="18" t="n"/>
      <c r="G320" s="18" t="n">
        <v>8177</v>
      </c>
      <c r="H320" s="18" t="n">
        <v>9157</v>
      </c>
      <c r="I320" s="18" t="n">
        <v>8362</v>
      </c>
      <c r="J320" s="19" t="n">
        <v>9484.389449999999</v>
      </c>
      <c r="K320" s="35" t="n">
        <v>0.065</v>
      </c>
    </row>
    <row r="321">
      <c r="A321" s="36" t="inlineStr">
        <is>
          <t>AGA SPK-tilskudd</t>
        </is>
      </c>
      <c r="B321" s="36" t="inlineStr">
        <is>
          <t>Region Midt-Norge</t>
        </is>
      </c>
      <c r="C321" s="36" t="inlineStr">
        <is>
          <t>SpisskompetansemiljøF4 behandling ungdom</t>
        </is>
      </c>
      <c r="D321" s="26" t="n"/>
      <c r="E321" s="26" t="n"/>
      <c r="F321" s="26" t="n"/>
      <c r="G321" s="26" t="n">
        <v>1349</v>
      </c>
      <c r="H321" s="26" t="n">
        <v>6420</v>
      </c>
      <c r="I321" s="26" t="n">
        <v>6171</v>
      </c>
      <c r="J321" s="19" t="n">
        <v>6999.302474999999</v>
      </c>
      <c r="K321" s="37" t="n">
        <v>0.065</v>
      </c>
    </row>
    <row r="322">
      <c r="A322" s="34" t="inlineStr">
        <is>
          <t>AGA SPK-tilskudd</t>
        </is>
      </c>
      <c r="B322" s="34" t="inlineStr">
        <is>
          <t>Region Midt-Norge</t>
        </is>
      </c>
      <c r="C322" s="34" t="inlineStr">
        <is>
          <t>SpisskompetansemiljøF4 behandling ungdom</t>
        </is>
      </c>
      <c r="D322" s="18" t="n"/>
      <c r="E322" s="18" t="n"/>
      <c r="F322" s="18" t="n"/>
      <c r="G322" s="18" t="n">
        <v>90735</v>
      </c>
      <c r="H322" s="18" t="n">
        <v>86933</v>
      </c>
      <c r="I322" s="18" t="n">
        <v>47318</v>
      </c>
      <c r="J322" s="19" t="n">
        <v>53669.25854999999</v>
      </c>
      <c r="K322" s="35" t="n">
        <v>0.065</v>
      </c>
    </row>
    <row r="323">
      <c r="A323" s="36" t="inlineStr">
        <is>
          <t>AGA SPK-tilskudd</t>
        </is>
      </c>
      <c r="B323" s="36" t="inlineStr">
        <is>
          <t>Region Midt-Norge</t>
        </is>
      </c>
      <c r="C323" s="36" t="inlineStr">
        <is>
          <t>SpisskompetansemiljøF4 behandling ungdom</t>
        </is>
      </c>
      <c r="D323" s="26" t="n"/>
      <c r="E323" s="26" t="n"/>
      <c r="F323" s="26" t="n"/>
      <c r="G323" s="26" t="n"/>
      <c r="H323" s="26" t="n">
        <v>2074</v>
      </c>
      <c r="I323" s="26" t="n"/>
      <c r="J323" s="19" t="n">
        <v>0</v>
      </c>
      <c r="K323" s="37" t="n">
        <v>0.065</v>
      </c>
    </row>
    <row r="324">
      <c r="A324" s="34" t="inlineStr">
        <is>
          <t>AGA SPK-tilskudd</t>
        </is>
      </c>
      <c r="B324" s="34" t="inlineStr">
        <is>
          <t>Region Midt-Norge</t>
        </is>
      </c>
      <c r="C324" s="34" t="inlineStr">
        <is>
          <t>SpisskompetansemiljøF4 behandling ungdom</t>
        </is>
      </c>
      <c r="D324" s="18" t="n"/>
      <c r="E324" s="18" t="n"/>
      <c r="F324" s="18" t="n"/>
      <c r="G324" s="18" t="n">
        <v>994</v>
      </c>
      <c r="H324" s="18" t="n">
        <v>1681</v>
      </c>
      <c r="I324" s="18" t="n"/>
      <c r="J324" s="19" t="n">
        <v>0</v>
      </c>
      <c r="K324" s="35" t="n">
        <v>0.065</v>
      </c>
    </row>
    <row r="325">
      <c r="A325" s="36" t="inlineStr">
        <is>
          <t>AGA SPK-tilskudd</t>
        </is>
      </c>
      <c r="B325" s="36" t="inlineStr">
        <is>
          <t>Region Midt-Norge</t>
        </is>
      </c>
      <c r="C325" s="36" t="inlineStr">
        <is>
          <t>SpisskompetansemiljøF4 behandling ungdom</t>
        </is>
      </c>
      <c r="D325" s="26" t="n"/>
      <c r="E325" s="26" t="n"/>
      <c r="F325" s="26" t="n"/>
      <c r="G325" s="26" t="n">
        <v>40419</v>
      </c>
      <c r="H325" s="26" t="n">
        <v>47770</v>
      </c>
      <c r="I325" s="26" t="n">
        <v>24899</v>
      </c>
      <c r="J325" s="19" t="n">
        <v>28241.06827499999</v>
      </c>
      <c r="K325" s="37" t="n">
        <v>0.065</v>
      </c>
    </row>
    <row r="326">
      <c r="A326" s="34" t="inlineStr">
        <is>
          <t>AGA SPK-tilskudd</t>
        </is>
      </c>
      <c r="B326" s="34" t="inlineStr">
        <is>
          <t>Region Midt-Norge</t>
        </is>
      </c>
      <c r="C326" s="34" t="inlineStr">
        <is>
          <t>SpisskompetansemiljøF4 behandling ungdom</t>
        </is>
      </c>
      <c r="D326" s="18" t="n"/>
      <c r="E326" s="18" t="n"/>
      <c r="F326" s="18" t="n"/>
      <c r="G326" s="18" t="n"/>
      <c r="H326" s="18" t="n">
        <v>5718</v>
      </c>
      <c r="I326" s="18" t="n"/>
      <c r="J326" s="19" t="n">
        <v>0</v>
      </c>
      <c r="K326" s="35" t="n">
        <v>0.065</v>
      </c>
    </row>
    <row r="327">
      <c r="A327" s="36" t="inlineStr">
        <is>
          <t>AGA SPK-tilskudd</t>
        </is>
      </c>
      <c r="B327" s="36" t="inlineStr">
        <is>
          <t>Region Midt-Norge</t>
        </is>
      </c>
      <c r="C327" s="36" t="inlineStr">
        <is>
          <t>SpisskompetansemiljøF4 behandling ungdom</t>
        </is>
      </c>
      <c r="D327" s="26" t="n"/>
      <c r="E327" s="26" t="n"/>
      <c r="F327" s="26" t="n"/>
      <c r="G327" s="26" t="n"/>
      <c r="H327" s="26" t="n"/>
      <c r="I327" s="26" t="n">
        <v>588</v>
      </c>
      <c r="J327" s="19" t="n">
        <v>666.9242999999999</v>
      </c>
      <c r="K327" s="37" t="n">
        <v>0.065</v>
      </c>
    </row>
    <row r="328">
      <c r="A328" s="34" t="inlineStr">
        <is>
          <t>AGA SPK-tilskudd</t>
        </is>
      </c>
      <c r="B328" s="34" t="inlineStr">
        <is>
          <t>Region Midt-Norge</t>
        </is>
      </c>
      <c r="C328" s="34" t="inlineStr">
        <is>
          <t>SpisskompetansemiljøF4 behandling ungdom</t>
        </is>
      </c>
      <c r="D328" s="18" t="n"/>
      <c r="E328" s="18" t="n"/>
      <c r="F328" s="18" t="n"/>
      <c r="G328" s="18" t="n">
        <v>17765</v>
      </c>
      <c r="H328" s="18" t="n">
        <v>-800</v>
      </c>
      <c r="I328" s="18" t="n"/>
      <c r="J328" s="19" t="n">
        <v>0</v>
      </c>
      <c r="K328" s="35" t="n">
        <v>0.065</v>
      </c>
    </row>
    <row r="329">
      <c r="A329" s="36" t="inlineStr">
        <is>
          <t>AGA SPK-tilskudd</t>
        </is>
      </c>
      <c r="B329" s="36" t="inlineStr">
        <is>
          <t>Region Midt-Norge</t>
        </is>
      </c>
      <c r="C329" s="36" t="inlineStr">
        <is>
          <t>SpisskompetansemiljøF4 behandling ungdom</t>
        </is>
      </c>
      <c r="D329" s="26" t="n"/>
      <c r="E329" s="26" t="n"/>
      <c r="F329" s="26" t="n"/>
      <c r="G329" s="26" t="n"/>
      <c r="H329" s="26" t="n"/>
      <c r="I329" s="26" t="n">
        <v>-13814</v>
      </c>
      <c r="J329" s="19" t="n">
        <v>-15668.18415</v>
      </c>
      <c r="K329" s="37" t="n">
        <v>0.065</v>
      </c>
    </row>
    <row r="330">
      <c r="A330" s="34" t="inlineStr">
        <is>
          <t>AGA SPK-tilskudd</t>
        </is>
      </c>
      <c r="B330" s="34" t="inlineStr">
        <is>
          <t>Region Midt-Norge</t>
        </is>
      </c>
      <c r="C330" s="34" t="inlineStr">
        <is>
          <t>Stjørdal ungdomssenter</t>
        </is>
      </c>
      <c r="D330" s="18" t="n">
        <v>333192</v>
      </c>
      <c r="E330" s="18" t="n">
        <v>204629</v>
      </c>
      <c r="F330" s="18" t="n">
        <v>58703</v>
      </c>
      <c r="G330" s="18" t="n"/>
      <c r="H330" s="18" t="n"/>
      <c r="I330" s="18" t="n"/>
      <c r="J330" s="19" t="n">
        <v>0</v>
      </c>
      <c r="K330" s="35" t="n">
        <v>0.065</v>
      </c>
    </row>
    <row r="331">
      <c r="A331" s="36" t="inlineStr">
        <is>
          <t>AGA SPK-tilskudd</t>
        </is>
      </c>
      <c r="B331" s="36" t="inlineStr">
        <is>
          <t>Region Midt-Norge</t>
        </is>
      </c>
      <c r="C331" s="36" t="inlineStr">
        <is>
          <t>Stjørdal ungdomssenter</t>
        </is>
      </c>
      <c r="D331" s="26" t="n">
        <v>8450</v>
      </c>
      <c r="E331" s="26" t="n">
        <v>4978</v>
      </c>
      <c r="F331" s="26" t="n"/>
      <c r="G331" s="26" t="n"/>
      <c r="H331" s="26" t="n"/>
      <c r="I331" s="26" t="n"/>
      <c r="J331" s="19" t="n">
        <v>0</v>
      </c>
      <c r="K331" s="37" t="n">
        <v>0.065</v>
      </c>
    </row>
    <row r="332">
      <c r="A332" s="34" t="inlineStr">
        <is>
          <t>AGA SPK-tilskudd</t>
        </is>
      </c>
      <c r="B332" s="34" t="inlineStr">
        <is>
          <t>Region Midt-Norge</t>
        </is>
      </c>
      <c r="C332" s="34" t="inlineStr">
        <is>
          <t>Stjørdal ungdomssenter</t>
        </is>
      </c>
      <c r="D332" s="18" t="n">
        <v>691342</v>
      </c>
      <c r="E332" s="18" t="n">
        <v>123250</v>
      </c>
      <c r="F332" s="18" t="n">
        <v>52283</v>
      </c>
      <c r="G332" s="18" t="n"/>
      <c r="H332" s="18" t="n"/>
      <c r="I332" s="18" t="n"/>
      <c r="J332" s="19" t="n">
        <v>0</v>
      </c>
      <c r="K332" s="35" t="n">
        <v>0.065</v>
      </c>
    </row>
    <row r="333">
      <c r="A333" s="36" t="inlineStr">
        <is>
          <t>AGA SPK-tilskudd</t>
        </is>
      </c>
      <c r="B333" s="36" t="inlineStr">
        <is>
          <t>Region Midt-Norge</t>
        </is>
      </c>
      <c r="C333" s="36" t="inlineStr">
        <is>
          <t>Stjørdal ungdomssenter</t>
        </is>
      </c>
      <c r="D333" s="26" t="n">
        <v>72756</v>
      </c>
      <c r="E333" s="26" t="n">
        <v>57032</v>
      </c>
      <c r="F333" s="26" t="n">
        <v>16753</v>
      </c>
      <c r="G333" s="26" t="n">
        <v>307</v>
      </c>
      <c r="H333" s="26" t="n"/>
      <c r="I333" s="26" t="n"/>
      <c r="J333" s="19" t="n">
        <v>0</v>
      </c>
      <c r="K333" s="37" t="n">
        <v>0.065</v>
      </c>
    </row>
    <row r="334">
      <c r="A334" s="34" t="inlineStr">
        <is>
          <t>AGA SPK-tilskudd</t>
        </is>
      </c>
      <c r="B334" s="34" t="inlineStr">
        <is>
          <t>Region Midt-Norge</t>
        </is>
      </c>
      <c r="C334" s="34" t="inlineStr">
        <is>
          <t>Stjørdal ungdomssenter</t>
        </is>
      </c>
      <c r="D334" s="18" t="n">
        <v>2468</v>
      </c>
      <c r="E334" s="18" t="n">
        <v>950</v>
      </c>
      <c r="F334" s="18" t="n">
        <v>3018</v>
      </c>
      <c r="G334" s="18" t="n"/>
      <c r="H334" s="18" t="n"/>
      <c r="I334" s="18" t="n"/>
      <c r="J334" s="19" t="n">
        <v>0</v>
      </c>
      <c r="K334" s="35" t="n">
        <v>0.065</v>
      </c>
    </row>
    <row r="335">
      <c r="A335" s="36" t="inlineStr">
        <is>
          <t>AGA SPK-tilskudd</t>
        </is>
      </c>
      <c r="B335" s="36" t="inlineStr">
        <is>
          <t>Region Midt-Norge</t>
        </is>
      </c>
      <c r="C335" s="36" t="inlineStr">
        <is>
          <t>Stjørdal ungdomssenter</t>
        </is>
      </c>
      <c r="D335" s="26" t="n">
        <v>11260</v>
      </c>
      <c r="E335" s="26" t="n">
        <v>10634</v>
      </c>
      <c r="F335" s="26" t="n">
        <v>17379</v>
      </c>
      <c r="G335" s="26" t="n"/>
      <c r="H335" s="26" t="n"/>
      <c r="I335" s="26" t="n"/>
      <c r="J335" s="19" t="n">
        <v>0</v>
      </c>
      <c r="K335" s="37" t="n">
        <v>0.065</v>
      </c>
    </row>
    <row r="336">
      <c r="A336" s="34" t="inlineStr">
        <is>
          <t>AGA SPK-tilskudd</t>
        </is>
      </c>
      <c r="B336" s="34" t="inlineStr">
        <is>
          <t>Region Midt-Norge</t>
        </is>
      </c>
      <c r="C336" s="34" t="inlineStr">
        <is>
          <t>Stjørdal ungdomssenter</t>
        </is>
      </c>
      <c r="D336" s="18" t="n">
        <v>50354</v>
      </c>
      <c r="E336" s="18" t="n">
        <v>10828</v>
      </c>
      <c r="F336" s="18" t="n">
        <v>15044</v>
      </c>
      <c r="G336" s="18" t="n"/>
      <c r="H336" s="18" t="n"/>
      <c r="I336" s="18" t="n"/>
      <c r="J336" s="19" t="n">
        <v>0</v>
      </c>
      <c r="K336" s="35" t="n">
        <v>0.065</v>
      </c>
    </row>
    <row r="337">
      <c r="A337" s="36" t="inlineStr">
        <is>
          <t>AGA SPK-tilskudd</t>
        </is>
      </c>
      <c r="B337" s="36" t="inlineStr">
        <is>
          <t>Region Midt-Norge</t>
        </is>
      </c>
      <c r="C337" s="36" t="inlineStr">
        <is>
          <t>Stjørdal ungdomssenter</t>
        </is>
      </c>
      <c r="D337" s="26" t="n"/>
      <c r="E337" s="26" t="n">
        <v>3893</v>
      </c>
      <c r="F337" s="26" t="n"/>
      <c r="G337" s="26" t="n"/>
      <c r="H337" s="26" t="n"/>
      <c r="I337" s="26" t="n"/>
      <c r="J337" s="19" t="n">
        <v>0</v>
      </c>
      <c r="K337" s="37" t="n">
        <v>0.065</v>
      </c>
    </row>
    <row r="338">
      <c r="A338" s="34" t="inlineStr">
        <is>
          <t>AGA SPK-tilskudd</t>
        </is>
      </c>
      <c r="B338" s="34" t="inlineStr">
        <is>
          <t>Region Midt-Norge</t>
        </is>
      </c>
      <c r="C338" s="34" t="inlineStr">
        <is>
          <t>Stjørdal ungdomssenter</t>
        </is>
      </c>
      <c r="D338" s="18" t="n">
        <v>7213</v>
      </c>
      <c r="E338" s="18" t="n">
        <v>3732</v>
      </c>
      <c r="F338" s="18" t="n">
        <v>50</v>
      </c>
      <c r="G338" s="18" t="n"/>
      <c r="H338" s="18" t="n"/>
      <c r="I338" s="18" t="n"/>
      <c r="J338" s="19" t="n">
        <v>0</v>
      </c>
      <c r="K338" s="35" t="n">
        <v>0.065</v>
      </c>
    </row>
    <row r="339">
      <c r="A339" s="36" t="inlineStr">
        <is>
          <t>AGA SPK-tilskudd</t>
        </is>
      </c>
      <c r="B339" s="36" t="inlineStr">
        <is>
          <t>Region Midt-Norge</t>
        </is>
      </c>
      <c r="C339" s="36" t="inlineStr">
        <is>
          <t>Stjørdal ungdomssenter</t>
        </is>
      </c>
      <c r="D339" s="26" t="n">
        <v>24291</v>
      </c>
      <c r="E339" s="26" t="n">
        <v>6563</v>
      </c>
      <c r="F339" s="26" t="n">
        <v>7546</v>
      </c>
      <c r="G339" s="26" t="n"/>
      <c r="H339" s="26" t="n"/>
      <c r="I339" s="26" t="n"/>
      <c r="J339" s="19" t="n">
        <v>0</v>
      </c>
      <c r="K339" s="37" t="n">
        <v>0.065</v>
      </c>
    </row>
    <row r="340">
      <c r="A340" s="34" t="inlineStr">
        <is>
          <t>AGA SPK-tilskudd</t>
        </is>
      </c>
      <c r="B340" s="34" t="inlineStr">
        <is>
          <t>Region Midt-Norge</t>
        </is>
      </c>
      <c r="C340" s="34" t="inlineStr">
        <is>
          <t>Stjørdal ungdomssenter</t>
        </is>
      </c>
      <c r="D340" s="18" t="n">
        <v>3745</v>
      </c>
      <c r="E340" s="18" t="n"/>
      <c r="F340" s="18" t="n">
        <v>1197</v>
      </c>
      <c r="G340" s="18" t="n"/>
      <c r="H340" s="18" t="n"/>
      <c r="I340" s="18" t="n"/>
      <c r="J340" s="19" t="n">
        <v>0</v>
      </c>
      <c r="K340" s="35" t="n">
        <v>0.065</v>
      </c>
    </row>
    <row r="341">
      <c r="A341" s="36" t="inlineStr">
        <is>
          <t>AGA SPK-tilskudd</t>
        </is>
      </c>
      <c r="B341" s="36" t="inlineStr">
        <is>
          <t>Region Midt-Norge</t>
        </is>
      </c>
      <c r="C341" s="36" t="inlineStr">
        <is>
          <t>Stjørdal ungdomssenter</t>
        </is>
      </c>
      <c r="D341" s="26" t="n">
        <v>6670</v>
      </c>
      <c r="E341" s="26" t="n"/>
      <c r="F341" s="26" t="n"/>
      <c r="G341" s="26" t="n"/>
      <c r="H341" s="26" t="n"/>
      <c r="I341" s="26" t="n"/>
      <c r="J341" s="19" t="n">
        <v>0</v>
      </c>
      <c r="K341" s="37" t="n">
        <v>0.065</v>
      </c>
    </row>
    <row r="342">
      <c r="A342" s="34" t="inlineStr">
        <is>
          <t>AGA SPK-tilskudd</t>
        </is>
      </c>
      <c r="B342" s="34" t="inlineStr">
        <is>
          <t>Region Midt-Norge</t>
        </is>
      </c>
      <c r="C342" s="34" t="inlineStr">
        <is>
          <t>Stjørdal ungdomssenter</t>
        </is>
      </c>
      <c r="D342" s="18" t="n">
        <v>-46128</v>
      </c>
      <c r="E342" s="18" t="n">
        <v>-29389</v>
      </c>
      <c r="F342" s="18" t="n">
        <v>5997</v>
      </c>
      <c r="G342" s="18" t="n">
        <v>211</v>
      </c>
      <c r="H342" s="18" t="n"/>
      <c r="I342" s="18" t="n"/>
      <c r="J342" s="19" t="n">
        <v>0</v>
      </c>
      <c r="K342" s="35" t="n">
        <v>0.065</v>
      </c>
    </row>
    <row r="343">
      <c r="A343" s="36" t="inlineStr">
        <is>
          <t>AGA SPK-tilskudd</t>
        </is>
      </c>
      <c r="B343" s="36" t="inlineStr">
        <is>
          <t>Region Midt-Norge</t>
        </is>
      </c>
      <c r="C343" s="36" t="inlineStr">
        <is>
          <t>Stjørdal ungdomssenter</t>
        </is>
      </c>
      <c r="D343" s="26" t="n">
        <v>-447725</v>
      </c>
      <c r="E343" s="26" t="n">
        <v>-1007518</v>
      </c>
      <c r="F343" s="26" t="n">
        <v>-139545</v>
      </c>
      <c r="G343" s="26" t="n"/>
      <c r="H343" s="26" t="n"/>
      <c r="I343" s="26" t="n"/>
      <c r="J343" s="19" t="n">
        <v>0</v>
      </c>
      <c r="K343" s="37" t="n">
        <v>0.065</v>
      </c>
    </row>
    <row r="344">
      <c r="A344" s="34" t="inlineStr">
        <is>
          <t>AGA SPK-tilskudd</t>
        </is>
      </c>
      <c r="B344" s="34" t="inlineStr">
        <is>
          <t>Region Midt-Norge</t>
        </is>
      </c>
      <c r="C344" s="34" t="inlineStr">
        <is>
          <t>Stjørdal ungdomssenter</t>
        </is>
      </c>
      <c r="D344" s="18" t="n">
        <v>-1564079</v>
      </c>
      <c r="E344" s="18" t="n">
        <v>-842789</v>
      </c>
      <c r="F344" s="18" t="n">
        <v>-475155</v>
      </c>
      <c r="G344" s="18" t="n"/>
      <c r="H344" s="18" t="n"/>
      <c r="I344" s="18" t="n"/>
      <c r="J344" s="19" t="n">
        <v>0</v>
      </c>
      <c r="K344" s="35" t="n">
        <v>0.065</v>
      </c>
    </row>
    <row r="345">
      <c r="A345" s="36" t="inlineStr">
        <is>
          <t>AGA SPK-tilskudd</t>
        </is>
      </c>
      <c r="B345" s="36" t="inlineStr">
        <is>
          <t>Region Midt-Norge</t>
        </is>
      </c>
      <c r="C345" s="36" t="inlineStr">
        <is>
          <t>Sunnmørsheimen akuttinsitusjon</t>
        </is>
      </c>
      <c r="D345" s="26" t="n"/>
      <c r="E345" s="26" t="n"/>
      <c r="F345" s="26" t="n"/>
      <c r="G345" s="26" t="n"/>
      <c r="H345" s="26" t="n"/>
      <c r="I345" s="26" t="n">
        <v>106</v>
      </c>
      <c r="J345" s="19" t="n">
        <v>120.22785</v>
      </c>
      <c r="K345" s="37" t="n">
        <v>0.065</v>
      </c>
    </row>
    <row r="346">
      <c r="A346" s="34" t="inlineStr">
        <is>
          <t>AGA SPK-tilskudd</t>
        </is>
      </c>
      <c r="B346" s="34" t="inlineStr">
        <is>
          <t>Region Midt-Norge</t>
        </is>
      </c>
      <c r="C346" s="34" t="inlineStr">
        <is>
          <t>Sunnmørsheimen akuttinsitusjon</t>
        </is>
      </c>
      <c r="D346" s="18" t="n"/>
      <c r="E346" s="18" t="n"/>
      <c r="F346" s="18" t="n"/>
      <c r="G346" s="18" t="n"/>
      <c r="H346" s="18" t="n"/>
      <c r="I346" s="18" t="n">
        <v>37</v>
      </c>
      <c r="J346" s="19" t="n">
        <v>41.96632499999999</v>
      </c>
      <c r="K346" s="35" t="n">
        <v>0.065</v>
      </c>
    </row>
    <row r="347">
      <c r="A347" s="36" t="inlineStr">
        <is>
          <t>AGA SPK-tilskudd</t>
        </is>
      </c>
      <c r="B347" s="36" t="inlineStr">
        <is>
          <t>Region Midt-Norge</t>
        </is>
      </c>
      <c r="C347" s="36" t="inlineStr">
        <is>
          <t>Sunnmørsheimen akuttinsitusjon</t>
        </is>
      </c>
      <c r="D347" s="26" t="n"/>
      <c r="E347" s="26" t="n"/>
      <c r="F347" s="26" t="n"/>
      <c r="G347" s="26" t="n"/>
      <c r="H347" s="26" t="n"/>
      <c r="I347" s="26" t="n">
        <v>17</v>
      </c>
      <c r="J347" s="19" t="n">
        <v>19.281825</v>
      </c>
      <c r="K347" s="37" t="n">
        <v>0.065</v>
      </c>
    </row>
    <row r="348">
      <c r="A348" s="34" t="inlineStr">
        <is>
          <t>AGA SPK-tilskudd</t>
        </is>
      </c>
      <c r="B348" s="34" t="inlineStr">
        <is>
          <t>Region Midt-Norge</t>
        </is>
      </c>
      <c r="C348" s="34" t="inlineStr">
        <is>
          <t>Sunnmørsheimen akuttinsitusjon</t>
        </is>
      </c>
      <c r="D348" s="18" t="n"/>
      <c r="E348" s="18" t="n"/>
      <c r="F348" s="18" t="n"/>
      <c r="G348" s="18" t="n"/>
      <c r="H348" s="18" t="n"/>
      <c r="I348" s="18" t="n">
        <v>10430</v>
      </c>
      <c r="J348" s="19" t="n">
        <v>11829.96675</v>
      </c>
      <c r="K348" s="35" t="n">
        <v>0.065</v>
      </c>
    </row>
    <row r="349">
      <c r="A349" s="36" t="inlineStr">
        <is>
          <t>AGA SPK-tilskudd</t>
        </is>
      </c>
      <c r="B349" s="36" t="inlineStr">
        <is>
          <t>Region Midt-Norge</t>
        </is>
      </c>
      <c r="C349" s="36" t="inlineStr">
        <is>
          <t>Sunnmørsheimen akuttinsitusjon</t>
        </is>
      </c>
      <c r="D349" s="26" t="n"/>
      <c r="E349" s="26" t="n"/>
      <c r="F349" s="26" t="n"/>
      <c r="G349" s="26" t="n"/>
      <c r="H349" s="26" t="n"/>
      <c r="I349" s="26" t="n">
        <v>16</v>
      </c>
      <c r="J349" s="19" t="n">
        <v>18.1476</v>
      </c>
      <c r="K349" s="37" t="n">
        <v>0.065</v>
      </c>
    </row>
    <row r="350">
      <c r="A350" s="34" t="inlineStr">
        <is>
          <t>AGA SPK-tilskudd</t>
        </is>
      </c>
      <c r="B350" s="34" t="inlineStr">
        <is>
          <t>Region Midt-Norge</t>
        </is>
      </c>
      <c r="C350" s="34" t="inlineStr">
        <is>
          <t>Sunnmørsheimen akuttinsitusjon</t>
        </is>
      </c>
      <c r="D350" s="18" t="n"/>
      <c r="E350" s="18" t="n"/>
      <c r="F350" s="18" t="n"/>
      <c r="G350" s="18" t="n"/>
      <c r="H350" s="18" t="n"/>
      <c r="I350" s="18" t="n">
        <v>43</v>
      </c>
      <c r="J350" s="19" t="n">
        <v>48.77167499999999</v>
      </c>
      <c r="K350" s="35" t="n">
        <v>0.065</v>
      </c>
    </row>
    <row r="351">
      <c r="A351" s="36" t="inlineStr">
        <is>
          <t>AGA SPK-tilskudd</t>
        </is>
      </c>
      <c r="B351" s="36" t="inlineStr">
        <is>
          <t>Region Midt-Norge</t>
        </is>
      </c>
      <c r="C351" s="36" t="inlineStr">
        <is>
          <t>Sunnmørsheimen akuttinsitusjon</t>
        </is>
      </c>
      <c r="D351" s="26" t="n"/>
      <c r="E351" s="26" t="n"/>
      <c r="F351" s="26" t="n"/>
      <c r="G351" s="26" t="n"/>
      <c r="H351" s="26" t="n"/>
      <c r="I351" s="26" t="n">
        <v>23</v>
      </c>
      <c r="J351" s="19" t="n">
        <v>26.08717499999999</v>
      </c>
      <c r="K351" s="37" t="n">
        <v>0.065</v>
      </c>
    </row>
    <row r="352">
      <c r="A352" s="34" t="inlineStr">
        <is>
          <t>AGA SPK-tilskudd</t>
        </is>
      </c>
      <c r="B352" s="34" t="inlineStr">
        <is>
          <t>Region Midt-Norge</t>
        </is>
      </c>
      <c r="C352" s="34" t="inlineStr">
        <is>
          <t>Sunnmørsheimen akuttinstitusjon, avd. Klatrevegen</t>
        </is>
      </c>
      <c r="D352" s="18" t="n"/>
      <c r="E352" s="18" t="n"/>
      <c r="F352" s="18" t="n">
        <v>78737</v>
      </c>
      <c r="G352" s="18" t="n">
        <v>146840</v>
      </c>
      <c r="H352" s="18" t="n">
        <v>154941</v>
      </c>
      <c r="I352" s="18" t="n">
        <v>178994</v>
      </c>
      <c r="J352" s="19" t="n">
        <v>203019.46965</v>
      </c>
      <c r="K352" s="35" t="n">
        <v>0.065</v>
      </c>
    </row>
    <row r="353">
      <c r="A353" s="36" t="inlineStr">
        <is>
          <t>AGA SPK-tilskudd</t>
        </is>
      </c>
      <c r="B353" s="36" t="inlineStr">
        <is>
          <t>Region Midt-Norge</t>
        </is>
      </c>
      <c r="C353" s="36" t="inlineStr">
        <is>
          <t>Sunnmørsheimen akuttinstitusjon, avd. Klatrevegen</t>
        </is>
      </c>
      <c r="D353" s="26" t="n"/>
      <c r="E353" s="26" t="n"/>
      <c r="F353" s="26" t="n"/>
      <c r="G353" s="26" t="n"/>
      <c r="H353" s="26" t="n"/>
      <c r="I353" s="26" t="n">
        <v>62460</v>
      </c>
      <c r="J353" s="19" t="n">
        <v>70843.69349999999</v>
      </c>
      <c r="K353" s="37" t="n">
        <v>0.065</v>
      </c>
    </row>
    <row r="354">
      <c r="A354" s="34" t="inlineStr">
        <is>
          <t>AGA SPK-tilskudd</t>
        </is>
      </c>
      <c r="B354" s="34" t="inlineStr">
        <is>
          <t>Region Midt-Norge</t>
        </is>
      </c>
      <c r="C354" s="34" t="inlineStr">
        <is>
          <t>Sunnmørsheimen akuttinstitusjon, avd. Klatrevegen</t>
        </is>
      </c>
      <c r="D354" s="18" t="n"/>
      <c r="E354" s="18" t="n"/>
      <c r="F354" s="18" t="n">
        <v>100959</v>
      </c>
      <c r="G354" s="18" t="n">
        <v>144095</v>
      </c>
      <c r="H354" s="18" t="n">
        <v>190649</v>
      </c>
      <c r="I354" s="18" t="n">
        <v>180773</v>
      </c>
      <c r="J354" s="19" t="n">
        <v>205037.255925</v>
      </c>
      <c r="K354" s="35" t="n">
        <v>0.065</v>
      </c>
    </row>
    <row r="355">
      <c r="A355" s="36" t="inlineStr">
        <is>
          <t>AGA SPK-tilskudd</t>
        </is>
      </c>
      <c r="B355" s="36" t="inlineStr">
        <is>
          <t>Region Midt-Norge</t>
        </is>
      </c>
      <c r="C355" s="36" t="inlineStr">
        <is>
          <t>Sunnmørsheimen akuttinstitusjon, avd. Klatrevegen</t>
        </is>
      </c>
      <c r="D355" s="26" t="n"/>
      <c r="E355" s="26" t="n"/>
      <c r="F355" s="26" t="n">
        <v>26851</v>
      </c>
      <c r="G355" s="26" t="n">
        <v>63739</v>
      </c>
      <c r="H355" s="26" t="n">
        <v>62586</v>
      </c>
      <c r="I355" s="26" t="n">
        <v>61780</v>
      </c>
      <c r="J355" s="19" t="n">
        <v>70072.42049999999</v>
      </c>
      <c r="K355" s="37" t="n">
        <v>0.065</v>
      </c>
    </row>
    <row r="356">
      <c r="A356" s="34" t="inlineStr">
        <is>
          <t>AGA SPK-tilskudd</t>
        </is>
      </c>
      <c r="B356" s="34" t="inlineStr">
        <is>
          <t>Region Midt-Norge</t>
        </is>
      </c>
      <c r="C356" s="34" t="inlineStr">
        <is>
          <t>Sunnmørsheimen akuttinstitusjon, avd. Klatrevegen</t>
        </is>
      </c>
      <c r="D356" s="18" t="n"/>
      <c r="E356" s="18" t="n"/>
      <c r="F356" s="18" t="n"/>
      <c r="G356" s="18" t="n"/>
      <c r="H356" s="18" t="n">
        <v>8400</v>
      </c>
      <c r="I356" s="18" t="n"/>
      <c r="J356" s="19" t="n">
        <v>0</v>
      </c>
      <c r="K356" s="35" t="n">
        <v>0.065</v>
      </c>
    </row>
    <row r="357">
      <c r="A357" s="36" t="inlineStr">
        <is>
          <t>AGA SPK-tilskudd</t>
        </is>
      </c>
      <c r="B357" s="36" t="inlineStr">
        <is>
          <t>Region Midt-Norge</t>
        </is>
      </c>
      <c r="C357" s="36" t="inlineStr">
        <is>
          <t>Sunnmørsheimen akuttinstitusjon, avd. Klatrevegen</t>
        </is>
      </c>
      <c r="D357" s="26" t="n"/>
      <c r="E357" s="26" t="n"/>
      <c r="F357" s="26" t="n">
        <v>3375</v>
      </c>
      <c r="G357" s="26" t="n">
        <v>4363</v>
      </c>
      <c r="H357" s="26" t="n">
        <v>18385</v>
      </c>
      <c r="I357" s="26" t="n">
        <v>4750</v>
      </c>
      <c r="J357" s="19" t="n">
        <v>5387.568749999999</v>
      </c>
      <c r="K357" s="37" t="n">
        <v>0.065</v>
      </c>
    </row>
    <row r="358">
      <c r="A358" s="34" t="inlineStr">
        <is>
          <t>AGA SPK-tilskudd</t>
        </is>
      </c>
      <c r="B358" s="34" t="inlineStr">
        <is>
          <t>Region Midt-Norge</t>
        </is>
      </c>
      <c r="C358" s="34" t="inlineStr">
        <is>
          <t>Sunnmørsheimen akuttinstitusjon, avd. Klatrevegen</t>
        </is>
      </c>
      <c r="D358" s="18" t="n"/>
      <c r="E358" s="18" t="n"/>
      <c r="F358" s="18" t="n">
        <v>6212</v>
      </c>
      <c r="G358" s="18" t="n">
        <v>18746</v>
      </c>
      <c r="H358" s="18" t="n">
        <v>26998</v>
      </c>
      <c r="I358" s="18" t="n">
        <v>47014</v>
      </c>
      <c r="J358" s="19" t="n">
        <v>53324.45414999999</v>
      </c>
      <c r="K358" s="35" t="n">
        <v>0.065</v>
      </c>
    </row>
    <row r="359">
      <c r="A359" s="36" t="inlineStr">
        <is>
          <t>AGA SPK-tilskudd</t>
        </is>
      </c>
      <c r="B359" s="36" t="inlineStr">
        <is>
          <t>Region Midt-Norge</t>
        </is>
      </c>
      <c r="C359" s="36" t="inlineStr">
        <is>
          <t>Sunnmørsheimen akuttinstitusjon, avd. Klatrevegen</t>
        </is>
      </c>
      <c r="D359" s="26" t="n"/>
      <c r="E359" s="26" t="n"/>
      <c r="F359" s="26" t="n">
        <v>7335</v>
      </c>
      <c r="G359" s="26" t="n">
        <v>8485</v>
      </c>
      <c r="H359" s="26" t="n">
        <v>28580</v>
      </c>
      <c r="I359" s="26" t="n">
        <v>17318</v>
      </c>
      <c r="J359" s="19" t="n">
        <v>19642.50855</v>
      </c>
      <c r="K359" s="37" t="n">
        <v>0.065</v>
      </c>
    </row>
    <row r="360">
      <c r="A360" s="34" t="inlineStr">
        <is>
          <t>AGA SPK-tilskudd</t>
        </is>
      </c>
      <c r="B360" s="34" t="inlineStr">
        <is>
          <t>Region Midt-Norge</t>
        </is>
      </c>
      <c r="C360" s="34" t="inlineStr">
        <is>
          <t>Sunnmørsheimen akuttinstitusjon, avd. Klatrevegen</t>
        </is>
      </c>
      <c r="D360" s="18" t="n"/>
      <c r="E360" s="18" t="n"/>
      <c r="F360" s="18" t="n">
        <v>370</v>
      </c>
      <c r="G360" s="18" t="n">
        <v>1050</v>
      </c>
      <c r="H360" s="18" t="n">
        <v>11552</v>
      </c>
      <c r="I360" s="18" t="n">
        <v>2059</v>
      </c>
      <c r="J360" s="19" t="n">
        <v>2335.369275</v>
      </c>
      <c r="K360" s="35" t="n">
        <v>0.065</v>
      </c>
    </row>
    <row r="361">
      <c r="A361" s="36" t="inlineStr">
        <is>
          <t>AGA SPK-tilskudd</t>
        </is>
      </c>
      <c r="B361" s="36" t="inlineStr">
        <is>
          <t>Region Midt-Norge</t>
        </is>
      </c>
      <c r="C361" s="36" t="inlineStr">
        <is>
          <t>Sunnmørsheimen akuttinstitusjon, avd. Klatrevegen</t>
        </is>
      </c>
      <c r="D361" s="26" t="n"/>
      <c r="E361" s="26" t="n"/>
      <c r="F361" s="26" t="n">
        <v>2490</v>
      </c>
      <c r="G361" s="26" t="n">
        <v>7744</v>
      </c>
      <c r="H361" s="26" t="n">
        <v>23775</v>
      </c>
      <c r="I361" s="26" t="n">
        <v>27091</v>
      </c>
      <c r="J361" s="19" t="n">
        <v>30727.28947499999</v>
      </c>
      <c r="K361" s="37" t="n">
        <v>0.065</v>
      </c>
    </row>
    <row r="362">
      <c r="A362" s="34" t="inlineStr">
        <is>
          <t>AGA SPK-tilskudd</t>
        </is>
      </c>
      <c r="B362" s="34" t="inlineStr">
        <is>
          <t>Region Midt-Norge</t>
        </is>
      </c>
      <c r="C362" s="34" t="inlineStr">
        <is>
          <t>Sunnmørsheimen akuttinstitusjon, avd. Klatrevegen</t>
        </is>
      </c>
      <c r="D362" s="18" t="n"/>
      <c r="E362" s="18" t="n"/>
      <c r="F362" s="18" t="n"/>
      <c r="G362" s="18" t="n">
        <v>2760</v>
      </c>
      <c r="H362" s="18" t="n"/>
      <c r="I362" s="18" t="n"/>
      <c r="J362" s="19" t="n">
        <v>0</v>
      </c>
      <c r="K362" s="35" t="n">
        <v>0.065</v>
      </c>
    </row>
    <row r="363">
      <c r="A363" s="36" t="inlineStr">
        <is>
          <t>AGA SPK-tilskudd</t>
        </is>
      </c>
      <c r="B363" s="36" t="inlineStr">
        <is>
          <t>Region Midt-Norge</t>
        </is>
      </c>
      <c r="C363" s="36" t="inlineStr">
        <is>
          <t>Sunnmørsheimen akuttinstitusjon, avd. Klatrevegen</t>
        </is>
      </c>
      <c r="D363" s="26" t="n"/>
      <c r="E363" s="26" t="n"/>
      <c r="F363" s="26" t="n">
        <v>-1400</v>
      </c>
      <c r="G363" s="26" t="n">
        <v>-1958</v>
      </c>
      <c r="H363" s="26" t="n">
        <v>416</v>
      </c>
      <c r="I363" s="26" t="n">
        <v>-27998</v>
      </c>
      <c r="J363" s="19" t="n">
        <v>-31756.03155</v>
      </c>
      <c r="K363" s="37" t="n">
        <v>0.065</v>
      </c>
    </row>
    <row r="364">
      <c r="A364" s="34" t="inlineStr">
        <is>
          <t>AGA SPK-tilskudd</t>
        </is>
      </c>
      <c r="B364" s="34" t="inlineStr">
        <is>
          <t>Region Midt-Norge</t>
        </is>
      </c>
      <c r="C364" s="34" t="inlineStr">
        <is>
          <t>Sunnmørsheimen akuttinstitusjon, avd. Klatrevegen</t>
        </is>
      </c>
      <c r="D364" s="18" t="n"/>
      <c r="E364" s="18" t="n"/>
      <c r="F364" s="18" t="n"/>
      <c r="G364" s="18" t="n"/>
      <c r="H364" s="18" t="n"/>
      <c r="I364" s="18" t="n">
        <v>-10000</v>
      </c>
      <c r="J364" s="19" t="n">
        <v>-11342.25</v>
      </c>
      <c r="K364" s="35" t="n">
        <v>0.065</v>
      </c>
    </row>
    <row r="365">
      <c r="A365" s="36" t="inlineStr">
        <is>
          <t>AGA SPK-tilskudd</t>
        </is>
      </c>
      <c r="B365" s="36" t="inlineStr">
        <is>
          <t>Region Midt-Norge</t>
        </is>
      </c>
      <c r="C365" s="36" t="inlineStr">
        <is>
          <t>Sunnmørsheimen akuttinstitusjon, avd. Klatrevegen</t>
        </is>
      </c>
      <c r="D365" s="26" t="n"/>
      <c r="E365" s="26" t="n"/>
      <c r="F365" s="26" t="n">
        <v>-263821</v>
      </c>
      <c r="G365" s="26" t="n">
        <v>-6818</v>
      </c>
      <c r="H365" s="26" t="n">
        <v>-149688</v>
      </c>
      <c r="I365" s="26" t="n">
        <v>-20922</v>
      </c>
      <c r="J365" s="19" t="n">
        <v>-23730.25545</v>
      </c>
      <c r="K365" s="37" t="n">
        <v>0.065</v>
      </c>
    </row>
    <row r="366">
      <c r="A366" s="34" t="inlineStr">
        <is>
          <t>AGA SPK-tilskudd</t>
        </is>
      </c>
      <c r="B366" s="34" t="inlineStr">
        <is>
          <t>Region Midt-Norge</t>
        </is>
      </c>
      <c r="C366" s="34" t="inlineStr">
        <is>
          <t>Sunnmørsheimen akuttinstitusjon, avd. Klatrevegen</t>
        </is>
      </c>
      <c r="D366" s="18" t="n"/>
      <c r="E366" s="18" t="n"/>
      <c r="F366" s="18" t="n">
        <v>-114497</v>
      </c>
      <c r="G366" s="18" t="n">
        <v>-265961</v>
      </c>
      <c r="H366" s="18" t="n">
        <v>-424801</v>
      </c>
      <c r="I366" s="18" t="n">
        <v>-671472</v>
      </c>
      <c r="J366" s="19" t="n">
        <v>-761600.3291999999</v>
      </c>
      <c r="K366" s="35" t="n">
        <v>0.065</v>
      </c>
    </row>
    <row r="367">
      <c r="A367" s="36" t="inlineStr">
        <is>
          <t>AGA SPK-tilskudd</t>
        </is>
      </c>
      <c r="B367" s="36" t="inlineStr">
        <is>
          <t>Region Midt-Norge</t>
        </is>
      </c>
      <c r="C367" s="36" t="inlineStr">
        <is>
          <t>Sunnmørsheimen ungdomsheim</t>
        </is>
      </c>
      <c r="D367" s="26" t="n">
        <v>3812</v>
      </c>
      <c r="E367" s="26" t="n">
        <v>7890</v>
      </c>
      <c r="F367" s="26" t="n">
        <v>3408</v>
      </c>
      <c r="G367" s="26" t="n">
        <v>3488</v>
      </c>
      <c r="H367" s="26" t="n">
        <v>3481</v>
      </c>
      <c r="I367" s="26" t="n">
        <v>3650</v>
      </c>
      <c r="J367" s="19" t="n">
        <v>3587.144350116321</v>
      </c>
      <c r="K367" s="37" t="n">
        <v>-0.008647754829560372</v>
      </c>
    </row>
    <row r="368">
      <c r="A368" s="34" t="inlineStr">
        <is>
          <t>AGA SPK-tilskudd</t>
        </is>
      </c>
      <c r="B368" s="34" t="inlineStr">
        <is>
          <t>Region Midt-Norge</t>
        </is>
      </c>
      <c r="C368" s="34" t="inlineStr">
        <is>
          <t>Sunnmørsheimen ungdomsheim</t>
        </is>
      </c>
      <c r="D368" s="18" t="n"/>
      <c r="E368" s="18" t="n">
        <v>9217</v>
      </c>
      <c r="F368" s="18" t="n">
        <v>14013</v>
      </c>
      <c r="G368" s="18" t="n">
        <v>21853</v>
      </c>
      <c r="H368" s="18" t="n">
        <v>12393</v>
      </c>
      <c r="I368" s="18" t="n">
        <v>4167</v>
      </c>
      <c r="J368" s="19" t="n">
        <v>2801.821457316775</v>
      </c>
      <c r="K368" s="35" t="n">
        <v>-0.1800101469607693</v>
      </c>
    </row>
    <row r="369">
      <c r="A369" s="36" t="inlineStr">
        <is>
          <t>AGA SPK-tilskudd</t>
        </is>
      </c>
      <c r="B369" s="36" t="inlineStr">
        <is>
          <t>Region Midt-Norge</t>
        </is>
      </c>
      <c r="C369" s="36" t="inlineStr">
        <is>
          <t>Sunnmørsheimen ungdomsheim</t>
        </is>
      </c>
      <c r="D369" s="26" t="n">
        <v>480</v>
      </c>
      <c r="E369" s="26" t="n">
        <v>1288</v>
      </c>
      <c r="F369" s="26" t="n">
        <v>613</v>
      </c>
      <c r="G369" s="26" t="n">
        <v>797</v>
      </c>
      <c r="H369" s="26" t="n">
        <v>833</v>
      </c>
      <c r="I369" s="26" t="n">
        <v>865</v>
      </c>
      <c r="J369" s="19" t="n">
        <v>1094.777984863336</v>
      </c>
      <c r="K369" s="37" t="n">
        <v>0.12500635058623</v>
      </c>
    </row>
    <row r="370">
      <c r="A370" s="34" t="inlineStr">
        <is>
          <t>AGA SPK-tilskudd</t>
        </is>
      </c>
      <c r="B370" s="34" t="inlineStr">
        <is>
          <t>Region Midt-Norge</t>
        </is>
      </c>
      <c r="C370" s="34" t="inlineStr">
        <is>
          <t>Sunnmørsheimen ungdomsheim</t>
        </is>
      </c>
      <c r="D370" s="18" t="n"/>
      <c r="E370" s="18" t="n"/>
      <c r="F370" s="18" t="n"/>
      <c r="G370" s="18" t="n">
        <v>30442</v>
      </c>
      <c r="H370" s="18" t="n">
        <v>4725</v>
      </c>
      <c r="I370" s="18" t="n">
        <v>20906</v>
      </c>
      <c r="J370" s="19" t="n">
        <v>23712.10785</v>
      </c>
      <c r="K370" s="35" t="n">
        <v>0.065</v>
      </c>
    </row>
    <row r="371">
      <c r="A371" s="36" t="inlineStr">
        <is>
          <t>AGA SPK-tilskudd</t>
        </is>
      </c>
      <c r="B371" s="36" t="inlineStr">
        <is>
          <t>Region Midt-Norge</t>
        </is>
      </c>
      <c r="C371" s="36" t="inlineStr">
        <is>
          <t>Sunnmørsheimen ungdomsheim</t>
        </is>
      </c>
      <c r="D371" s="26" t="n"/>
      <c r="E371" s="26" t="n"/>
      <c r="F371" s="26" t="n"/>
      <c r="G371" s="26" t="n"/>
      <c r="H371" s="26" t="n"/>
      <c r="I371" s="26" t="n">
        <v>1786</v>
      </c>
      <c r="J371" s="19" t="n">
        <v>2025.72585</v>
      </c>
      <c r="K371" s="37" t="n">
        <v>0.065</v>
      </c>
    </row>
    <row r="372">
      <c r="A372" s="34" t="inlineStr">
        <is>
          <t>AGA SPK-tilskudd</t>
        </is>
      </c>
      <c r="B372" s="34" t="inlineStr">
        <is>
          <t>Region Midt-Norge</t>
        </is>
      </c>
      <c r="C372" s="34" t="inlineStr">
        <is>
          <t>Sunnmørsheimen ungdomsheim</t>
        </is>
      </c>
      <c r="D372" s="18" t="n"/>
      <c r="E372" s="18" t="n">
        <v>923</v>
      </c>
      <c r="F372" s="18" t="n">
        <v>2224</v>
      </c>
      <c r="G372" s="18" t="n">
        <v>1990</v>
      </c>
      <c r="H372" s="18" t="n">
        <v>3121</v>
      </c>
      <c r="I372" s="18" t="n">
        <v>484</v>
      </c>
      <c r="J372" s="19" t="n">
        <v>350.4831891434395</v>
      </c>
      <c r="K372" s="35" t="n">
        <v>-0.1490365339544262</v>
      </c>
    </row>
    <row r="373">
      <c r="A373" s="36" t="inlineStr">
        <is>
          <t>AGA SPK-tilskudd</t>
        </is>
      </c>
      <c r="B373" s="36" t="inlineStr">
        <is>
          <t>Region Midt-Norge</t>
        </is>
      </c>
      <c r="C373" s="36" t="inlineStr">
        <is>
          <t>Sunnmørsheimen ungdomsheim</t>
        </is>
      </c>
      <c r="D373" s="26" t="n"/>
      <c r="E373" s="26" t="n">
        <v>307</v>
      </c>
      <c r="F373" s="26" t="n"/>
      <c r="G373" s="26" t="n"/>
      <c r="H373" s="26" t="n"/>
      <c r="I373" s="26" t="n"/>
      <c r="J373" s="19" t="n">
        <v>0</v>
      </c>
      <c r="K373" s="37" t="n">
        <v>0.065</v>
      </c>
    </row>
    <row r="374">
      <c r="A374" s="34" t="inlineStr">
        <is>
          <t>AGA SPK-tilskudd</t>
        </is>
      </c>
      <c r="B374" s="34" t="inlineStr">
        <is>
          <t>Region Midt-Norge</t>
        </is>
      </c>
      <c r="C374" s="34" t="inlineStr">
        <is>
          <t>Sunnmørsheimen ungdomsheim</t>
        </is>
      </c>
      <c r="D374" s="18" t="n"/>
      <c r="E374" s="18" t="n"/>
      <c r="F374" s="18" t="n">
        <v>350</v>
      </c>
      <c r="G374" s="18" t="n"/>
      <c r="H374" s="18" t="n"/>
      <c r="I374" s="18" t="n"/>
      <c r="J374" s="19" t="n">
        <v>0</v>
      </c>
      <c r="K374" s="35" t="n">
        <v>0.065</v>
      </c>
    </row>
    <row r="375">
      <c r="A375" s="36" t="inlineStr">
        <is>
          <t>AGA SPK-tilskudd</t>
        </is>
      </c>
      <c r="B375" s="36" t="inlineStr">
        <is>
          <t>Region Midt-Norge</t>
        </is>
      </c>
      <c r="C375" s="36" t="inlineStr">
        <is>
          <t>Sunnmørsheimen ungdomsheim</t>
        </is>
      </c>
      <c r="D375" s="26" t="n"/>
      <c r="E375" s="26" t="n">
        <v>194</v>
      </c>
      <c r="F375" s="26" t="n">
        <v>744</v>
      </c>
      <c r="G375" s="26" t="n">
        <v>620</v>
      </c>
      <c r="H375" s="26" t="n">
        <v>960</v>
      </c>
      <c r="I375" s="26" t="n">
        <v>882</v>
      </c>
      <c r="J375" s="19" t="n">
        <v>1378.125</v>
      </c>
      <c r="K375" s="37" t="n">
        <v>0.25</v>
      </c>
    </row>
    <row r="376">
      <c r="A376" s="34" t="inlineStr">
        <is>
          <t>AGA SPK-tilskudd</t>
        </is>
      </c>
      <c r="B376" s="34" t="inlineStr">
        <is>
          <t>Region Midt-Norge</t>
        </is>
      </c>
      <c r="C376" s="34" t="inlineStr">
        <is>
          <t>Sunnmørsheimen ungdomsheim</t>
        </is>
      </c>
      <c r="D376" s="18" t="n">
        <v>-960</v>
      </c>
      <c r="E376" s="18" t="n">
        <v>-2520</v>
      </c>
      <c r="F376" s="18" t="n">
        <v>-600</v>
      </c>
      <c r="G376" s="18" t="n"/>
      <c r="H376" s="18" t="n"/>
      <c r="I376" s="18" t="n"/>
      <c r="J376" s="19" t="n">
        <v>0</v>
      </c>
      <c r="K376" s="35" t="n">
        <v>0.065</v>
      </c>
    </row>
    <row r="377">
      <c r="A377" s="36" t="inlineStr">
        <is>
          <t>AGA SPK-tilskudd</t>
        </is>
      </c>
      <c r="B377" s="36" t="inlineStr">
        <is>
          <t>Region Midt-Norge</t>
        </is>
      </c>
      <c r="C377" s="36" t="inlineStr">
        <is>
          <t>Sunnmørsheimen ungdomsheim, avd. Klatrevegen</t>
        </is>
      </c>
      <c r="D377" s="26" t="n">
        <v>153561</v>
      </c>
      <c r="E377" s="26" t="n">
        <v>152059</v>
      </c>
      <c r="F377" s="26" t="n">
        <v>55013</v>
      </c>
      <c r="G377" s="26" t="n"/>
      <c r="H377" s="26" t="n"/>
      <c r="I377" s="26" t="n"/>
      <c r="J377" s="19" t="n">
        <v>0</v>
      </c>
      <c r="K377" s="37" t="n">
        <v>0.065</v>
      </c>
    </row>
    <row r="378">
      <c r="A378" s="34" t="inlineStr">
        <is>
          <t>AGA SPK-tilskudd</t>
        </is>
      </c>
      <c r="B378" s="34" t="inlineStr">
        <is>
          <t>Region Midt-Norge</t>
        </is>
      </c>
      <c r="C378" s="34" t="inlineStr">
        <is>
          <t>Sunnmørsheimen ungdomsheim, avd. Klatrevegen</t>
        </is>
      </c>
      <c r="D378" s="18" t="n">
        <v>475107</v>
      </c>
      <c r="E378" s="18" t="n">
        <v>189311</v>
      </c>
      <c r="F378" s="18" t="n">
        <v>15235</v>
      </c>
      <c r="G378" s="18" t="n"/>
      <c r="H378" s="18" t="n"/>
      <c r="I378" s="18" t="n"/>
      <c r="J378" s="19" t="n">
        <v>0</v>
      </c>
      <c r="K378" s="35" t="n">
        <v>0.065</v>
      </c>
    </row>
    <row r="379">
      <c r="A379" s="36" t="inlineStr">
        <is>
          <t>AGA SPK-tilskudd</t>
        </is>
      </c>
      <c r="B379" s="36" t="inlineStr">
        <is>
          <t>Region Midt-Norge</t>
        </is>
      </c>
      <c r="C379" s="36" t="inlineStr">
        <is>
          <t>Sunnmørsheimen ungdomsheim, avd. Klatrevegen</t>
        </is>
      </c>
      <c r="D379" s="26" t="n">
        <v>72144</v>
      </c>
      <c r="E379" s="26" t="n">
        <v>125243</v>
      </c>
      <c r="F379" s="26" t="n">
        <v>72158</v>
      </c>
      <c r="G379" s="26" t="n"/>
      <c r="H379" s="26" t="n"/>
      <c r="I379" s="26" t="n"/>
      <c r="J379" s="19" t="n">
        <v>0</v>
      </c>
      <c r="K379" s="37" t="n">
        <v>0.065</v>
      </c>
    </row>
    <row r="380">
      <c r="A380" s="34" t="inlineStr">
        <is>
          <t>AGA SPK-tilskudd</t>
        </is>
      </c>
      <c r="B380" s="34" t="inlineStr">
        <is>
          <t>Region Midt-Norge</t>
        </is>
      </c>
      <c r="C380" s="34" t="inlineStr">
        <is>
          <t>Sunnmørsheimen ungdomsheim, avd. Klatrevegen</t>
        </is>
      </c>
      <c r="D380" s="18" t="n">
        <v>36330</v>
      </c>
      <c r="E380" s="18" t="n">
        <v>41082</v>
      </c>
      <c r="F380" s="18" t="n">
        <v>18149</v>
      </c>
      <c r="G380" s="18" t="n"/>
      <c r="H380" s="18" t="n"/>
      <c r="I380" s="18" t="n"/>
      <c r="J380" s="19" t="n">
        <v>0</v>
      </c>
      <c r="K380" s="35" t="n">
        <v>0.065</v>
      </c>
    </row>
    <row r="381">
      <c r="A381" s="36" t="inlineStr">
        <is>
          <t>AGA SPK-tilskudd</t>
        </is>
      </c>
      <c r="B381" s="36" t="inlineStr">
        <is>
          <t>Region Midt-Norge</t>
        </is>
      </c>
      <c r="C381" s="36" t="inlineStr">
        <is>
          <t>Sunnmørsheimen ungdomsheim, avd. Klatrevegen</t>
        </is>
      </c>
      <c r="D381" s="26" t="n">
        <v>9880</v>
      </c>
      <c r="E381" s="26" t="n">
        <v>48936</v>
      </c>
      <c r="F381" s="26" t="n"/>
      <c r="G381" s="26" t="n"/>
      <c r="H381" s="26" t="n"/>
      <c r="I381" s="26" t="n"/>
      <c r="J381" s="19" t="n">
        <v>0</v>
      </c>
      <c r="K381" s="37" t="n">
        <v>0.065</v>
      </c>
    </row>
    <row r="382">
      <c r="A382" s="34" t="inlineStr">
        <is>
          <t>AGA SPK-tilskudd</t>
        </is>
      </c>
      <c r="B382" s="34" t="inlineStr">
        <is>
          <t>Region Midt-Norge</t>
        </is>
      </c>
      <c r="C382" s="34" t="inlineStr">
        <is>
          <t>Sunnmørsheimen ungdomsheim, avd. Klatrevegen</t>
        </is>
      </c>
      <c r="D382" s="18" t="n">
        <v>1150</v>
      </c>
      <c r="E382" s="18" t="n">
        <v>2708</v>
      </c>
      <c r="F382" s="18" t="n">
        <v>361</v>
      </c>
      <c r="G382" s="18" t="n">
        <v>2</v>
      </c>
      <c r="H382" s="18" t="n"/>
      <c r="I382" s="18" t="n"/>
      <c r="J382" s="19" t="n">
        <v>0</v>
      </c>
      <c r="K382" s="35" t="n">
        <v>0.065</v>
      </c>
    </row>
    <row r="383">
      <c r="A383" s="36" t="inlineStr">
        <is>
          <t>AGA SPK-tilskudd</t>
        </is>
      </c>
      <c r="B383" s="36" t="inlineStr">
        <is>
          <t>Region Midt-Norge</t>
        </is>
      </c>
      <c r="C383" s="36" t="inlineStr">
        <is>
          <t>Sunnmørsheimen ungdomsheim, avd. Klatrevegen</t>
        </is>
      </c>
      <c r="D383" s="26" t="n">
        <v>7658</v>
      </c>
      <c r="E383" s="26" t="n">
        <v>14735</v>
      </c>
      <c r="F383" s="26" t="n">
        <v>13798</v>
      </c>
      <c r="G383" s="26" t="n"/>
      <c r="H383" s="26" t="n"/>
      <c r="I383" s="26" t="n"/>
      <c r="J383" s="19" t="n">
        <v>0</v>
      </c>
      <c r="K383" s="37" t="n">
        <v>0.065</v>
      </c>
    </row>
    <row r="384">
      <c r="A384" s="34" t="inlineStr">
        <is>
          <t>AGA SPK-tilskudd</t>
        </is>
      </c>
      <c r="B384" s="34" t="inlineStr">
        <is>
          <t>Region Midt-Norge</t>
        </is>
      </c>
      <c r="C384" s="34" t="inlineStr">
        <is>
          <t>Sunnmørsheimen ungdomsheim, avd. Klatrevegen</t>
        </is>
      </c>
      <c r="D384" s="18" t="n">
        <v>4345</v>
      </c>
      <c r="E384" s="18" t="n">
        <v>9089</v>
      </c>
      <c r="F384" s="18" t="n"/>
      <c r="G384" s="18" t="n"/>
      <c r="H384" s="18" t="n"/>
      <c r="I384" s="18" t="n"/>
      <c r="J384" s="19" t="n">
        <v>0</v>
      </c>
      <c r="K384" s="35" t="n">
        <v>0.065</v>
      </c>
    </row>
    <row r="385">
      <c r="A385" s="36" t="inlineStr">
        <is>
          <t>AGA SPK-tilskudd</t>
        </is>
      </c>
      <c r="B385" s="36" t="inlineStr">
        <is>
          <t>Region Midt-Norge</t>
        </is>
      </c>
      <c r="C385" s="36" t="inlineStr">
        <is>
          <t>Sunnmørsheimen ungdomsheim, avd. Klatrevegen</t>
        </is>
      </c>
      <c r="D385" s="26" t="n">
        <v>6536</v>
      </c>
      <c r="E385" s="26" t="n">
        <v>4368</v>
      </c>
      <c r="F385" s="26" t="n">
        <v>690</v>
      </c>
      <c r="G385" s="26" t="n"/>
      <c r="H385" s="26" t="n"/>
      <c r="I385" s="26" t="n"/>
      <c r="J385" s="19" t="n">
        <v>0</v>
      </c>
      <c r="K385" s="37" t="n">
        <v>0.065</v>
      </c>
    </row>
    <row r="386">
      <c r="A386" s="34" t="inlineStr">
        <is>
          <t>AGA SPK-tilskudd</t>
        </is>
      </c>
      <c r="B386" s="34" t="inlineStr">
        <is>
          <t>Region Midt-Norge</t>
        </is>
      </c>
      <c r="C386" s="34" t="inlineStr">
        <is>
          <t>Sunnmørsheimen ungdomsheim, avd. Klatrevegen</t>
        </is>
      </c>
      <c r="D386" s="18" t="n">
        <v>3565</v>
      </c>
      <c r="E386" s="18" t="n">
        <v>4713</v>
      </c>
      <c r="F386" s="18" t="n">
        <v>5114</v>
      </c>
      <c r="G386" s="18" t="n"/>
      <c r="H386" s="18" t="n"/>
      <c r="I386" s="18" t="n"/>
      <c r="J386" s="19" t="n">
        <v>0</v>
      </c>
      <c r="K386" s="35" t="n">
        <v>0.065</v>
      </c>
    </row>
    <row r="387">
      <c r="A387" s="36" t="inlineStr">
        <is>
          <t>AGA SPK-tilskudd</t>
        </is>
      </c>
      <c r="B387" s="36" t="inlineStr">
        <is>
          <t>Region Midt-Norge</t>
        </is>
      </c>
      <c r="C387" s="36" t="inlineStr">
        <is>
          <t>Sunnmørsheimen ungdomsheim, avd. Klatrevegen</t>
        </is>
      </c>
      <c r="D387" s="26" t="n">
        <v>-6258</v>
      </c>
      <c r="E387" s="26" t="n">
        <v>3642</v>
      </c>
      <c r="F387" s="26" t="n">
        <v>13663</v>
      </c>
      <c r="G387" s="26" t="n"/>
      <c r="H387" s="26" t="n"/>
      <c r="I387" s="26" t="n"/>
      <c r="J387" s="19" t="n">
        <v>0</v>
      </c>
      <c r="K387" s="37" t="n">
        <v>0.065</v>
      </c>
    </row>
    <row r="388">
      <c r="A388" s="34" t="inlineStr">
        <is>
          <t>AGA SPK-tilskudd</t>
        </is>
      </c>
      <c r="B388" s="34" t="inlineStr">
        <is>
          <t>Region Midt-Norge</t>
        </is>
      </c>
      <c r="C388" s="34" t="inlineStr">
        <is>
          <t>Sunnmørsheimen ungdomsheim, avd. Klatrevegen</t>
        </is>
      </c>
      <c r="D388" s="18" t="n">
        <v>-1198</v>
      </c>
      <c r="E388" s="18" t="n">
        <v>-302991</v>
      </c>
      <c r="F388" s="18" t="n">
        <v>-133189</v>
      </c>
      <c r="G388" s="18" t="n"/>
      <c r="H388" s="18" t="n"/>
      <c r="I388" s="18" t="n"/>
      <c r="J388" s="19" t="n">
        <v>0</v>
      </c>
      <c r="K388" s="35" t="n">
        <v>0.065</v>
      </c>
    </row>
    <row r="389">
      <c r="A389" s="36" t="inlineStr">
        <is>
          <t>AGA SPK-tilskudd</t>
        </is>
      </c>
      <c r="B389" s="36" t="inlineStr">
        <is>
          <t>Region Midt-Norge</t>
        </is>
      </c>
      <c r="C389" s="36" t="inlineStr">
        <is>
          <t>Sunnmørsheimen ungdomsheim, avd. Klatrevegen</t>
        </is>
      </c>
      <c r="D389" s="26" t="n">
        <v>-733954</v>
      </c>
      <c r="E389" s="26" t="n">
        <v>-1490844</v>
      </c>
      <c r="F389" s="26" t="n">
        <v>-370457</v>
      </c>
      <c r="G389" s="26" t="n">
        <v>-4126</v>
      </c>
      <c r="H389" s="26" t="n"/>
      <c r="I389" s="26" t="n"/>
      <c r="J389" s="19" t="n">
        <v>0</v>
      </c>
      <c r="K389" s="37" t="n">
        <v>0.065</v>
      </c>
    </row>
    <row r="390">
      <c r="A390" s="34" t="inlineStr">
        <is>
          <t>AGA SPK-tilskudd</t>
        </is>
      </c>
      <c r="B390" s="34" t="inlineStr">
        <is>
          <t>Region Midt-Norge</t>
        </is>
      </c>
      <c r="C390" s="34" t="inlineStr">
        <is>
          <t>Sunnmørsheimen ungdomsheim, avd. Nygardsvegen</t>
        </is>
      </c>
      <c r="D390" s="18" t="n">
        <v>155855</v>
      </c>
      <c r="E390" s="18" t="n">
        <v>145156</v>
      </c>
      <c r="F390" s="18" t="n">
        <v>137643</v>
      </c>
      <c r="G390" s="18" t="n">
        <v>151321</v>
      </c>
      <c r="H390" s="18" t="n">
        <v>160877</v>
      </c>
      <c r="I390" s="18" t="n">
        <v>156495</v>
      </c>
      <c r="J390" s="19" t="n">
        <v>156751.7352601063</v>
      </c>
      <c r="K390" s="35" t="n">
        <v>0.0008199305112046584</v>
      </c>
    </row>
    <row r="391">
      <c r="A391" s="36" t="inlineStr">
        <is>
          <t>AGA SPK-tilskudd</t>
        </is>
      </c>
      <c r="B391" s="36" t="inlineStr">
        <is>
          <t>Region Midt-Norge</t>
        </is>
      </c>
      <c r="C391" s="36" t="inlineStr">
        <is>
          <t>Sunnmørsheimen ungdomsheim, avd. Nygardsvegen</t>
        </is>
      </c>
      <c r="D391" s="26" t="n">
        <v>222081</v>
      </c>
      <c r="E391" s="26" t="n">
        <v>168613</v>
      </c>
      <c r="F391" s="26" t="n">
        <v>33537</v>
      </c>
      <c r="G391" s="26" t="n"/>
      <c r="H391" s="26" t="n">
        <v>81552</v>
      </c>
      <c r="I391" s="26" t="n">
        <v>35056</v>
      </c>
      <c r="J391" s="19" t="n">
        <v>19719</v>
      </c>
      <c r="K391" s="37" t="n">
        <v>-0.25</v>
      </c>
    </row>
    <row r="392">
      <c r="A392" s="34" t="inlineStr">
        <is>
          <t>AGA SPK-tilskudd</t>
        </is>
      </c>
      <c r="B392" s="34" t="inlineStr">
        <is>
          <t>Region Midt-Norge</t>
        </is>
      </c>
      <c r="C392" s="34" t="inlineStr">
        <is>
          <t>Sunnmørsheimen ungdomsheim, avd. Nygardsvegen</t>
        </is>
      </c>
      <c r="D392" s="18" t="n">
        <v>133215</v>
      </c>
      <c r="E392" s="18" t="n">
        <v>115362</v>
      </c>
      <c r="F392" s="18" t="n">
        <v>185543</v>
      </c>
      <c r="G392" s="18" t="n">
        <v>97065</v>
      </c>
      <c r="H392" s="18" t="n">
        <v>142462</v>
      </c>
      <c r="I392" s="18" t="n">
        <v>137813</v>
      </c>
      <c r="J392" s="19" t="n">
        <v>139696.3342138059</v>
      </c>
      <c r="K392" s="35" t="n">
        <v>0.006809747477797057</v>
      </c>
    </row>
    <row r="393">
      <c r="A393" s="36" t="inlineStr">
        <is>
          <t>AGA SPK-tilskudd</t>
        </is>
      </c>
      <c r="B393" s="36" t="inlineStr">
        <is>
          <t>Region Midt-Norge</t>
        </is>
      </c>
      <c r="C393" s="36" t="inlineStr">
        <is>
          <t>Sunnmørsheimen ungdomsheim, avd. Nygardsvegen</t>
        </is>
      </c>
      <c r="D393" s="26" t="n">
        <v>43700</v>
      </c>
      <c r="E393" s="26" t="n">
        <v>48342</v>
      </c>
      <c r="F393" s="26" t="n">
        <v>57270</v>
      </c>
      <c r="G393" s="26" t="n">
        <v>62605</v>
      </c>
      <c r="H393" s="26" t="n">
        <v>76150</v>
      </c>
      <c r="I393" s="26" t="n">
        <v>75470</v>
      </c>
      <c r="J393" s="19" t="n">
        <v>93905.60503580525</v>
      </c>
      <c r="K393" s="37" t="n">
        <v>0.1154717669949501</v>
      </c>
    </row>
    <row r="394">
      <c r="A394" s="34" t="inlineStr">
        <is>
          <t>AGA SPK-tilskudd</t>
        </is>
      </c>
      <c r="B394" s="34" t="inlineStr">
        <is>
          <t>Region Midt-Norge</t>
        </is>
      </c>
      <c r="C394" s="34" t="inlineStr">
        <is>
          <t>Sunnmørsheimen ungdomsheim, avd. Nygardsvegen</t>
        </is>
      </c>
      <c r="D394" s="18" t="n">
        <v>15794</v>
      </c>
      <c r="E394" s="18" t="n">
        <v>4213</v>
      </c>
      <c r="F394" s="18" t="n"/>
      <c r="G394" s="18" t="n"/>
      <c r="H394" s="18" t="n">
        <v>-4200</v>
      </c>
      <c r="I394" s="18" t="n">
        <v>116646</v>
      </c>
      <c r="J394" s="19" t="n">
        <v>182259.375</v>
      </c>
      <c r="K394" s="35" t="n">
        <v>0.25</v>
      </c>
    </row>
    <row r="395">
      <c r="A395" s="36" t="inlineStr">
        <is>
          <t>AGA SPK-tilskudd</t>
        </is>
      </c>
      <c r="B395" s="36" t="inlineStr">
        <is>
          <t>Region Midt-Norge</t>
        </is>
      </c>
      <c r="C395" s="36" t="inlineStr">
        <is>
          <t>Sunnmørsheimen ungdomsheim, avd. Nygardsvegen</t>
        </is>
      </c>
      <c r="D395" s="26" t="n"/>
      <c r="E395" s="26" t="n">
        <v>4064</v>
      </c>
      <c r="F395" s="26" t="n">
        <v>5281</v>
      </c>
      <c r="G395" s="26" t="n">
        <v>3500</v>
      </c>
      <c r="H395" s="26" t="n">
        <v>6645</v>
      </c>
      <c r="I395" s="26" t="n">
        <v>4804</v>
      </c>
      <c r="J395" s="19" t="n">
        <v>5223.091673513041</v>
      </c>
      <c r="K395" s="37" t="n">
        <v>0.04270708587124883</v>
      </c>
    </row>
    <row r="396">
      <c r="A396" s="34" t="inlineStr">
        <is>
          <t>AGA SPK-tilskudd</t>
        </is>
      </c>
      <c r="B396" s="34" t="inlineStr">
        <is>
          <t>Region Midt-Norge</t>
        </is>
      </c>
      <c r="C396" s="34" t="inlineStr">
        <is>
          <t>Sunnmørsheimen ungdomsheim, avd. Nygardsvegen</t>
        </is>
      </c>
      <c r="D396" s="18" t="n">
        <v>27075</v>
      </c>
      <c r="E396" s="18" t="n">
        <v>15004</v>
      </c>
      <c r="F396" s="18" t="n">
        <v>10225</v>
      </c>
      <c r="G396" s="18" t="n">
        <v>9742</v>
      </c>
      <c r="H396" s="18" t="n">
        <v>18623</v>
      </c>
      <c r="I396" s="18" t="n">
        <v>19945</v>
      </c>
      <c r="J396" s="19" t="n">
        <v>17649.8195996752</v>
      </c>
      <c r="K396" s="35" t="n">
        <v>-0.05929573062496618</v>
      </c>
    </row>
    <row r="397">
      <c r="A397" s="36" t="inlineStr">
        <is>
          <t>AGA SPK-tilskudd</t>
        </is>
      </c>
      <c r="B397" s="36" t="inlineStr">
        <is>
          <t>Region Midt-Norge</t>
        </is>
      </c>
      <c r="C397" s="36" t="inlineStr">
        <is>
          <t>Sunnmørsheimen ungdomsheim, avd. Nygardsvegen</t>
        </is>
      </c>
      <c r="D397" s="26" t="n">
        <v>4176</v>
      </c>
      <c r="E397" s="26" t="n">
        <v>9089</v>
      </c>
      <c r="F397" s="26" t="n">
        <v>7945</v>
      </c>
      <c r="G397" s="26" t="n">
        <v>8485</v>
      </c>
      <c r="H397" s="26" t="n">
        <v>27477</v>
      </c>
      <c r="I397" s="26" t="n">
        <v>20231</v>
      </c>
      <c r="J397" s="19" t="n">
        <v>31610.9375</v>
      </c>
      <c r="K397" s="37" t="n">
        <v>0.25</v>
      </c>
    </row>
    <row r="398">
      <c r="A398" s="34" t="inlineStr">
        <is>
          <t>AGA SPK-tilskudd</t>
        </is>
      </c>
      <c r="B398" s="34" t="inlineStr">
        <is>
          <t>Region Midt-Norge</t>
        </is>
      </c>
      <c r="C398" s="34" t="inlineStr">
        <is>
          <t>Sunnmørsheimen ungdomsheim, avd. Nygardsvegen</t>
        </is>
      </c>
      <c r="D398" s="18" t="n">
        <v>6457</v>
      </c>
      <c r="E398" s="18" t="n">
        <v>6182</v>
      </c>
      <c r="F398" s="18" t="n">
        <v>8714</v>
      </c>
      <c r="G398" s="18" t="n">
        <v>5127</v>
      </c>
      <c r="H398" s="18" t="n">
        <v>9078</v>
      </c>
      <c r="I398" s="18" t="n">
        <v>468</v>
      </c>
      <c r="J398" s="19" t="n">
        <v>263.25</v>
      </c>
      <c r="K398" s="35" t="n">
        <v>-0.25</v>
      </c>
    </row>
    <row r="399">
      <c r="A399" s="36" t="inlineStr">
        <is>
          <t>AGA SPK-tilskudd</t>
        </is>
      </c>
      <c r="B399" s="36" t="inlineStr">
        <is>
          <t>Region Midt-Norge</t>
        </is>
      </c>
      <c r="C399" s="36" t="inlineStr">
        <is>
          <t>Sunnmørsheimen ungdomsheim, avd. Nygardsvegen</t>
        </is>
      </c>
      <c r="D399" s="26" t="n">
        <v>9201</v>
      </c>
      <c r="E399" s="26" t="n">
        <v>7564</v>
      </c>
      <c r="F399" s="26" t="n">
        <v>3045</v>
      </c>
      <c r="G399" s="26" t="n">
        <v>3584</v>
      </c>
      <c r="H399" s="26" t="n">
        <v>15611</v>
      </c>
      <c r="I399" s="26" t="n">
        <v>25016</v>
      </c>
      <c r="J399" s="19" t="n">
        <v>37322.52376518627</v>
      </c>
      <c r="K399" s="37" t="n">
        <v>0.2214524571591752</v>
      </c>
    </row>
    <row r="400">
      <c r="A400" s="34" t="inlineStr">
        <is>
          <t>AGA SPK-tilskudd</t>
        </is>
      </c>
      <c r="B400" s="34" t="inlineStr">
        <is>
          <t>Region Midt-Norge</t>
        </is>
      </c>
      <c r="C400" s="34" t="inlineStr">
        <is>
          <t>Sunnmørsheimen ungdomsheim, avd. Nygardsvegen</t>
        </is>
      </c>
      <c r="D400" s="18" t="n">
        <v>5170</v>
      </c>
      <c r="E400" s="18" t="n">
        <v>4480</v>
      </c>
      <c r="F400" s="18" t="n">
        <v>490</v>
      </c>
      <c r="G400" s="18" t="n">
        <v>8380</v>
      </c>
      <c r="H400" s="18" t="n"/>
      <c r="I400" s="18" t="n"/>
      <c r="J400" s="19" t="n">
        <v>0</v>
      </c>
      <c r="K400" s="35" t="n">
        <v>0.065</v>
      </c>
    </row>
    <row r="401">
      <c r="A401" s="36" t="inlineStr">
        <is>
          <t>AGA SPK-tilskudd</t>
        </is>
      </c>
      <c r="B401" s="36" t="inlineStr">
        <is>
          <t>Region Midt-Norge</t>
        </is>
      </c>
      <c r="C401" s="36" t="inlineStr">
        <is>
          <t>Sunnmørsheimen ungdomsheim, avd. Nygardsvegen</t>
        </is>
      </c>
      <c r="D401" s="26" t="n">
        <v>-14630</v>
      </c>
      <c r="E401" s="26" t="n">
        <v>-7745</v>
      </c>
      <c r="F401" s="26" t="n">
        <v>6663</v>
      </c>
      <c r="G401" s="26" t="n">
        <v>588</v>
      </c>
      <c r="H401" s="26" t="n">
        <v>4440</v>
      </c>
      <c r="I401" s="26" t="n">
        <v>-23438</v>
      </c>
      <c r="J401" s="19" t="n">
        <v>-26583.96555</v>
      </c>
      <c r="K401" s="37" t="n">
        <v>0.065</v>
      </c>
    </row>
    <row r="402">
      <c r="A402" s="34" t="inlineStr">
        <is>
          <t>AGA SPK-tilskudd</t>
        </is>
      </c>
      <c r="B402" s="34" t="inlineStr">
        <is>
          <t>Region Midt-Norge</t>
        </is>
      </c>
      <c r="C402" s="34" t="inlineStr">
        <is>
          <t>Sunnmørsheimen ungdomsheim, avd. Nygardsvegen</t>
        </is>
      </c>
      <c r="D402" s="18" t="n"/>
      <c r="E402" s="18" t="n"/>
      <c r="F402" s="18" t="n"/>
      <c r="G402" s="18" t="n"/>
      <c r="H402" s="18" t="n"/>
      <c r="I402" s="18" t="n">
        <v>-10000</v>
      </c>
      <c r="J402" s="19" t="n">
        <v>-11342.25</v>
      </c>
      <c r="K402" s="35" t="n">
        <v>0.065</v>
      </c>
    </row>
    <row r="403">
      <c r="A403" s="36" t="inlineStr">
        <is>
          <t>AGA SPK-tilskudd</t>
        </is>
      </c>
      <c r="B403" s="36" t="inlineStr">
        <is>
          <t>Region Midt-Norge</t>
        </is>
      </c>
      <c r="C403" s="36" t="inlineStr">
        <is>
          <t>Sunnmørsheimen ungdomsheim, avd. Nygardsvegen</t>
        </is>
      </c>
      <c r="D403" s="26" t="n">
        <v>-10905</v>
      </c>
      <c r="E403" s="26" t="n">
        <v>-241793</v>
      </c>
      <c r="F403" s="26" t="n">
        <v>-123279</v>
      </c>
      <c r="G403" s="26" t="n">
        <v>-573412</v>
      </c>
      <c r="H403" s="26" t="n">
        <v>-393866</v>
      </c>
      <c r="I403" s="26" t="n">
        <v>-383376</v>
      </c>
      <c r="J403" s="19" t="n">
        <v>-434834.6436</v>
      </c>
      <c r="K403" s="37" t="n">
        <v>0.065</v>
      </c>
    </row>
    <row r="404">
      <c r="A404" s="34" t="inlineStr">
        <is>
          <t>AGA SPK-tilskudd</t>
        </is>
      </c>
      <c r="B404" s="34" t="inlineStr">
        <is>
          <t>Region Midt-Norge</t>
        </is>
      </c>
      <c r="C404" s="34" t="inlineStr">
        <is>
          <t>Sunnmørsheimen ungdomsheim, avd. Nygardsvegen</t>
        </is>
      </c>
      <c r="D404" s="18" t="n">
        <v>-969327</v>
      </c>
      <c r="E404" s="18" t="n">
        <v>-767575</v>
      </c>
      <c r="F404" s="18" t="n">
        <v>-929828</v>
      </c>
      <c r="G404" s="18" t="n">
        <v>-964357</v>
      </c>
      <c r="H404" s="18" t="n">
        <v>-654695</v>
      </c>
      <c r="I404" s="18" t="n">
        <v>-1800458</v>
      </c>
      <c r="J404" s="19" t="n">
        <v>-2042124.47505</v>
      </c>
      <c r="K404" s="35" t="n">
        <v>0.065</v>
      </c>
    </row>
    <row r="405">
      <c r="A405" s="36" t="inlineStr">
        <is>
          <t>AGA SPK-tilskudd</t>
        </is>
      </c>
      <c r="B405" s="36" t="inlineStr">
        <is>
          <t>Region Midt-Norge</t>
        </is>
      </c>
      <c r="C405" s="36" t="inlineStr">
        <is>
          <t>TFCO Trondheim</t>
        </is>
      </c>
      <c r="D405" s="26" t="n">
        <v>42242</v>
      </c>
      <c r="E405" s="26" t="n">
        <v>76967</v>
      </c>
      <c r="F405" s="26" t="n">
        <v>47594</v>
      </c>
      <c r="G405" s="26" t="n">
        <v>51797</v>
      </c>
      <c r="H405" s="26" t="n">
        <v>29318</v>
      </c>
      <c r="I405" s="26" t="n">
        <v>592</v>
      </c>
      <c r="J405" s="19" t="n">
        <v>333</v>
      </c>
      <c r="K405" s="37" t="n">
        <v>-0.25</v>
      </c>
    </row>
    <row r="406">
      <c r="A406" s="34" t="inlineStr">
        <is>
          <t>AGA SPK-tilskudd</t>
        </is>
      </c>
      <c r="B406" s="34" t="inlineStr">
        <is>
          <t>Region Midt-Norge</t>
        </is>
      </c>
      <c r="C406" s="34" t="inlineStr">
        <is>
          <t>TFCO Trondheim</t>
        </is>
      </c>
      <c r="D406" s="18" t="n">
        <v>58955</v>
      </c>
      <c r="E406" s="18" t="n">
        <v>124797</v>
      </c>
      <c r="F406" s="18" t="n">
        <v>145839</v>
      </c>
      <c r="G406" s="18" t="n">
        <v>339965</v>
      </c>
      <c r="H406" s="18" t="n">
        <v>26883</v>
      </c>
      <c r="I406" s="18" t="n"/>
      <c r="J406" s="19" t="n">
        <v>0</v>
      </c>
      <c r="K406" s="35" t="n">
        <v>0.065</v>
      </c>
    </row>
    <row r="407">
      <c r="A407" s="36" t="inlineStr">
        <is>
          <t>AGA SPK-tilskudd</t>
        </is>
      </c>
      <c r="B407" s="36" t="inlineStr">
        <is>
          <t>Region Midt-Norge</t>
        </is>
      </c>
      <c r="C407" s="36" t="inlineStr">
        <is>
          <t>TFCO Trondheim</t>
        </is>
      </c>
      <c r="D407" s="26" t="n">
        <v>4400</v>
      </c>
      <c r="E407" s="26" t="n">
        <v>11248</v>
      </c>
      <c r="F407" s="26" t="n">
        <v>5112</v>
      </c>
      <c r="G407" s="26" t="n">
        <v>7334</v>
      </c>
      <c r="H407" s="26" t="n">
        <v>4723</v>
      </c>
      <c r="I407" s="26" t="n">
        <v>288</v>
      </c>
      <c r="J407" s="19" t="n">
        <v>162</v>
      </c>
      <c r="K407" s="37" t="n">
        <v>-0.25</v>
      </c>
    </row>
    <row r="408">
      <c r="A408" s="34" t="inlineStr">
        <is>
          <t>AGA SPK-tilskudd</t>
        </is>
      </c>
      <c r="B408" s="34" t="inlineStr">
        <is>
          <t>Region Midt-Norge</t>
        </is>
      </c>
      <c r="C408" s="34" t="inlineStr">
        <is>
          <t>TFCO Trondheim</t>
        </is>
      </c>
      <c r="D408" s="18" t="n">
        <v>139358</v>
      </c>
      <c r="E408" s="18" t="n"/>
      <c r="F408" s="18" t="n"/>
      <c r="G408" s="18" t="n"/>
      <c r="H408" s="18" t="n"/>
      <c r="I408" s="18" t="n"/>
      <c r="J408" s="19" t="n">
        <v>0</v>
      </c>
      <c r="K408" s="35" t="n">
        <v>0.065</v>
      </c>
    </row>
    <row r="409">
      <c r="A409" s="36" t="inlineStr">
        <is>
          <t>AGA SPK-tilskudd</t>
        </is>
      </c>
      <c r="B409" s="36" t="inlineStr">
        <is>
          <t>Region Midt-Norge</t>
        </is>
      </c>
      <c r="C409" s="36" t="inlineStr">
        <is>
          <t>TFCO Trondheim</t>
        </is>
      </c>
      <c r="D409" s="26" t="n"/>
      <c r="E409" s="26" t="n"/>
      <c r="F409" s="26" t="n">
        <v>57680</v>
      </c>
      <c r="G409" s="26" t="n">
        <v>328781</v>
      </c>
      <c r="H409" s="26" t="n">
        <v>112876</v>
      </c>
      <c r="I409" s="26" t="n"/>
      <c r="J409" s="19" t="n">
        <v>0</v>
      </c>
      <c r="K409" s="37" t="n">
        <v>0.065</v>
      </c>
    </row>
    <row r="410">
      <c r="A410" s="34" t="inlineStr">
        <is>
          <t>AGA SPK-tilskudd</t>
        </is>
      </c>
      <c r="B410" s="34" t="inlineStr">
        <is>
          <t>Region Midt-Norge</t>
        </is>
      </c>
      <c r="C410" s="34" t="inlineStr">
        <is>
          <t>TFCO Trondheim</t>
        </is>
      </c>
      <c r="D410" s="18" t="n"/>
      <c r="E410" s="18" t="n">
        <v>1583613</v>
      </c>
      <c r="F410" s="18" t="n">
        <v>878674</v>
      </c>
      <c r="G410" s="18" t="n"/>
      <c r="H410" s="18" t="n"/>
      <c r="I410" s="18" t="n"/>
      <c r="J410" s="19" t="n">
        <v>0</v>
      </c>
      <c r="K410" s="35" t="n">
        <v>0.065</v>
      </c>
    </row>
    <row r="411">
      <c r="A411" s="36" t="inlineStr">
        <is>
          <t>AGA SPK-tilskudd</t>
        </is>
      </c>
      <c r="B411" s="36" t="inlineStr">
        <is>
          <t>Region Midt-Norge</t>
        </is>
      </c>
      <c r="C411" s="36" t="inlineStr">
        <is>
          <t>TFCO Trondheim</t>
        </is>
      </c>
      <c r="D411" s="26" t="n"/>
      <c r="E411" s="26" t="n"/>
      <c r="F411" s="26" t="n"/>
      <c r="G411" s="26" t="n">
        <v>17868</v>
      </c>
      <c r="H411" s="26" t="n"/>
      <c r="I411" s="26" t="n"/>
      <c r="J411" s="19" t="n">
        <v>0</v>
      </c>
      <c r="K411" s="37" t="n">
        <v>0.065</v>
      </c>
    </row>
    <row r="412">
      <c r="A412" s="34" t="inlineStr">
        <is>
          <t>AGA SPK-tilskudd</t>
        </is>
      </c>
      <c r="B412" s="34" t="inlineStr">
        <is>
          <t>Region Midt-Norge</t>
        </is>
      </c>
      <c r="C412" s="34" t="inlineStr">
        <is>
          <t>TFCO Trondheim</t>
        </is>
      </c>
      <c r="D412" s="18" t="n">
        <v>12378</v>
      </c>
      <c r="E412" s="18" t="n">
        <v>17999</v>
      </c>
      <c r="F412" s="18" t="n">
        <v>23249</v>
      </c>
      <c r="G412" s="18" t="n">
        <v>1446</v>
      </c>
      <c r="H412" s="18" t="n"/>
      <c r="I412" s="18" t="n"/>
      <c r="J412" s="19" t="n">
        <v>0</v>
      </c>
      <c r="K412" s="35" t="n">
        <v>0.065</v>
      </c>
    </row>
    <row r="413">
      <c r="A413" s="36" t="inlineStr">
        <is>
          <t>AGA SPK-tilskudd</t>
        </is>
      </c>
      <c r="B413" s="36" t="inlineStr">
        <is>
          <t>Region Midt-Norge</t>
        </is>
      </c>
      <c r="C413" s="36" t="inlineStr">
        <is>
          <t>TFCO Trondheim</t>
        </is>
      </c>
      <c r="D413" s="26" t="n">
        <v>3503</v>
      </c>
      <c r="E413" s="26" t="n">
        <v>5530</v>
      </c>
      <c r="F413" s="26" t="n">
        <v>11349</v>
      </c>
      <c r="G413" s="26" t="n">
        <v>25964</v>
      </c>
      <c r="H413" s="26" t="n">
        <v>3414</v>
      </c>
      <c r="I413" s="26" t="n"/>
      <c r="J413" s="19" t="n">
        <v>0</v>
      </c>
      <c r="K413" s="37" t="n">
        <v>0.065</v>
      </c>
    </row>
    <row r="414">
      <c r="A414" s="34" t="inlineStr">
        <is>
          <t>AGA SPK-tilskudd</t>
        </is>
      </c>
      <c r="B414" s="34" t="inlineStr">
        <is>
          <t>Region Midt-Norge</t>
        </is>
      </c>
      <c r="C414" s="34" t="inlineStr">
        <is>
          <t>TFCO Trondheim</t>
        </is>
      </c>
      <c r="D414" s="18" t="n">
        <v>2483</v>
      </c>
      <c r="E414" s="18" t="n">
        <v>6017</v>
      </c>
      <c r="F414" s="18" t="n">
        <v>4902</v>
      </c>
      <c r="G414" s="18" t="n">
        <v>9721</v>
      </c>
      <c r="H414" s="18" t="n">
        <v>1974</v>
      </c>
      <c r="I414" s="18" t="n"/>
      <c r="J414" s="19" t="n">
        <v>0</v>
      </c>
      <c r="K414" s="35" t="n">
        <v>0.065</v>
      </c>
    </row>
    <row r="415">
      <c r="A415" s="36" t="inlineStr">
        <is>
          <t>AGA SPK-tilskudd</t>
        </is>
      </c>
      <c r="B415" s="36" t="inlineStr">
        <is>
          <t>Region Midt-Norge</t>
        </is>
      </c>
      <c r="C415" s="36" t="inlineStr">
        <is>
          <t>TFCO Trondheim</t>
        </is>
      </c>
      <c r="D415" s="26" t="n">
        <v>242</v>
      </c>
      <c r="E415" s="26" t="n">
        <v>4216</v>
      </c>
      <c r="F415" s="26" t="n">
        <v>3952</v>
      </c>
      <c r="G415" s="26" t="n">
        <v>7801</v>
      </c>
      <c r="H415" s="26" t="n">
        <v>2665</v>
      </c>
      <c r="I415" s="26" t="n"/>
      <c r="J415" s="19" t="n">
        <v>0</v>
      </c>
      <c r="K415" s="37" t="n">
        <v>0.065</v>
      </c>
    </row>
    <row r="416">
      <c r="A416" s="34" t="inlineStr">
        <is>
          <t>AGA SPK-tilskudd</t>
        </is>
      </c>
      <c r="B416" s="34" t="inlineStr">
        <is>
          <t>Region Midt-Norge</t>
        </is>
      </c>
      <c r="C416" s="34" t="inlineStr">
        <is>
          <t>TFCO Trondheim</t>
        </is>
      </c>
      <c r="D416" s="18" t="n">
        <v>2529</v>
      </c>
      <c r="E416" s="18" t="n">
        <v>6331</v>
      </c>
      <c r="F416" s="18" t="n">
        <v>6977</v>
      </c>
      <c r="G416" s="18" t="n">
        <v>20002</v>
      </c>
      <c r="H416" s="18" t="n">
        <v>1356</v>
      </c>
      <c r="I416" s="18" t="n"/>
      <c r="J416" s="19" t="n">
        <v>0</v>
      </c>
      <c r="K416" s="35" t="n">
        <v>0.065</v>
      </c>
    </row>
    <row r="417">
      <c r="A417" s="36" t="inlineStr">
        <is>
          <t>AGA SPK-tilskudd</t>
        </is>
      </c>
      <c r="B417" s="36" t="inlineStr">
        <is>
          <t>Region Midt-Norge</t>
        </is>
      </c>
      <c r="C417" s="36" t="inlineStr">
        <is>
          <t>TFCO Trondheim</t>
        </is>
      </c>
      <c r="D417" s="26" t="n">
        <v>38123</v>
      </c>
      <c r="E417" s="26" t="n">
        <v>280167</v>
      </c>
      <c r="F417" s="26" t="n">
        <v>149940</v>
      </c>
      <c r="G417" s="26" t="n"/>
      <c r="H417" s="26" t="n"/>
      <c r="I417" s="26" t="n"/>
      <c r="J417" s="19" t="n">
        <v>0</v>
      </c>
      <c r="K417" s="37" t="n">
        <v>0.065</v>
      </c>
    </row>
    <row r="418">
      <c r="A418" s="34" t="inlineStr">
        <is>
          <t>AGA SPK-tilskudd</t>
        </is>
      </c>
      <c r="B418" s="34" t="inlineStr">
        <is>
          <t>Region Midt-Norge</t>
        </is>
      </c>
      <c r="C418" s="34" t="inlineStr">
        <is>
          <t>TFCO Trondheim</t>
        </is>
      </c>
      <c r="D418" s="18" t="n"/>
      <c r="E418" s="18" t="n">
        <v>2599</v>
      </c>
      <c r="F418" s="18" t="n"/>
      <c r="G418" s="18" t="n"/>
      <c r="H418" s="18" t="n"/>
      <c r="I418" s="18" t="n"/>
      <c r="J418" s="19" t="n">
        <v>0</v>
      </c>
      <c r="K418" s="35" t="n">
        <v>0.065</v>
      </c>
    </row>
    <row r="419">
      <c r="A419" s="36" t="inlineStr">
        <is>
          <t>AGA SPK-tilskudd</t>
        </is>
      </c>
      <c r="B419" s="36" t="inlineStr">
        <is>
          <t>Region Midt-Norge</t>
        </is>
      </c>
      <c r="C419" s="36" t="inlineStr">
        <is>
          <t>TFCO Trondheim</t>
        </is>
      </c>
      <c r="D419" s="26" t="n">
        <v>9000</v>
      </c>
      <c r="E419" s="26" t="n">
        <v>143251</v>
      </c>
      <c r="F419" s="26" t="n">
        <v>160875</v>
      </c>
      <c r="G419" s="26" t="n">
        <v>233750</v>
      </c>
      <c r="H419" s="26" t="n">
        <v>46875</v>
      </c>
      <c r="I419" s="26" t="n"/>
      <c r="J419" s="19" t="n">
        <v>0</v>
      </c>
      <c r="K419" s="37" t="n">
        <v>0.065</v>
      </c>
    </row>
    <row r="420">
      <c r="A420" s="34" t="inlineStr">
        <is>
          <t>AGA SPK-tilskudd</t>
        </is>
      </c>
      <c r="B420" s="34" t="inlineStr">
        <is>
          <t>Region Midt-Norge</t>
        </is>
      </c>
      <c r="C420" s="34" t="inlineStr">
        <is>
          <t>TFCO Trondheim</t>
        </is>
      </c>
      <c r="D420" s="18" t="n"/>
      <c r="E420" s="18" t="n">
        <v>1580</v>
      </c>
      <c r="F420" s="18" t="n"/>
      <c r="G420" s="18" t="n"/>
      <c r="H420" s="18" t="n"/>
      <c r="I420" s="18" t="n"/>
      <c r="J420" s="19" t="n">
        <v>0</v>
      </c>
      <c r="K420" s="35" t="n">
        <v>0.065</v>
      </c>
    </row>
    <row r="421">
      <c r="A421" s="36" t="inlineStr">
        <is>
          <t>AGA SPK-tilskudd</t>
        </is>
      </c>
      <c r="B421" s="36" t="inlineStr">
        <is>
          <t>Region Midt-Norge</t>
        </is>
      </c>
      <c r="C421" s="36" t="inlineStr">
        <is>
          <t>TFCO Trondheim</t>
        </is>
      </c>
      <c r="D421" s="26" t="n">
        <v>14140</v>
      </c>
      <c r="E421" s="26" t="n">
        <v>119056</v>
      </c>
      <c r="F421" s="26" t="n">
        <v>203802</v>
      </c>
      <c r="G421" s="26" t="n"/>
      <c r="H421" s="26" t="n">
        <v>23421</v>
      </c>
      <c r="I421" s="26" t="n"/>
      <c r="J421" s="19" t="n">
        <v>0</v>
      </c>
      <c r="K421" s="37" t="n">
        <v>0.065</v>
      </c>
    </row>
    <row r="422">
      <c r="A422" s="34" t="inlineStr">
        <is>
          <t>AGA SPK-tilskudd</t>
        </is>
      </c>
      <c r="B422" s="34" t="inlineStr">
        <is>
          <t>Region Midt-Norge</t>
        </is>
      </c>
      <c r="C422" s="34" t="inlineStr">
        <is>
          <t>TFCO Trondheim</t>
        </is>
      </c>
      <c r="D422" s="18" t="n"/>
      <c r="E422" s="18" t="n"/>
      <c r="F422" s="18" t="n"/>
      <c r="G422" s="18" t="n"/>
      <c r="H422" s="18" t="n">
        <v>186462</v>
      </c>
      <c r="I422" s="18" t="n"/>
      <c r="J422" s="19" t="n">
        <v>0</v>
      </c>
      <c r="K422" s="35" t="n">
        <v>0.065</v>
      </c>
    </row>
    <row r="423">
      <c r="A423" s="36" t="inlineStr">
        <is>
          <t>AGA SPK-tilskudd</t>
        </is>
      </c>
      <c r="B423" s="36" t="inlineStr">
        <is>
          <t>Region Midt-Norge</t>
        </is>
      </c>
      <c r="C423" s="36" t="inlineStr">
        <is>
          <t>TFCO Trondheim</t>
        </is>
      </c>
      <c r="D423" s="26" t="n"/>
      <c r="E423" s="26" t="n"/>
      <c r="F423" s="26" t="n"/>
      <c r="G423" s="26" t="n">
        <v>498</v>
      </c>
      <c r="H423" s="26" t="n"/>
      <c r="I423" s="26" t="n"/>
      <c r="J423" s="19" t="n">
        <v>0</v>
      </c>
      <c r="K423" s="37" t="n">
        <v>0.065</v>
      </c>
    </row>
    <row r="424">
      <c r="A424" s="34" t="inlineStr">
        <is>
          <t>AGA SPK-tilskudd</t>
        </is>
      </c>
      <c r="B424" s="34" t="inlineStr">
        <is>
          <t>Region Midt-Norge</t>
        </is>
      </c>
      <c r="C424" s="34" t="inlineStr">
        <is>
          <t>TFCO Trondheim</t>
        </is>
      </c>
      <c r="D424" s="18" t="n"/>
      <c r="E424" s="18" t="n"/>
      <c r="F424" s="18" t="n"/>
      <c r="G424" s="18" t="n">
        <v>-498</v>
      </c>
      <c r="H424" s="18" t="n"/>
      <c r="I424" s="18" t="n"/>
      <c r="J424" s="19" t="n">
        <v>0</v>
      </c>
      <c r="K424" s="35" t="n">
        <v>0.065</v>
      </c>
    </row>
    <row r="425">
      <c r="A425" s="36" t="inlineStr">
        <is>
          <t>AGA SPK-tilskudd</t>
        </is>
      </c>
      <c r="B425" s="36" t="inlineStr">
        <is>
          <t>Region Midt-Norge</t>
        </is>
      </c>
      <c r="C425" s="36" t="inlineStr">
        <is>
          <t>TFCO Trondheim</t>
        </is>
      </c>
      <c r="D425" s="26" t="n">
        <v>5514</v>
      </c>
      <c r="E425" s="26" t="n">
        <v>-1866</v>
      </c>
      <c r="F425" s="26" t="n">
        <v>-874</v>
      </c>
      <c r="G425" s="26" t="n">
        <v>-2650</v>
      </c>
      <c r="H425" s="26" t="n">
        <v>-199</v>
      </c>
      <c r="I425" s="26" t="n"/>
      <c r="J425" s="19" t="n">
        <v>0</v>
      </c>
      <c r="K425" s="37" t="n">
        <v>0.065</v>
      </c>
    </row>
    <row r="426">
      <c r="A426" s="34" t="inlineStr">
        <is>
          <t>AGA SPK-tilskudd</t>
        </is>
      </c>
      <c r="B426" s="34" t="inlineStr">
        <is>
          <t>Region Midt-Norge</t>
        </is>
      </c>
      <c r="C426" s="34" t="inlineStr">
        <is>
          <t>TFCO Trondheim</t>
        </is>
      </c>
      <c r="D426" s="18" t="n">
        <v>-253246</v>
      </c>
      <c r="E426" s="18" t="n">
        <v>-601896</v>
      </c>
      <c r="F426" s="18" t="n">
        <v>-2823</v>
      </c>
      <c r="G426" s="18" t="n"/>
      <c r="H426" s="18" t="n"/>
      <c r="I426" s="18" t="n"/>
      <c r="J426" s="19" t="n">
        <v>0</v>
      </c>
      <c r="K426" s="35" t="n">
        <v>0.065</v>
      </c>
    </row>
    <row r="427">
      <c r="A427" s="36" t="inlineStr">
        <is>
          <t>AGA SPK-tilskudd</t>
        </is>
      </c>
      <c r="B427" s="36" t="inlineStr">
        <is>
          <t>Region Midt-Norge</t>
        </is>
      </c>
      <c r="C427" s="36" t="inlineStr">
        <is>
          <t>TFCO Trondheim</t>
        </is>
      </c>
      <c r="D427" s="26" t="n"/>
      <c r="E427" s="26" t="n">
        <v>-18914</v>
      </c>
      <c r="F427" s="26" t="n">
        <v>-11861</v>
      </c>
      <c r="G427" s="26" t="n">
        <v>-12833</v>
      </c>
      <c r="H427" s="26" t="n">
        <v>-283880</v>
      </c>
      <c r="I427" s="26" t="n">
        <v>-13693</v>
      </c>
      <c r="J427" s="19" t="n">
        <v>-15530.942925</v>
      </c>
      <c r="K427" s="37" t="n">
        <v>0.065</v>
      </c>
    </row>
    <row r="428">
      <c r="A428" s="34" t="inlineStr">
        <is>
          <t>AGA SPK-tilskudd</t>
        </is>
      </c>
      <c r="B428" s="34" t="inlineStr">
        <is>
          <t>Region Midt-Norge</t>
        </is>
      </c>
      <c r="C428" s="34" t="inlineStr">
        <is>
          <t>TFCO Trondheim, avdeling fosterhjem</t>
        </is>
      </c>
      <c r="D428" s="18" t="n"/>
      <c r="E428" s="18" t="n"/>
      <c r="F428" s="18" t="n">
        <v>11455</v>
      </c>
      <c r="G428" s="18" t="n">
        <v>26572</v>
      </c>
      <c r="H428" s="18" t="n">
        <v>8740</v>
      </c>
      <c r="I428" s="18" t="n"/>
      <c r="J428" s="19" t="n">
        <v>0</v>
      </c>
      <c r="K428" s="35" t="n">
        <v>0.065</v>
      </c>
    </row>
    <row r="429">
      <c r="A429" s="36" t="inlineStr">
        <is>
          <t>AGA SPK-tilskudd</t>
        </is>
      </c>
      <c r="B429" s="36" t="inlineStr">
        <is>
          <t>Region Midt-Norge</t>
        </is>
      </c>
      <c r="C429" s="36" t="inlineStr">
        <is>
          <t>TFCO Trondheim, avdeling fosterhjem</t>
        </is>
      </c>
      <c r="D429" s="26" t="n"/>
      <c r="E429" s="26" t="n"/>
      <c r="F429" s="26" t="n">
        <v>1207627</v>
      </c>
      <c r="G429" s="26" t="n">
        <v>2347360</v>
      </c>
      <c r="H429" s="26" t="n">
        <v>1257805</v>
      </c>
      <c r="I429" s="26" t="n"/>
      <c r="J429" s="19" t="n">
        <v>0</v>
      </c>
      <c r="K429" s="37" t="n">
        <v>0.065</v>
      </c>
    </row>
    <row r="430">
      <c r="A430" s="34" t="inlineStr">
        <is>
          <t>AGA SPK-tilskudd</t>
        </is>
      </c>
      <c r="B430" s="34" t="inlineStr">
        <is>
          <t>Region Midt-Norge</t>
        </is>
      </c>
      <c r="C430" s="34" t="inlineStr">
        <is>
          <t>TFCO Trondheim, avdeling fosterhjem</t>
        </is>
      </c>
      <c r="D430" s="18" t="n"/>
      <c r="E430" s="18" t="n"/>
      <c r="F430" s="18" t="n">
        <v>8366</v>
      </c>
      <c r="G430" s="18" t="n">
        <v>48309</v>
      </c>
      <c r="H430" s="18" t="n">
        <v>13534</v>
      </c>
      <c r="I430" s="18" t="n"/>
      <c r="J430" s="19" t="n">
        <v>0</v>
      </c>
      <c r="K430" s="35" t="n">
        <v>0.065</v>
      </c>
    </row>
    <row r="431">
      <c r="A431" s="36" t="inlineStr">
        <is>
          <t>AGA SPK-tilskudd</t>
        </is>
      </c>
      <c r="B431" s="36" t="inlineStr">
        <is>
          <t>Region Midt-Norge</t>
        </is>
      </c>
      <c r="C431" s="36" t="inlineStr">
        <is>
          <t>TFCO Trondheim, avdeling fosterhjem</t>
        </is>
      </c>
      <c r="D431" s="26" t="n"/>
      <c r="E431" s="26" t="n"/>
      <c r="F431" s="26" t="n">
        <v>1146</v>
      </c>
      <c r="G431" s="26" t="n">
        <v>11984</v>
      </c>
      <c r="H431" s="26" t="n">
        <v>4560</v>
      </c>
      <c r="I431" s="26" t="n"/>
      <c r="J431" s="19" t="n">
        <v>0</v>
      </c>
      <c r="K431" s="37" t="n">
        <v>0.065</v>
      </c>
    </row>
    <row r="432">
      <c r="A432" s="34" t="inlineStr">
        <is>
          <t>AGA SPK-tilskudd</t>
        </is>
      </c>
      <c r="B432" s="34" t="inlineStr">
        <is>
          <t>Region Midt-Norge</t>
        </is>
      </c>
      <c r="C432" s="34" t="inlineStr">
        <is>
          <t>TFCO Trondheim, avdeling fosterhjem</t>
        </is>
      </c>
      <c r="D432" s="18" t="n"/>
      <c r="E432" s="18" t="n"/>
      <c r="F432" s="18" t="n">
        <v>130899</v>
      </c>
      <c r="G432" s="18" t="n">
        <v>397450</v>
      </c>
      <c r="H432" s="18" t="n">
        <v>64517</v>
      </c>
      <c r="I432" s="18" t="n"/>
      <c r="J432" s="19" t="n">
        <v>0</v>
      </c>
      <c r="K432" s="35" t="n">
        <v>0.065</v>
      </c>
    </row>
    <row r="433">
      <c r="A433" s="36" t="inlineStr">
        <is>
          <t>AGA SPK-tilskudd</t>
        </is>
      </c>
      <c r="B433" s="36" t="inlineStr">
        <is>
          <t>Region Midt-Norge</t>
        </is>
      </c>
      <c r="C433" s="36" t="inlineStr">
        <is>
          <t>TFCO Trondheim, avdeling fosterhjem</t>
        </is>
      </c>
      <c r="D433" s="26" t="n"/>
      <c r="E433" s="26" t="n"/>
      <c r="F433" s="26" t="n"/>
      <c r="G433" s="26" t="n">
        <v>216961</v>
      </c>
      <c r="H433" s="26" t="n">
        <v>104592</v>
      </c>
      <c r="I433" s="26" t="n"/>
      <c r="J433" s="19" t="n">
        <v>0</v>
      </c>
      <c r="K433" s="37" t="n">
        <v>0.065</v>
      </c>
    </row>
    <row r="434">
      <c r="A434" s="34" t="inlineStr">
        <is>
          <t>AGA SPK-tilskudd</t>
        </is>
      </c>
      <c r="B434" s="34" t="inlineStr">
        <is>
          <t>Region Midt-Norge</t>
        </is>
      </c>
      <c r="C434" s="34" t="inlineStr">
        <is>
          <t>TFCO Trondheim, avdeling fosterhjem</t>
        </is>
      </c>
      <c r="D434" s="18" t="n"/>
      <c r="E434" s="18" t="n"/>
      <c r="F434" s="18" t="n"/>
      <c r="G434" s="18" t="n">
        <v>20917</v>
      </c>
      <c r="H434" s="18" t="n"/>
      <c r="I434" s="18" t="n"/>
      <c r="J434" s="19" t="n">
        <v>0</v>
      </c>
      <c r="K434" s="35" t="n">
        <v>0.065</v>
      </c>
    </row>
    <row r="435">
      <c r="A435" s="36" t="inlineStr">
        <is>
          <t>AGA SPK-tilskudd</t>
        </is>
      </c>
      <c r="B435" s="36" t="inlineStr">
        <is>
          <t>Region Midt-Norge</t>
        </is>
      </c>
      <c r="C435" s="36" t="inlineStr">
        <is>
          <t>Trøndelag behandlingssenter for ungdom</t>
        </is>
      </c>
      <c r="D435" s="26" t="n">
        <v>27908</v>
      </c>
      <c r="E435" s="26" t="n">
        <v>75178</v>
      </c>
      <c r="F435" s="26" t="n">
        <v>80665</v>
      </c>
      <c r="G435" s="26" t="n">
        <v>34097</v>
      </c>
      <c r="H435" s="26" t="n">
        <v>37704</v>
      </c>
      <c r="I435" s="26" t="n">
        <v>30637</v>
      </c>
      <c r="J435" s="19" t="n">
        <v>31801.91302391533</v>
      </c>
      <c r="K435" s="37" t="n">
        <v>0.01883417564027612</v>
      </c>
    </row>
    <row r="436">
      <c r="A436" s="34" t="inlineStr">
        <is>
          <t>AGA SPK-tilskudd</t>
        </is>
      </c>
      <c r="B436" s="34" t="inlineStr">
        <is>
          <t>Region Midt-Norge</t>
        </is>
      </c>
      <c r="C436" s="34" t="inlineStr">
        <is>
          <t>Trøndelag behandlingssenter for ungdom</t>
        </is>
      </c>
      <c r="D436" s="18" t="n">
        <v>13131</v>
      </c>
      <c r="E436" s="18" t="n">
        <v>248615</v>
      </c>
      <c r="F436" s="18" t="n">
        <v>882023</v>
      </c>
      <c r="G436" s="18" t="n">
        <v>231734</v>
      </c>
      <c r="H436" s="18" t="n">
        <v>226145</v>
      </c>
      <c r="I436" s="18" t="n">
        <v>212779</v>
      </c>
      <c r="J436" s="19" t="n">
        <v>332467.1875</v>
      </c>
      <c r="K436" s="35" t="n">
        <v>0.25</v>
      </c>
    </row>
    <row r="437">
      <c r="A437" s="36" t="inlineStr">
        <is>
          <t>AGA SPK-tilskudd</t>
        </is>
      </c>
      <c r="B437" s="36" t="inlineStr">
        <is>
          <t>Region Midt-Norge</t>
        </is>
      </c>
      <c r="C437" s="36" t="inlineStr">
        <is>
          <t>Trøndelag behandlingssenter for ungdom</t>
        </is>
      </c>
      <c r="D437" s="26" t="n">
        <v>2960</v>
      </c>
      <c r="E437" s="26" t="n">
        <v>10000</v>
      </c>
      <c r="F437" s="26" t="n">
        <v>13988</v>
      </c>
      <c r="G437" s="26" t="n">
        <v>9103</v>
      </c>
      <c r="H437" s="26" t="n">
        <v>9407</v>
      </c>
      <c r="I437" s="26" t="n">
        <v>6637</v>
      </c>
      <c r="J437" s="19" t="n">
        <v>9167.351006706438</v>
      </c>
      <c r="K437" s="37" t="n">
        <v>0.1752655912560459</v>
      </c>
    </row>
    <row r="438">
      <c r="A438" s="34" t="inlineStr">
        <is>
          <t>AGA SPK-tilskudd</t>
        </is>
      </c>
      <c r="B438" s="34" t="inlineStr">
        <is>
          <t>Region Midt-Norge</t>
        </is>
      </c>
      <c r="C438" s="34" t="inlineStr">
        <is>
          <t>Trøndelag behandlingssenter for ungdom</t>
        </is>
      </c>
      <c r="D438" s="18" t="n"/>
      <c r="E438" s="18" t="n">
        <v>8505</v>
      </c>
      <c r="F438" s="18" t="n">
        <v>10740</v>
      </c>
      <c r="G438" s="18" t="n">
        <v>2012</v>
      </c>
      <c r="H438" s="18" t="n">
        <v>11040</v>
      </c>
      <c r="I438" s="18" t="n">
        <v>11480</v>
      </c>
      <c r="J438" s="19" t="n">
        <v>13337.53810242898</v>
      </c>
      <c r="K438" s="35" t="n">
        <v>0.07787126082636431</v>
      </c>
    </row>
    <row r="439">
      <c r="A439" s="36" t="inlineStr">
        <is>
          <t>AGA SPK-tilskudd</t>
        </is>
      </c>
      <c r="B439" s="36" t="inlineStr">
        <is>
          <t>Region Midt-Norge</t>
        </is>
      </c>
      <c r="C439" s="36" t="inlineStr">
        <is>
          <t>Trøndelag behandlingssenter for ungdom</t>
        </is>
      </c>
      <c r="D439" s="26" t="n">
        <v>9261</v>
      </c>
      <c r="E439" s="26" t="n">
        <v>8743</v>
      </c>
      <c r="F439" s="26" t="n">
        <v>23621</v>
      </c>
      <c r="G439" s="26" t="n">
        <v>18905</v>
      </c>
      <c r="H439" s="26" t="n">
        <v>40790</v>
      </c>
      <c r="I439" s="26" t="n">
        <v>27202</v>
      </c>
      <c r="J439" s="19" t="n">
        <v>41857.95599771094</v>
      </c>
      <c r="K439" s="37" t="n">
        <v>0.2404766403827618</v>
      </c>
    </row>
    <row r="440">
      <c r="A440" s="34" t="inlineStr">
        <is>
          <t>AGA SPK-tilskudd</t>
        </is>
      </c>
      <c r="B440" s="34" t="inlineStr">
        <is>
          <t>Region Midt-Norge</t>
        </is>
      </c>
      <c r="C440" s="34" t="inlineStr">
        <is>
          <t>Trøndelag behandlingssenter for ungdom</t>
        </is>
      </c>
      <c r="D440" s="18" t="n">
        <v>19150</v>
      </c>
      <c r="E440" s="18" t="n">
        <v>24340</v>
      </c>
      <c r="F440" s="18" t="n">
        <v>119018</v>
      </c>
      <c r="G440" s="18" t="n">
        <v>33089</v>
      </c>
      <c r="H440" s="18" t="n">
        <v>38345</v>
      </c>
      <c r="I440" s="18" t="n">
        <v>36244</v>
      </c>
      <c r="J440" s="19" t="n">
        <v>46780.30608708115</v>
      </c>
      <c r="K440" s="35" t="n">
        <v>0.136091913669919</v>
      </c>
    </row>
    <row r="441">
      <c r="A441" s="36" t="inlineStr">
        <is>
          <t>AGA SPK-tilskudd</t>
        </is>
      </c>
      <c r="B441" s="36" t="inlineStr">
        <is>
          <t>Region Midt-Norge</t>
        </is>
      </c>
      <c r="C441" s="36" t="inlineStr">
        <is>
          <t>Trøndelag behandlingssenter for ungdom</t>
        </is>
      </c>
      <c r="D441" s="26" t="n"/>
      <c r="E441" s="26" t="n">
        <v>5993</v>
      </c>
      <c r="F441" s="26" t="n">
        <v>5100</v>
      </c>
      <c r="G441" s="26" t="n">
        <v>1945</v>
      </c>
      <c r="H441" s="26" t="n"/>
      <c r="I441" s="26" t="n"/>
      <c r="J441" s="19" t="n">
        <v>0</v>
      </c>
      <c r="K441" s="37" t="n">
        <v>0.065</v>
      </c>
    </row>
    <row r="442">
      <c r="A442" s="34" t="inlineStr">
        <is>
          <t>AGA SPK-tilskudd</t>
        </is>
      </c>
      <c r="B442" s="34" t="inlineStr">
        <is>
          <t>Region Midt-Norge</t>
        </is>
      </c>
      <c r="C442" s="34" t="inlineStr">
        <is>
          <t>Trøndelag behandlingssenter for ungdom</t>
        </is>
      </c>
      <c r="D442" s="18" t="n">
        <v>612</v>
      </c>
      <c r="E442" s="18" t="n"/>
      <c r="F442" s="18" t="n">
        <v>12255</v>
      </c>
      <c r="G442" s="18" t="n">
        <v>589</v>
      </c>
      <c r="H442" s="18" t="n">
        <v>45</v>
      </c>
      <c r="I442" s="18" t="n">
        <v>3035</v>
      </c>
      <c r="J442" s="19" t="n">
        <v>4742.1875</v>
      </c>
      <c r="K442" s="35" t="n">
        <v>0.25</v>
      </c>
    </row>
    <row r="443">
      <c r="A443" s="36" t="inlineStr">
        <is>
          <t>AGA SPK-tilskudd</t>
        </is>
      </c>
      <c r="B443" s="36" t="inlineStr">
        <is>
          <t>Region Midt-Norge</t>
        </is>
      </c>
      <c r="C443" s="36" t="inlineStr">
        <is>
          <t>Trøndelag behandlingssenter for ungdom</t>
        </is>
      </c>
      <c r="D443" s="26" t="n">
        <v>8944</v>
      </c>
      <c r="E443" s="26" t="n">
        <v>18261</v>
      </c>
      <c r="F443" s="26" t="n">
        <v>51328</v>
      </c>
      <c r="G443" s="26" t="n">
        <v>20221</v>
      </c>
      <c r="H443" s="26" t="n">
        <v>29107</v>
      </c>
      <c r="I443" s="26" t="n">
        <v>29006</v>
      </c>
      <c r="J443" s="19" t="n">
        <v>45321.875</v>
      </c>
      <c r="K443" s="37" t="n">
        <v>0.25</v>
      </c>
    </row>
    <row r="444">
      <c r="A444" s="34" t="inlineStr">
        <is>
          <t>AGA SPK-tilskudd</t>
        </is>
      </c>
      <c r="B444" s="34" t="inlineStr">
        <is>
          <t>Region Midt-Norge</t>
        </is>
      </c>
      <c r="C444" s="34" t="inlineStr">
        <is>
          <t>Trøndelag behandlingssenter for ungdom</t>
        </is>
      </c>
      <c r="D444" s="18" t="n"/>
      <c r="E444" s="18" t="n"/>
      <c r="F444" s="18" t="n"/>
      <c r="G444" s="18" t="n">
        <v>498</v>
      </c>
      <c r="H444" s="18" t="n"/>
      <c r="I444" s="18" t="n"/>
      <c r="J444" s="19" t="n">
        <v>0</v>
      </c>
      <c r="K444" s="35" t="n">
        <v>0.065</v>
      </c>
    </row>
    <row r="445">
      <c r="A445" s="36" t="inlineStr">
        <is>
          <t>AGA SPK-tilskudd</t>
        </is>
      </c>
      <c r="B445" s="36" t="inlineStr">
        <is>
          <t>Region Midt-Norge</t>
        </is>
      </c>
      <c r="C445" s="36" t="inlineStr">
        <is>
          <t>Trøndelag behandlingssenter for ungdom</t>
        </is>
      </c>
      <c r="D445" s="26" t="n">
        <v>-904</v>
      </c>
      <c r="E445" s="26" t="n">
        <v>1508</v>
      </c>
      <c r="F445" s="26" t="n">
        <v>11721</v>
      </c>
      <c r="G445" s="26" t="n">
        <v>-3884</v>
      </c>
      <c r="H445" s="26" t="n">
        <v>16451</v>
      </c>
      <c r="I445" s="26" t="n">
        <v>-904</v>
      </c>
      <c r="J445" s="19" t="n">
        <v>-1025.3394</v>
      </c>
      <c r="K445" s="37" t="n">
        <v>0.065</v>
      </c>
    </row>
    <row r="446">
      <c r="A446" s="34" t="inlineStr">
        <is>
          <t>AGA SPK-tilskudd</t>
        </is>
      </c>
      <c r="B446" s="34" t="inlineStr">
        <is>
          <t>Region Midt-Norge</t>
        </is>
      </c>
      <c r="C446" s="34" t="inlineStr">
        <is>
          <t>Trøndelag behandlingssenter for ungdom</t>
        </is>
      </c>
      <c r="D446" s="18" t="n"/>
      <c r="E446" s="18" t="n"/>
      <c r="F446" s="18" t="n"/>
      <c r="G446" s="18" t="n"/>
      <c r="H446" s="18" t="n"/>
      <c r="I446" s="18" t="n">
        <v>-24480</v>
      </c>
      <c r="J446" s="19" t="n">
        <v>-27765.82799999999</v>
      </c>
      <c r="K446" s="35" t="n">
        <v>0.065</v>
      </c>
    </row>
    <row r="447">
      <c r="A447" s="36" t="inlineStr">
        <is>
          <t>AGA SPK-tilskudd</t>
        </is>
      </c>
      <c r="B447" s="36" t="inlineStr">
        <is>
          <t>Region Midt-Norge</t>
        </is>
      </c>
      <c r="C447" s="36" t="inlineStr">
        <is>
          <t>Trøndelag behandlingssenter for ungdom</t>
        </is>
      </c>
      <c r="D447" s="26" t="n"/>
      <c r="E447" s="26" t="n">
        <v>-129080</v>
      </c>
      <c r="F447" s="26" t="n">
        <v>-12240</v>
      </c>
      <c r="G447" s="26" t="n"/>
      <c r="H447" s="26" t="n"/>
      <c r="I447" s="26" t="n"/>
      <c r="J447" s="19" t="n">
        <v>0</v>
      </c>
      <c r="K447" s="37" t="n">
        <v>0.065</v>
      </c>
    </row>
    <row r="448">
      <c r="A448" s="34" t="inlineStr">
        <is>
          <t>AGA SPK-tilskudd</t>
        </is>
      </c>
      <c r="B448" s="34" t="inlineStr">
        <is>
          <t>Region Midt-Norge</t>
        </is>
      </c>
      <c r="C448" s="34" t="inlineStr">
        <is>
          <t>Trøndelag behandlingssenter for ungdom</t>
        </is>
      </c>
      <c r="D448" s="18" t="n">
        <v>-46935</v>
      </c>
      <c r="E448" s="18" t="n">
        <v>-312475</v>
      </c>
      <c r="F448" s="18" t="n">
        <v>-19682</v>
      </c>
      <c r="G448" s="18" t="n">
        <v>-70316</v>
      </c>
      <c r="H448" s="18" t="n">
        <v>-124172</v>
      </c>
      <c r="I448" s="18" t="n">
        <v>-45798</v>
      </c>
      <c r="J448" s="19" t="n">
        <v>-51945.23654999999</v>
      </c>
      <c r="K448" s="35" t="n">
        <v>0.065</v>
      </c>
    </row>
    <row r="449">
      <c r="A449" s="36" t="inlineStr">
        <is>
          <t>AGA SPK-tilskudd</t>
        </is>
      </c>
      <c r="B449" s="36" t="inlineStr">
        <is>
          <t>Region Midt-Norge</t>
        </is>
      </c>
      <c r="C449" s="36" t="inlineStr">
        <is>
          <t>Vikhovlia akuttsenter</t>
        </is>
      </c>
      <c r="D449" s="26" t="n">
        <v>213944</v>
      </c>
      <c r="E449" s="26" t="n">
        <v>205791</v>
      </c>
      <c r="F449" s="26" t="n">
        <v>199096</v>
      </c>
      <c r="G449" s="26" t="n">
        <v>227081</v>
      </c>
      <c r="H449" s="26" t="n">
        <v>244657</v>
      </c>
      <c r="I449" s="26" t="n">
        <v>232419</v>
      </c>
      <c r="J449" s="19" t="n">
        <v>240248.2511924076</v>
      </c>
      <c r="K449" s="37" t="n">
        <v>0.01670346435030767</v>
      </c>
    </row>
    <row r="450">
      <c r="A450" s="34" t="inlineStr">
        <is>
          <t>AGA SPK-tilskudd</t>
        </is>
      </c>
      <c r="B450" s="34" t="inlineStr">
        <is>
          <t>Region Midt-Norge</t>
        </is>
      </c>
      <c r="C450" s="34" t="inlineStr">
        <is>
          <t>Vikhovlia akuttsenter</t>
        </is>
      </c>
      <c r="D450" s="18" t="n">
        <v>38331</v>
      </c>
      <c r="E450" s="18" t="n">
        <v>26829</v>
      </c>
      <c r="F450" s="18" t="n">
        <v>146444</v>
      </c>
      <c r="G450" s="18" t="n">
        <v>53769</v>
      </c>
      <c r="H450" s="18" t="n">
        <v>17557</v>
      </c>
      <c r="I450" s="18" t="n">
        <v>8235</v>
      </c>
      <c r="J450" s="19" t="n">
        <v>4632.1875</v>
      </c>
      <c r="K450" s="35" t="n">
        <v>-0.25</v>
      </c>
    </row>
    <row r="451">
      <c r="A451" s="36" t="inlineStr">
        <is>
          <t>AGA SPK-tilskudd</t>
        </is>
      </c>
      <c r="B451" s="36" t="inlineStr">
        <is>
          <t>Region Midt-Norge</t>
        </is>
      </c>
      <c r="C451" s="36" t="inlineStr">
        <is>
          <t>Vikhovlia akuttsenter</t>
        </is>
      </c>
      <c r="D451" s="26" t="n">
        <v>19387</v>
      </c>
      <c r="E451" s="26" t="n">
        <v>23581</v>
      </c>
      <c r="F451" s="26" t="n">
        <v>84944</v>
      </c>
      <c r="G451" s="26" t="n">
        <v>66923</v>
      </c>
      <c r="H451" s="26" t="n">
        <v>138219</v>
      </c>
      <c r="I451" s="26" t="n">
        <v>104944</v>
      </c>
      <c r="J451" s="19" t="n">
        <v>163975</v>
      </c>
      <c r="K451" s="37" t="n">
        <v>0.25</v>
      </c>
    </row>
    <row r="452">
      <c r="A452" s="34" t="inlineStr">
        <is>
          <t>AGA SPK-tilskudd</t>
        </is>
      </c>
      <c r="B452" s="34" t="inlineStr">
        <is>
          <t>Region Midt-Norge</t>
        </is>
      </c>
      <c r="C452" s="34" t="inlineStr">
        <is>
          <t>Vikhovlia akuttsenter</t>
        </is>
      </c>
      <c r="D452" s="18" t="n">
        <v>59800</v>
      </c>
      <c r="E452" s="18" t="n">
        <v>60361</v>
      </c>
      <c r="F452" s="18" t="n">
        <v>60368</v>
      </c>
      <c r="G452" s="18" t="n">
        <v>99284</v>
      </c>
      <c r="H452" s="18" t="n">
        <v>108530</v>
      </c>
      <c r="I452" s="18" t="n">
        <v>100189</v>
      </c>
      <c r="J452" s="19" t="n">
        <v>123159.4058308573</v>
      </c>
      <c r="K452" s="35" t="n">
        <v>0.1087248245693646</v>
      </c>
    </row>
    <row r="453">
      <c r="A453" s="36" t="inlineStr">
        <is>
          <t>AGA SPK-tilskudd</t>
        </is>
      </c>
      <c r="B453" s="36" t="inlineStr">
        <is>
          <t>Region Midt-Norge</t>
        </is>
      </c>
      <c r="C453" s="36" t="inlineStr">
        <is>
          <t>Vikhovlia akuttsenter</t>
        </is>
      </c>
      <c r="D453" s="26" t="n"/>
      <c r="E453" s="26" t="n"/>
      <c r="F453" s="26" t="n"/>
      <c r="G453" s="26" t="n"/>
      <c r="H453" s="26" t="n">
        <v>7355</v>
      </c>
      <c r="I453" s="26" t="n"/>
      <c r="J453" s="19" t="n">
        <v>0</v>
      </c>
      <c r="K453" s="37" t="n">
        <v>0.065</v>
      </c>
    </row>
    <row r="454">
      <c r="A454" s="34" t="inlineStr">
        <is>
          <t>AGA SPK-tilskudd</t>
        </is>
      </c>
      <c r="B454" s="34" t="inlineStr">
        <is>
          <t>Region Midt-Norge</t>
        </is>
      </c>
      <c r="C454" s="34" t="inlineStr">
        <is>
          <t>Vikhovlia akuttsenter</t>
        </is>
      </c>
      <c r="D454" s="18" t="n">
        <v>11308</v>
      </c>
      <c r="E454" s="18" t="n">
        <v>11592</v>
      </c>
      <c r="F454" s="18" t="n">
        <v>37222</v>
      </c>
      <c r="G454" s="18" t="n">
        <v>66800</v>
      </c>
      <c r="H454" s="18" t="n">
        <v>71680</v>
      </c>
      <c r="I454" s="18" t="n">
        <v>7258</v>
      </c>
      <c r="J454" s="19" t="n">
        <v>6078.402145210389</v>
      </c>
      <c r="K454" s="35" t="n">
        <v>-0.08486275114630293</v>
      </c>
    </row>
    <row r="455">
      <c r="A455" s="36" t="inlineStr">
        <is>
          <t>AGA SPK-tilskudd</t>
        </is>
      </c>
      <c r="B455" s="36" t="inlineStr">
        <is>
          <t>Region Midt-Norge</t>
        </is>
      </c>
      <c r="C455" s="36" t="inlineStr">
        <is>
          <t>Vikhovlia akuttsenter</t>
        </is>
      </c>
      <c r="D455" s="26" t="n">
        <v>1199</v>
      </c>
      <c r="E455" s="26" t="n">
        <v>81</v>
      </c>
      <c r="F455" s="26" t="n">
        <v>1402</v>
      </c>
      <c r="G455" s="26" t="n">
        <v>3890</v>
      </c>
      <c r="H455" s="26" t="n">
        <v>6565</v>
      </c>
      <c r="I455" s="26" t="n">
        <v>6879</v>
      </c>
      <c r="J455" s="19" t="n">
        <v>10748.4375</v>
      </c>
      <c r="K455" s="37" t="n">
        <v>0.25</v>
      </c>
    </row>
    <row r="456">
      <c r="A456" s="34" t="inlineStr">
        <is>
          <t>AGA SPK-tilskudd</t>
        </is>
      </c>
      <c r="B456" s="34" t="inlineStr">
        <is>
          <t>Region Midt-Norge</t>
        </is>
      </c>
      <c r="C456" s="34" t="inlineStr">
        <is>
          <t>Vikhovlia akuttsenter</t>
        </is>
      </c>
      <c r="D456" s="18" t="n">
        <v>2381</v>
      </c>
      <c r="E456" s="18" t="n"/>
      <c r="F456" s="18" t="n">
        <v>5428</v>
      </c>
      <c r="G456" s="18" t="n">
        <v>9905</v>
      </c>
      <c r="H456" s="18" t="n">
        <v>8786</v>
      </c>
      <c r="I456" s="18" t="n">
        <v>8279</v>
      </c>
      <c r="J456" s="19" t="n">
        <v>12935.9375</v>
      </c>
      <c r="K456" s="35" t="n">
        <v>0.25</v>
      </c>
    </row>
    <row r="457">
      <c r="A457" s="36" t="inlineStr">
        <is>
          <t>AGA SPK-tilskudd</t>
        </is>
      </c>
      <c r="B457" s="36" t="inlineStr">
        <is>
          <t>Region Midt-Norge</t>
        </is>
      </c>
      <c r="C457" s="36" t="inlineStr">
        <is>
          <t>Vikhovlia akuttsenter</t>
        </is>
      </c>
      <c r="D457" s="26" t="n">
        <v>475</v>
      </c>
      <c r="E457" s="26" t="n">
        <v>5473</v>
      </c>
      <c r="F457" s="26" t="n">
        <v>2500</v>
      </c>
      <c r="G457" s="26" t="n">
        <v>4245</v>
      </c>
      <c r="H457" s="26" t="n">
        <v>30079</v>
      </c>
      <c r="I457" s="26" t="n">
        <v>21105</v>
      </c>
      <c r="J457" s="19" t="n">
        <v>32976.5625</v>
      </c>
      <c r="K457" s="37" t="n">
        <v>0.25</v>
      </c>
    </row>
    <row r="458">
      <c r="A458" s="34" t="inlineStr">
        <is>
          <t>AGA SPK-tilskudd</t>
        </is>
      </c>
      <c r="B458" s="34" t="inlineStr">
        <is>
          <t>Region Midt-Norge</t>
        </is>
      </c>
      <c r="C458" s="34" t="inlineStr">
        <is>
          <t>Vikhovlia akuttsenter</t>
        </is>
      </c>
      <c r="D458" s="18" t="n">
        <v>11157</v>
      </c>
      <c r="E458" s="18" t="n">
        <v>16962</v>
      </c>
      <c r="F458" s="18" t="n">
        <v>3173</v>
      </c>
      <c r="G458" s="18" t="n">
        <v>11960</v>
      </c>
      <c r="H458" s="18" t="n">
        <v>10977</v>
      </c>
      <c r="I458" s="18" t="n">
        <v>11280</v>
      </c>
      <c r="J458" s="19" t="n">
        <v>11329.57884922103</v>
      </c>
      <c r="K458" s="35" t="n">
        <v>0.002195234498503229</v>
      </c>
    </row>
    <row r="459">
      <c r="A459" s="36" t="inlineStr">
        <is>
          <t>AGA SPK-tilskudd</t>
        </is>
      </c>
      <c r="B459" s="36" t="inlineStr">
        <is>
          <t>Region Midt-Norge</t>
        </is>
      </c>
      <c r="C459" s="36" t="inlineStr">
        <is>
          <t>Vikhovlia akuttsenter</t>
        </is>
      </c>
      <c r="D459" s="26" t="n">
        <v>942</v>
      </c>
      <c r="E459" s="26" t="n">
        <v>12</v>
      </c>
      <c r="F459" s="26" t="n">
        <v>1618</v>
      </c>
      <c r="G459" s="26" t="n">
        <v>17429</v>
      </c>
      <c r="H459" s="26" t="n">
        <v>6989</v>
      </c>
      <c r="I459" s="26" t="n">
        <v>17151</v>
      </c>
      <c r="J459" s="19" t="n">
        <v>26798.4375</v>
      </c>
      <c r="K459" s="37" t="n">
        <v>0.25</v>
      </c>
    </row>
    <row r="460">
      <c r="A460" s="34" t="inlineStr">
        <is>
          <t>AGA SPK-tilskudd</t>
        </is>
      </c>
      <c r="B460" s="34" t="inlineStr">
        <is>
          <t>Region Midt-Norge</t>
        </is>
      </c>
      <c r="C460" s="34" t="inlineStr">
        <is>
          <t>Vikhovlia akuttsenter</t>
        </is>
      </c>
      <c r="D460" s="18" t="n"/>
      <c r="E460" s="18" t="n"/>
      <c r="F460" s="18" t="n"/>
      <c r="G460" s="18" t="n"/>
      <c r="H460" s="18" t="n"/>
      <c r="I460" s="18" t="n">
        <v>708</v>
      </c>
      <c r="J460" s="19" t="n">
        <v>803.0312999999999</v>
      </c>
      <c r="K460" s="35" t="n">
        <v>0.065</v>
      </c>
    </row>
    <row r="461">
      <c r="A461" s="36" t="inlineStr">
        <is>
          <t>AGA SPK-tilskudd</t>
        </is>
      </c>
      <c r="B461" s="36" t="inlineStr">
        <is>
          <t>Region Midt-Norge</t>
        </is>
      </c>
      <c r="C461" s="36" t="inlineStr">
        <is>
          <t>Vikhovlia akuttsenter</t>
        </is>
      </c>
      <c r="D461" s="26" t="n">
        <v>4040</v>
      </c>
      <c r="E461" s="26" t="n"/>
      <c r="F461" s="26" t="n"/>
      <c r="G461" s="26" t="n"/>
      <c r="H461" s="26" t="n">
        <v>7644</v>
      </c>
      <c r="I461" s="26" t="n">
        <v>7390</v>
      </c>
      <c r="J461" s="19" t="n">
        <v>9409.134306250566</v>
      </c>
      <c r="K461" s="37" t="n">
        <v>0.1283728154243657</v>
      </c>
    </row>
    <row r="462">
      <c r="A462" s="34" t="inlineStr">
        <is>
          <t>AGA SPK-tilskudd</t>
        </is>
      </c>
      <c r="B462" s="34" t="inlineStr">
        <is>
          <t>Region Midt-Norge</t>
        </is>
      </c>
      <c r="C462" s="34" t="inlineStr">
        <is>
          <t>Vikhovlia akuttsenter</t>
        </is>
      </c>
      <c r="D462" s="18" t="n"/>
      <c r="E462" s="18" t="n"/>
      <c r="F462" s="18" t="n"/>
      <c r="G462" s="18" t="n"/>
      <c r="H462" s="18" t="n">
        <v>604</v>
      </c>
      <c r="I462" s="18" t="n">
        <v>160</v>
      </c>
      <c r="J462" s="19" t="n">
        <v>181.476</v>
      </c>
      <c r="K462" s="35" t="n">
        <v>0.065</v>
      </c>
    </row>
    <row r="463">
      <c r="A463" s="36" t="inlineStr">
        <is>
          <t>AGA SPK-tilskudd</t>
        </is>
      </c>
      <c r="B463" s="36" t="inlineStr">
        <is>
          <t>Region Midt-Norge</t>
        </is>
      </c>
      <c r="C463" s="36" t="inlineStr">
        <is>
          <t>Vikhovlia akuttsenter</t>
        </is>
      </c>
      <c r="D463" s="26" t="n">
        <v>11307</v>
      </c>
      <c r="E463" s="26" t="n"/>
      <c r="F463" s="26" t="n"/>
      <c r="G463" s="26" t="n"/>
      <c r="H463" s="26" t="n"/>
      <c r="I463" s="26" t="n"/>
      <c r="J463" s="19" t="n">
        <v>0</v>
      </c>
      <c r="K463" s="37" t="n">
        <v>0.065</v>
      </c>
    </row>
    <row r="464">
      <c r="A464" s="34" t="inlineStr">
        <is>
          <t>AGA SPK-tilskudd</t>
        </is>
      </c>
      <c r="B464" s="34" t="inlineStr">
        <is>
          <t>Region Midt-Norge</t>
        </is>
      </c>
      <c r="C464" s="34" t="inlineStr">
        <is>
          <t>Vikhovlia akuttsenter</t>
        </is>
      </c>
      <c r="D464" s="18" t="n"/>
      <c r="E464" s="18" t="n"/>
      <c r="F464" s="18" t="n">
        <v>-49130</v>
      </c>
      <c r="G464" s="18" t="n">
        <v>-12240</v>
      </c>
      <c r="H464" s="18" t="n"/>
      <c r="I464" s="18" t="n"/>
      <c r="J464" s="19" t="n">
        <v>0</v>
      </c>
      <c r="K464" s="35" t="n">
        <v>0.065</v>
      </c>
    </row>
    <row r="465">
      <c r="A465" s="36" t="inlineStr">
        <is>
          <t>AGA SPK-tilskudd</t>
        </is>
      </c>
      <c r="B465" s="36" t="inlineStr">
        <is>
          <t>Region Midt-Norge</t>
        </is>
      </c>
      <c r="C465" s="36" t="inlineStr">
        <is>
          <t>Vikhovlia akuttsenter</t>
        </is>
      </c>
      <c r="D465" s="26" t="n">
        <v>-11384</v>
      </c>
      <c r="E465" s="26" t="n">
        <v>10848</v>
      </c>
      <c r="F465" s="26" t="n">
        <v>5393</v>
      </c>
      <c r="G465" s="26" t="n">
        <v>22383</v>
      </c>
      <c r="H465" s="26" t="n">
        <v>15172</v>
      </c>
      <c r="I465" s="26" t="n">
        <v>-35463</v>
      </c>
      <c r="J465" s="19" t="n">
        <v>-40223.02117499999</v>
      </c>
      <c r="K465" s="37" t="n">
        <v>0.065</v>
      </c>
    </row>
    <row r="466">
      <c r="A466" s="34" t="inlineStr">
        <is>
          <t>AGA SPK-tilskudd</t>
        </is>
      </c>
      <c r="B466" s="34" t="inlineStr">
        <is>
          <t>Region Midt-Norge</t>
        </is>
      </c>
      <c r="C466" s="34" t="inlineStr">
        <is>
          <t>Vikhovlia akuttsenter</t>
        </is>
      </c>
      <c r="D466" s="18" t="n"/>
      <c r="E466" s="18" t="n"/>
      <c r="F466" s="18" t="n">
        <v>-174365</v>
      </c>
      <c r="G466" s="18" t="n"/>
      <c r="H466" s="18" t="n"/>
      <c r="I466" s="18" t="n"/>
      <c r="J466" s="19" t="n">
        <v>0</v>
      </c>
      <c r="K466" s="35" t="n">
        <v>0.065</v>
      </c>
    </row>
    <row r="467">
      <c r="A467" s="36" t="inlineStr">
        <is>
          <t>AGA SPK-tilskudd</t>
        </is>
      </c>
      <c r="B467" s="36" t="inlineStr">
        <is>
          <t>Region Midt-Norge</t>
        </is>
      </c>
      <c r="C467" s="36" t="inlineStr">
        <is>
          <t>Vikhovlia akuttsenter</t>
        </is>
      </c>
      <c r="D467" s="26" t="n"/>
      <c r="E467" s="26" t="n"/>
      <c r="F467" s="26" t="n"/>
      <c r="G467" s="26" t="n"/>
      <c r="H467" s="26" t="n"/>
      <c r="I467" s="26" t="n">
        <v>-79084</v>
      </c>
      <c r="J467" s="19" t="n">
        <v>-89699.04989999998</v>
      </c>
      <c r="K467" s="37" t="n">
        <v>0.065</v>
      </c>
    </row>
    <row r="468">
      <c r="A468" s="34" t="inlineStr">
        <is>
          <t>AGA SPK-tilskudd</t>
        </is>
      </c>
      <c r="B468" s="34" t="inlineStr">
        <is>
          <t>Region Midt-Norge</t>
        </is>
      </c>
      <c r="C468" s="34" t="inlineStr">
        <is>
          <t>Vikhovlia akuttsenter</t>
        </is>
      </c>
      <c r="D468" s="18" t="n">
        <v>-319930</v>
      </c>
      <c r="E468" s="18" t="n">
        <v>-547328</v>
      </c>
      <c r="F468" s="18" t="n">
        <v>-539173</v>
      </c>
      <c r="G468" s="18" t="n">
        <v>-552836</v>
      </c>
      <c r="H468" s="18" t="n">
        <v>-858431</v>
      </c>
      <c r="I468" s="18" t="n">
        <v>-661451</v>
      </c>
      <c r="J468" s="19" t="n">
        <v>-750234.2604749999</v>
      </c>
      <c r="K468" s="35" t="n">
        <v>0.065</v>
      </c>
    </row>
    <row r="469">
      <c r="A469" s="36" t="inlineStr">
        <is>
          <t>AGA SPK-tilskudd</t>
        </is>
      </c>
      <c r="B469" s="36" t="inlineStr">
        <is>
          <t>Region Midt-Norge</t>
        </is>
      </c>
      <c r="C469" s="36" t="inlineStr">
        <is>
          <t>Vikhovlia akuttsenter</t>
        </is>
      </c>
      <c r="D469" s="26" t="n">
        <v>-254329</v>
      </c>
      <c r="E469" s="26" t="n">
        <v>-313948</v>
      </c>
      <c r="F469" s="26" t="n">
        <v>-628812</v>
      </c>
      <c r="G469" s="26" t="n">
        <v>-1716954</v>
      </c>
      <c r="H469" s="26" t="n">
        <v>-462087</v>
      </c>
      <c r="I469" s="26" t="n">
        <v>-1075288</v>
      </c>
      <c r="J469" s="19" t="n">
        <v>-1219618.5318</v>
      </c>
      <c r="K469" s="37" t="n">
        <v>0.065</v>
      </c>
    </row>
    <row r="470">
      <c r="A470" s="34" t="inlineStr">
        <is>
          <t>AGA SPK-tilskudd</t>
        </is>
      </c>
      <c r="B470" s="34" t="inlineStr">
        <is>
          <t>Region Midt-Norge</t>
        </is>
      </c>
      <c r="C470" s="34" t="inlineStr">
        <is>
          <t>Vikhovlia, beredskapshjem</t>
        </is>
      </c>
      <c r="D470" s="18" t="n"/>
      <c r="E470" s="18" t="n"/>
      <c r="F470" s="18" t="n">
        <v>2012</v>
      </c>
      <c r="G470" s="18" t="n"/>
      <c r="H470" s="18" t="n"/>
      <c r="I470" s="18" t="n"/>
      <c r="J470" s="19" t="n">
        <v>0</v>
      </c>
      <c r="K470" s="35" t="n">
        <v>0.065</v>
      </c>
    </row>
    <row r="471">
      <c r="A471" s="36" t="inlineStr">
        <is>
          <t>AGA SPK-tilskudd</t>
        </is>
      </c>
      <c r="B471" s="36" t="inlineStr">
        <is>
          <t>Region Midt-Norge</t>
        </is>
      </c>
      <c r="C471" s="36" t="inlineStr">
        <is>
          <t>Vikhovlia, beredskapshjem</t>
        </is>
      </c>
      <c r="D471" s="26" t="n"/>
      <c r="E471" s="26" t="n"/>
      <c r="F471" s="26" t="n"/>
      <c r="G471" s="26" t="n"/>
      <c r="H471" s="26" t="n"/>
      <c r="I471" s="26" t="n">
        <v>811</v>
      </c>
      <c r="J471" s="19" t="n">
        <v>919.8564749999998</v>
      </c>
      <c r="K471" s="37" t="n">
        <v>0.065</v>
      </c>
    </row>
    <row r="472">
      <c r="A472" s="34" t="inlineStr">
        <is>
          <t>AGA SPK-tilskudd</t>
        </is>
      </c>
      <c r="B472" s="34" t="inlineStr">
        <is>
          <t>Region Midt-Norge</t>
        </is>
      </c>
      <c r="C472" s="34" t="inlineStr">
        <is>
          <t>Vikhovlia, beredskapshjem</t>
        </is>
      </c>
      <c r="D472" s="18" t="n"/>
      <c r="E472" s="18" t="n"/>
      <c r="F472" s="18" t="n">
        <v>1000</v>
      </c>
      <c r="G472" s="18" t="n"/>
      <c r="H472" s="18" t="n"/>
      <c r="I472" s="18" t="n"/>
      <c r="J472" s="19" t="n">
        <v>0</v>
      </c>
      <c r="K472" s="35" t="n">
        <v>0.065</v>
      </c>
    </row>
    <row r="473">
      <c r="A473" s="36" t="inlineStr">
        <is>
          <t>AGA SPK-tilskudd</t>
        </is>
      </c>
      <c r="B473" s="36" t="inlineStr">
        <is>
          <t>Region Midt-Norge</t>
        </is>
      </c>
      <c r="C473" s="36" t="inlineStr">
        <is>
          <t>Vikhovlia, beredskapshjem</t>
        </is>
      </c>
      <c r="D473" s="26" t="n"/>
      <c r="E473" s="26" t="n"/>
      <c r="F473" s="26" t="n"/>
      <c r="G473" s="26" t="n"/>
      <c r="H473" s="26" t="n"/>
      <c r="I473" s="26" t="n">
        <v>240</v>
      </c>
      <c r="J473" s="19" t="n">
        <v>272.2139999999999</v>
      </c>
      <c r="K473" s="37" t="n">
        <v>0.065</v>
      </c>
    </row>
    <row r="474">
      <c r="A474" s="34" t="inlineStr">
        <is>
          <t>AGA SPK-tilskudd</t>
        </is>
      </c>
      <c r="B474" s="34" t="inlineStr">
        <is>
          <t>Region Midt-Norge</t>
        </is>
      </c>
      <c r="C474" s="34" t="inlineStr">
        <is>
          <t>Vikhovlia, beredskapshjem</t>
        </is>
      </c>
      <c r="D474" s="18" t="n"/>
      <c r="E474" s="18" t="n"/>
      <c r="F474" s="18" t="n"/>
      <c r="G474" s="18" t="n"/>
      <c r="H474" s="18" t="n"/>
      <c r="I474" s="18" t="n">
        <v>3186</v>
      </c>
      <c r="J474" s="19" t="n">
        <v>3613.640849999999</v>
      </c>
      <c r="K474" s="35" t="n">
        <v>0.065</v>
      </c>
    </row>
    <row r="475">
      <c r="A475" s="36" t="inlineStr">
        <is>
          <t>AGA SPK-tilskudd</t>
        </is>
      </c>
      <c r="B475" s="36" t="inlineStr">
        <is>
          <t>Region Nord</t>
        </is>
      </c>
      <c r="C475" s="36" t="inlineStr">
        <is>
          <t>Alta Ungdomssenter administrasjon</t>
        </is>
      </c>
      <c r="D475" s="26" t="n">
        <v>24913</v>
      </c>
      <c r="E475" s="26" t="n">
        <v>26678</v>
      </c>
      <c r="F475" s="26" t="n">
        <v>80996</v>
      </c>
      <c r="G475" s="26" t="n">
        <v>32237</v>
      </c>
      <c r="H475" s="26" t="n">
        <v>65284</v>
      </c>
      <c r="I475" s="26" t="n">
        <v>38834</v>
      </c>
      <c r="J475" s="19" t="n">
        <v>46379.55374030022</v>
      </c>
      <c r="K475" s="37" t="n">
        <v>0.09284160299220723</v>
      </c>
    </row>
    <row r="476">
      <c r="A476" s="34" t="inlineStr">
        <is>
          <t>AGA SPK-tilskudd</t>
        </is>
      </c>
      <c r="B476" s="34" t="inlineStr">
        <is>
          <t>Region Nord</t>
        </is>
      </c>
      <c r="C476" s="34" t="inlineStr">
        <is>
          <t>Alta Ungdomssenter administrasjon</t>
        </is>
      </c>
      <c r="D476" s="18" t="n">
        <v>3600</v>
      </c>
      <c r="E476" s="18" t="n">
        <v>3681</v>
      </c>
      <c r="F476" s="18" t="n">
        <v>3681</v>
      </c>
      <c r="G476" s="18" t="n">
        <v>4779</v>
      </c>
      <c r="H476" s="18" t="n">
        <v>5508</v>
      </c>
      <c r="I476" s="18" t="n">
        <v>4949</v>
      </c>
      <c r="J476" s="19" t="n">
        <v>5620.868628382571</v>
      </c>
      <c r="K476" s="35" t="n">
        <v>0.06571969203388561</v>
      </c>
    </row>
    <row r="477">
      <c r="A477" s="36" t="inlineStr">
        <is>
          <t>AGA SPK-tilskudd</t>
        </is>
      </c>
      <c r="B477" s="36" t="inlineStr">
        <is>
          <t>Region Nord</t>
        </is>
      </c>
      <c r="C477" s="36" t="inlineStr">
        <is>
          <t>Alta Ungdomssenter administrasjon</t>
        </is>
      </c>
      <c r="D477" s="26" t="n"/>
      <c r="E477" s="26" t="n">
        <v>50</v>
      </c>
      <c r="F477" s="26" t="n"/>
      <c r="G477" s="26" t="n"/>
      <c r="H477" s="26" t="n"/>
      <c r="I477" s="26" t="n">
        <v>129</v>
      </c>
      <c r="J477" s="19" t="n">
        <v>201.5625</v>
      </c>
      <c r="K477" s="37" t="n">
        <v>0.25</v>
      </c>
    </row>
    <row r="478">
      <c r="A478" s="34" t="inlineStr">
        <is>
          <t>AGA SPK-tilskudd</t>
        </is>
      </c>
      <c r="B478" s="34" t="inlineStr">
        <is>
          <t>Region Nord</t>
        </is>
      </c>
      <c r="C478" s="34" t="inlineStr">
        <is>
          <t>Alta Ungdomssenter administrasjon</t>
        </is>
      </c>
      <c r="D478" s="18" t="n"/>
      <c r="E478" s="18" t="n">
        <v>5887</v>
      </c>
      <c r="F478" s="18" t="n">
        <v>6265</v>
      </c>
      <c r="G478" s="18" t="n">
        <v>2823</v>
      </c>
      <c r="H478" s="18" t="n">
        <v>3394</v>
      </c>
      <c r="I478" s="18" t="n">
        <v>2009</v>
      </c>
      <c r="J478" s="19" t="n">
        <v>1173.607529700335</v>
      </c>
      <c r="K478" s="35" t="n">
        <v>-0.2356865973622895</v>
      </c>
    </row>
    <row r="479">
      <c r="A479" s="36" t="inlineStr">
        <is>
          <t>AGA SPK-tilskudd</t>
        </is>
      </c>
      <c r="B479" s="36" t="inlineStr">
        <is>
          <t>Region Nord</t>
        </is>
      </c>
      <c r="C479" s="36" t="inlineStr">
        <is>
          <t>Alta Ungdomssenter administrasjon</t>
        </is>
      </c>
      <c r="D479" s="26" t="n">
        <v>1200</v>
      </c>
      <c r="E479" s="26" t="n">
        <v>60120</v>
      </c>
      <c r="F479" s="26" t="n"/>
      <c r="G479" s="26" t="n">
        <v>6744</v>
      </c>
      <c r="H479" s="26" t="n">
        <v>23518</v>
      </c>
      <c r="I479" s="26" t="n"/>
      <c r="J479" s="19" t="n">
        <v>0</v>
      </c>
      <c r="K479" s="37" t="n">
        <v>0.065</v>
      </c>
    </row>
    <row r="480">
      <c r="A480" s="34" t="inlineStr">
        <is>
          <t>AGA SPK-tilskudd</t>
        </is>
      </c>
      <c r="B480" s="34" t="inlineStr">
        <is>
          <t>Region Nord</t>
        </is>
      </c>
      <c r="C480" s="34" t="inlineStr">
        <is>
          <t>Alta Ungdomssenter administrasjon</t>
        </is>
      </c>
      <c r="D480" s="18" t="n">
        <v>21092</v>
      </c>
      <c r="E480" s="18" t="n">
        <v>4074</v>
      </c>
      <c r="F480" s="18" t="n">
        <v>3944</v>
      </c>
      <c r="G480" s="18" t="n">
        <v>1569</v>
      </c>
      <c r="H480" s="18" t="n">
        <v>2768</v>
      </c>
      <c r="I480" s="18" t="n">
        <v>4807</v>
      </c>
      <c r="J480" s="19" t="n">
        <v>2703.9375</v>
      </c>
      <c r="K480" s="35" t="n">
        <v>-0.25</v>
      </c>
    </row>
    <row r="481">
      <c r="A481" s="36" t="inlineStr">
        <is>
          <t>AGA SPK-tilskudd</t>
        </is>
      </c>
      <c r="B481" s="36" t="inlineStr">
        <is>
          <t>Region Nord</t>
        </is>
      </c>
      <c r="C481" s="36" t="inlineStr">
        <is>
          <t>Alta Ungdomssenter administrasjon</t>
        </is>
      </c>
      <c r="D481" s="26" t="n"/>
      <c r="E481" s="26" t="n">
        <v>1225</v>
      </c>
      <c r="F481" s="26" t="n">
        <v>1178</v>
      </c>
      <c r="G481" s="26" t="n">
        <v>695</v>
      </c>
      <c r="H481" s="26" t="n">
        <v>888</v>
      </c>
      <c r="I481" s="26" t="n">
        <v>459</v>
      </c>
      <c r="J481" s="19" t="n">
        <v>280.9641984601001</v>
      </c>
      <c r="K481" s="37" t="n">
        <v>-0.2176174613833434</v>
      </c>
    </row>
    <row r="482">
      <c r="A482" s="34" t="inlineStr">
        <is>
          <t>AGA SPK-tilskudd</t>
        </is>
      </c>
      <c r="B482" s="34" t="inlineStr">
        <is>
          <t>Region Nord</t>
        </is>
      </c>
      <c r="C482" s="34" t="inlineStr">
        <is>
          <t>Alta Ungdomssenter administrasjon</t>
        </is>
      </c>
      <c r="D482" s="18" t="n"/>
      <c r="E482" s="18" t="n"/>
      <c r="F482" s="18" t="n"/>
      <c r="G482" s="18" t="n"/>
      <c r="H482" s="18" t="n">
        <v>1222</v>
      </c>
      <c r="I482" s="18" t="n"/>
      <c r="J482" s="19" t="n">
        <v>0</v>
      </c>
      <c r="K482" s="35" t="n">
        <v>0.065</v>
      </c>
    </row>
    <row r="483">
      <c r="A483" s="36" t="inlineStr">
        <is>
          <t>AGA SPK-tilskudd</t>
        </is>
      </c>
      <c r="B483" s="36" t="inlineStr">
        <is>
          <t>Region Nord</t>
        </is>
      </c>
      <c r="C483" s="36" t="inlineStr">
        <is>
          <t>Alta Ungdomssenter administrasjon</t>
        </is>
      </c>
      <c r="D483" s="26" t="n">
        <v>1352</v>
      </c>
      <c r="E483" s="26" t="n">
        <v>-217</v>
      </c>
      <c r="F483" s="26" t="n">
        <v>-1134</v>
      </c>
      <c r="G483" s="26" t="n">
        <v>2976</v>
      </c>
      <c r="H483" s="26" t="n">
        <v>10217</v>
      </c>
      <c r="I483" s="26" t="n">
        <v>2358</v>
      </c>
      <c r="J483" s="19" t="n">
        <v>2945.578792982494</v>
      </c>
      <c r="K483" s="37" t="n">
        <v>0.1176695570490582</v>
      </c>
    </row>
    <row r="484">
      <c r="A484" s="34" t="inlineStr">
        <is>
          <t>AGA SPK-tilskudd</t>
        </is>
      </c>
      <c r="B484" s="34" t="inlineStr">
        <is>
          <t>Region Nord</t>
        </is>
      </c>
      <c r="C484" s="34" t="inlineStr">
        <is>
          <t>Alta Ungdomssenter administrasjon</t>
        </is>
      </c>
      <c r="D484" s="18" t="n">
        <v>-93</v>
      </c>
      <c r="E484" s="18" t="n"/>
      <c r="F484" s="18" t="n">
        <v>-190571</v>
      </c>
      <c r="G484" s="18" t="n">
        <v>-883908</v>
      </c>
      <c r="H484" s="18" t="n">
        <v>-213206</v>
      </c>
      <c r="I484" s="18" t="n">
        <v>-124875</v>
      </c>
      <c r="J484" s="19" t="n">
        <v>-141636.346875</v>
      </c>
      <c r="K484" s="35" t="n">
        <v>0.065</v>
      </c>
    </row>
    <row r="485">
      <c r="A485" s="36" t="inlineStr">
        <is>
          <t>AGA SPK-tilskudd</t>
        </is>
      </c>
      <c r="B485" s="36" t="inlineStr">
        <is>
          <t>Region Nord</t>
        </is>
      </c>
      <c r="C485" s="36" t="inlineStr">
        <is>
          <t>Alta Ungdomssenter sjøtun</t>
        </is>
      </c>
      <c r="D485" s="26" t="n"/>
      <c r="E485" s="26" t="n"/>
      <c r="F485" s="26" t="n">
        <v>62</v>
      </c>
      <c r="G485" s="26" t="n"/>
      <c r="H485" s="26" t="n"/>
      <c r="I485" s="26" t="n"/>
      <c r="J485" s="19" t="n">
        <v>0</v>
      </c>
      <c r="K485" s="37" t="n">
        <v>0.065</v>
      </c>
    </row>
    <row r="486">
      <c r="A486" s="34" t="inlineStr">
        <is>
          <t>AGA SPK-tilskudd</t>
        </is>
      </c>
      <c r="B486" s="34" t="inlineStr">
        <is>
          <t>Region Nord</t>
        </is>
      </c>
      <c r="C486" s="34" t="inlineStr">
        <is>
          <t>Alta Ungdomssenter sjøtun</t>
        </is>
      </c>
      <c r="D486" s="18" t="n">
        <v>109156</v>
      </c>
      <c r="E486" s="18" t="n">
        <v>231257</v>
      </c>
      <c r="F486" s="18" t="n">
        <v>252360</v>
      </c>
      <c r="G486" s="18" t="n">
        <v>368807</v>
      </c>
      <c r="H486" s="18" t="n">
        <v>266556</v>
      </c>
      <c r="I486" s="18" t="n">
        <v>398386</v>
      </c>
      <c r="J486" s="19" t="n">
        <v>622478.125</v>
      </c>
      <c r="K486" s="35" t="n">
        <v>0.25</v>
      </c>
    </row>
    <row r="487">
      <c r="A487" s="36" t="inlineStr">
        <is>
          <t>AGA SPK-tilskudd</t>
        </is>
      </c>
      <c r="B487" s="36" t="inlineStr">
        <is>
          <t>Region Nord</t>
        </is>
      </c>
      <c r="C487" s="36" t="inlineStr">
        <is>
          <t>Alta Ungdomssenter sjøtun</t>
        </is>
      </c>
      <c r="D487" s="26" t="n">
        <v>207638</v>
      </c>
      <c r="E487" s="26" t="n">
        <v>135357</v>
      </c>
      <c r="F487" s="26" t="n">
        <v>248354</v>
      </c>
      <c r="G487" s="26" t="n">
        <v>272276</v>
      </c>
      <c r="H487" s="26" t="n">
        <v>191508</v>
      </c>
      <c r="I487" s="26" t="n">
        <v>205513</v>
      </c>
      <c r="J487" s="19" t="n">
        <v>204669.1018388424</v>
      </c>
      <c r="K487" s="37" t="n">
        <v>-0.002055262366172372</v>
      </c>
    </row>
    <row r="488">
      <c r="A488" s="34" t="inlineStr">
        <is>
          <t>AGA SPK-tilskudd</t>
        </is>
      </c>
      <c r="B488" s="34" t="inlineStr">
        <is>
          <t>Region Nord</t>
        </is>
      </c>
      <c r="C488" s="34" t="inlineStr">
        <is>
          <t>Alta Ungdomssenter sjøtun</t>
        </is>
      </c>
      <c r="D488" s="18" t="n">
        <v>41800</v>
      </c>
      <c r="E488" s="18" t="n">
        <v>40284</v>
      </c>
      <c r="F488" s="18" t="n">
        <v>43661</v>
      </c>
      <c r="G488" s="18" t="n">
        <v>68673</v>
      </c>
      <c r="H488" s="18" t="n">
        <v>61328</v>
      </c>
      <c r="I488" s="18" t="n">
        <v>53188</v>
      </c>
      <c r="J488" s="19" t="n">
        <v>58569.1082128394</v>
      </c>
      <c r="K488" s="35" t="n">
        <v>0.04936717656399692</v>
      </c>
    </row>
    <row r="489">
      <c r="A489" s="36" t="inlineStr">
        <is>
          <t>AGA SPK-tilskudd</t>
        </is>
      </c>
      <c r="B489" s="36" t="inlineStr">
        <is>
          <t>Region Nord</t>
        </is>
      </c>
      <c r="C489" s="36" t="inlineStr">
        <is>
          <t>Alta Ungdomssenter sjøtun</t>
        </is>
      </c>
      <c r="D489" s="26" t="n">
        <v>423513</v>
      </c>
      <c r="E489" s="26" t="n"/>
      <c r="F489" s="26" t="n"/>
      <c r="G489" s="26" t="n"/>
      <c r="H489" s="26" t="n"/>
      <c r="I489" s="26" t="n"/>
      <c r="J489" s="19" t="n">
        <v>0</v>
      </c>
      <c r="K489" s="37" t="n">
        <v>0.065</v>
      </c>
    </row>
    <row r="490">
      <c r="A490" s="34" t="inlineStr">
        <is>
          <t>AGA SPK-tilskudd</t>
        </is>
      </c>
      <c r="B490" s="34" t="inlineStr">
        <is>
          <t>Region Nord</t>
        </is>
      </c>
      <c r="C490" s="34" t="inlineStr">
        <is>
          <t>Alta Ungdomssenter sjøtun</t>
        </is>
      </c>
      <c r="D490" s="18" t="n"/>
      <c r="E490" s="18" t="n"/>
      <c r="F490" s="18" t="n">
        <v>81</v>
      </c>
      <c r="G490" s="18" t="n"/>
      <c r="H490" s="18" t="n">
        <v>5996</v>
      </c>
      <c r="I490" s="18" t="n">
        <v>1561</v>
      </c>
      <c r="J490" s="19" t="n">
        <v>1770.525225</v>
      </c>
      <c r="K490" s="35" t="n">
        <v>0.065</v>
      </c>
    </row>
    <row r="491">
      <c r="A491" s="36" t="inlineStr">
        <is>
          <t>AGA SPK-tilskudd</t>
        </is>
      </c>
      <c r="B491" s="36" t="inlineStr">
        <is>
          <t>Region Nord</t>
        </is>
      </c>
      <c r="C491" s="36" t="inlineStr">
        <is>
          <t>Alta Ungdomssenter sjøtun</t>
        </is>
      </c>
      <c r="D491" s="26" t="n">
        <v>11603</v>
      </c>
      <c r="E491" s="26" t="n">
        <v>10047</v>
      </c>
      <c r="F491" s="26" t="n">
        <v>23677</v>
      </c>
      <c r="G491" s="26" t="n">
        <v>20620</v>
      </c>
      <c r="H491" s="26" t="n">
        <v>25330</v>
      </c>
      <c r="I491" s="26" t="n">
        <v>22286</v>
      </c>
      <c r="J491" s="19" t="n">
        <v>28934.55848139232</v>
      </c>
      <c r="K491" s="37" t="n">
        <v>0.1394423757436472</v>
      </c>
    </row>
    <row r="492">
      <c r="A492" s="34" t="inlineStr">
        <is>
          <t>AGA SPK-tilskudd</t>
        </is>
      </c>
      <c r="B492" s="34" t="inlineStr">
        <is>
          <t>Region Nord</t>
        </is>
      </c>
      <c r="C492" s="34" t="inlineStr">
        <is>
          <t>Alta Ungdomssenter sjøtun</t>
        </is>
      </c>
      <c r="D492" s="18" t="n">
        <v>6217</v>
      </c>
      <c r="E492" s="18" t="n"/>
      <c r="F492" s="18" t="n"/>
      <c r="G492" s="18" t="n">
        <v>40665</v>
      </c>
      <c r="H492" s="18" t="n">
        <v>8989</v>
      </c>
      <c r="I492" s="18" t="n">
        <v>600</v>
      </c>
      <c r="J492" s="19" t="n">
        <v>337.5</v>
      </c>
      <c r="K492" s="35" t="n">
        <v>-0.25</v>
      </c>
    </row>
    <row r="493">
      <c r="A493" s="36" t="inlineStr">
        <is>
          <t>AGA SPK-tilskudd</t>
        </is>
      </c>
      <c r="B493" s="36" t="inlineStr">
        <is>
          <t>Region Nord</t>
        </is>
      </c>
      <c r="C493" s="36" t="inlineStr">
        <is>
          <t>Alta Ungdomssenter sjøtun</t>
        </is>
      </c>
      <c r="D493" s="26" t="n">
        <v>4112</v>
      </c>
      <c r="E493" s="26" t="n">
        <v>9700</v>
      </c>
      <c r="F493" s="26" t="n">
        <v>3977</v>
      </c>
      <c r="G493" s="26" t="n">
        <v>6967</v>
      </c>
      <c r="H493" s="26" t="n">
        <v>2222</v>
      </c>
      <c r="I493" s="26" t="n">
        <v>5986</v>
      </c>
      <c r="J493" s="19" t="n">
        <v>6956.169488131733</v>
      </c>
      <c r="K493" s="37" t="n">
        <v>0.07799493747457098</v>
      </c>
    </row>
    <row r="494">
      <c r="A494" s="34" t="inlineStr">
        <is>
          <t>AGA SPK-tilskudd</t>
        </is>
      </c>
      <c r="B494" s="34" t="inlineStr">
        <is>
          <t>Region Nord</t>
        </is>
      </c>
      <c r="C494" s="34" t="inlineStr">
        <is>
          <t>Alta Ungdomssenter sjøtun</t>
        </is>
      </c>
      <c r="D494" s="18" t="n">
        <v>3126</v>
      </c>
      <c r="E494" s="18" t="n">
        <v>2804</v>
      </c>
      <c r="F494" s="18" t="n">
        <v>7657</v>
      </c>
      <c r="G494" s="18" t="n">
        <v>6459</v>
      </c>
      <c r="H494" s="18" t="n">
        <v>11606</v>
      </c>
      <c r="I494" s="18" t="n">
        <v>9994</v>
      </c>
      <c r="J494" s="19" t="n">
        <v>15615.625</v>
      </c>
      <c r="K494" s="35" t="n">
        <v>0.25</v>
      </c>
    </row>
    <row r="495">
      <c r="A495" s="36" t="inlineStr">
        <is>
          <t>AGA SPK-tilskudd</t>
        </is>
      </c>
      <c r="B495" s="36" t="inlineStr">
        <is>
          <t>Region Nord</t>
        </is>
      </c>
      <c r="C495" s="36" t="inlineStr">
        <is>
          <t>Alta Ungdomssenter sjøtun</t>
        </is>
      </c>
      <c r="D495" s="26" t="n"/>
      <c r="E495" s="26" t="n"/>
      <c r="F495" s="26" t="n"/>
      <c r="G495" s="26" t="n">
        <v>5000</v>
      </c>
      <c r="H495" s="26" t="n"/>
      <c r="I495" s="26" t="n"/>
      <c r="J495" s="19" t="n">
        <v>0</v>
      </c>
      <c r="K495" s="37" t="n">
        <v>0.065</v>
      </c>
    </row>
    <row r="496">
      <c r="A496" s="34" t="inlineStr">
        <is>
          <t>AGA SPK-tilskudd</t>
        </is>
      </c>
      <c r="B496" s="34" t="inlineStr">
        <is>
          <t>Region Nord</t>
        </is>
      </c>
      <c r="C496" s="34" t="inlineStr">
        <is>
          <t>Alta Ungdomssenter sjøtun</t>
        </is>
      </c>
      <c r="D496" s="18" t="n"/>
      <c r="E496" s="18" t="n">
        <v>1146</v>
      </c>
      <c r="F496" s="18" t="n"/>
      <c r="G496" s="18" t="n"/>
      <c r="H496" s="18" t="n"/>
      <c r="I496" s="18" t="n"/>
      <c r="J496" s="19" t="n">
        <v>0</v>
      </c>
      <c r="K496" s="35" t="n">
        <v>0.065</v>
      </c>
    </row>
    <row r="497">
      <c r="A497" s="36" t="inlineStr">
        <is>
          <t>AGA SPK-tilskudd</t>
        </is>
      </c>
      <c r="B497" s="36" t="inlineStr">
        <is>
          <t>Region Nord</t>
        </is>
      </c>
      <c r="C497" s="36" t="inlineStr">
        <is>
          <t>Alta Ungdomssenter sjøtun</t>
        </is>
      </c>
      <c r="D497" s="26" t="n">
        <v>-40156</v>
      </c>
      <c r="E497" s="26" t="n">
        <v>-20335</v>
      </c>
      <c r="F497" s="26" t="n">
        <v>-12162</v>
      </c>
      <c r="G497" s="26" t="n">
        <v>-11680</v>
      </c>
      <c r="H497" s="26" t="n">
        <v>-32160</v>
      </c>
      <c r="I497" s="26" t="n">
        <v>-58406</v>
      </c>
      <c r="J497" s="19" t="n">
        <v>-66245.54534999999</v>
      </c>
      <c r="K497" s="37" t="n">
        <v>0.065</v>
      </c>
    </row>
    <row r="498">
      <c r="A498" s="34" t="inlineStr">
        <is>
          <t>AGA SPK-tilskudd</t>
        </is>
      </c>
      <c r="B498" s="34" t="inlineStr">
        <is>
          <t>Region Nord</t>
        </is>
      </c>
      <c r="C498" s="34" t="inlineStr">
        <is>
          <t>Alta Ungdomssenter sjøtun</t>
        </is>
      </c>
      <c r="D498" s="18" t="n"/>
      <c r="E498" s="18" t="n"/>
      <c r="F498" s="18" t="n"/>
      <c r="G498" s="18" t="n"/>
      <c r="H498" s="18" t="n"/>
      <c r="I498" s="18" t="n">
        <v>-61148</v>
      </c>
      <c r="J498" s="19" t="n">
        <v>-69355.59029999998</v>
      </c>
      <c r="K498" s="35" t="n">
        <v>0.065</v>
      </c>
    </row>
    <row r="499">
      <c r="A499" s="36" t="inlineStr">
        <is>
          <t>AGA SPK-tilskudd</t>
        </is>
      </c>
      <c r="B499" s="36" t="inlineStr">
        <is>
          <t>Region Nord</t>
        </is>
      </c>
      <c r="C499" s="36" t="inlineStr">
        <is>
          <t>Alta Ungdomssenter sjøtun</t>
        </is>
      </c>
      <c r="D499" s="26" t="n">
        <v>-194571</v>
      </c>
      <c r="E499" s="26" t="n">
        <v>-190427</v>
      </c>
      <c r="F499" s="26" t="n">
        <v>-271201</v>
      </c>
      <c r="G499" s="26" t="n">
        <v>-193447</v>
      </c>
      <c r="H499" s="26" t="n">
        <v>-189546</v>
      </c>
      <c r="I499" s="26" t="n">
        <v>-425900</v>
      </c>
      <c r="J499" s="19" t="n">
        <v>-483066.4274999999</v>
      </c>
      <c r="K499" s="37" t="n">
        <v>0.065</v>
      </c>
    </row>
    <row r="500">
      <c r="A500" s="34" t="inlineStr">
        <is>
          <t>AGA SPK-tilskudd</t>
        </is>
      </c>
      <c r="B500" s="34" t="inlineStr">
        <is>
          <t>Region Nord</t>
        </is>
      </c>
      <c r="C500" s="34" t="inlineStr">
        <is>
          <t>Alta Ungdomssenter sjøtun</t>
        </is>
      </c>
      <c r="D500" s="18" t="n">
        <v>-426960</v>
      </c>
      <c r="E500" s="18" t="n">
        <v>-110889</v>
      </c>
      <c r="F500" s="18" t="n">
        <v>-292694</v>
      </c>
      <c r="G500" s="18" t="n">
        <v>-39552</v>
      </c>
      <c r="H500" s="18" t="n">
        <v>-490099</v>
      </c>
      <c r="I500" s="18" t="n">
        <v>-803322</v>
      </c>
      <c r="J500" s="19" t="n">
        <v>-911147.8954499998</v>
      </c>
      <c r="K500" s="35" t="n">
        <v>0.065</v>
      </c>
    </row>
    <row r="501">
      <c r="A501" s="36" t="inlineStr">
        <is>
          <t>AGA SPK-tilskudd</t>
        </is>
      </c>
      <c r="B501" s="36" t="inlineStr">
        <is>
          <t>Region Nord</t>
        </is>
      </c>
      <c r="C501" s="36" t="inlineStr">
        <is>
          <t>Alta Ungdomssenter utsikten</t>
        </is>
      </c>
      <c r="D501" s="26" t="n">
        <v>1371</v>
      </c>
      <c r="E501" s="26" t="n"/>
      <c r="F501" s="26" t="n"/>
      <c r="G501" s="26" t="n"/>
      <c r="H501" s="26" t="n"/>
      <c r="I501" s="26" t="n"/>
      <c r="J501" s="19" t="n">
        <v>0</v>
      </c>
      <c r="K501" s="37" t="n">
        <v>0.065</v>
      </c>
    </row>
    <row r="502">
      <c r="A502" s="34" t="inlineStr">
        <is>
          <t>AGA SPK-tilskudd</t>
        </is>
      </c>
      <c r="B502" s="34" t="inlineStr">
        <is>
          <t>Region Nord</t>
        </is>
      </c>
      <c r="C502" s="34" t="inlineStr">
        <is>
          <t>Alta Ungdomssenter utsikten</t>
        </is>
      </c>
      <c r="D502" s="18" t="n">
        <v>7994</v>
      </c>
      <c r="E502" s="18" t="n"/>
      <c r="F502" s="18" t="n"/>
      <c r="G502" s="18" t="n"/>
      <c r="H502" s="18" t="n"/>
      <c r="I502" s="18" t="n"/>
      <c r="J502" s="19" t="n">
        <v>0</v>
      </c>
      <c r="K502" s="35" t="n">
        <v>0.065</v>
      </c>
    </row>
    <row r="503">
      <c r="A503" s="36" t="inlineStr">
        <is>
          <t>AGA SPK-tilskudd</t>
        </is>
      </c>
      <c r="B503" s="36" t="inlineStr">
        <is>
          <t>Region Nord</t>
        </is>
      </c>
      <c r="C503" s="36" t="inlineStr">
        <is>
          <t>Alta Ungdomssenter utsikten</t>
        </is>
      </c>
      <c r="D503" s="26" t="n">
        <v>4000</v>
      </c>
      <c r="E503" s="26" t="n"/>
      <c r="F503" s="26" t="n"/>
      <c r="G503" s="26" t="n"/>
      <c r="H503" s="26" t="n"/>
      <c r="I503" s="26" t="n"/>
      <c r="J503" s="19" t="n">
        <v>0</v>
      </c>
      <c r="K503" s="37" t="n">
        <v>0.065</v>
      </c>
    </row>
    <row r="504">
      <c r="A504" s="34" t="inlineStr">
        <is>
          <t>AGA SPK-tilskudd</t>
        </is>
      </c>
      <c r="B504" s="34" t="inlineStr">
        <is>
          <t>Region Nord</t>
        </is>
      </c>
      <c r="C504" s="34" t="inlineStr">
        <is>
          <t>Alta Ungdomssenter utsikten</t>
        </is>
      </c>
      <c r="D504" s="18" t="n">
        <v>4088</v>
      </c>
      <c r="E504" s="18" t="n"/>
      <c r="F504" s="18" t="n"/>
      <c r="G504" s="18" t="n"/>
      <c r="H504" s="18" t="n"/>
      <c r="I504" s="18" t="n"/>
      <c r="J504" s="19" t="n">
        <v>0</v>
      </c>
      <c r="K504" s="35" t="n">
        <v>0.065</v>
      </c>
    </row>
    <row r="505">
      <c r="A505" s="36" t="inlineStr">
        <is>
          <t>AGA SPK-tilskudd</t>
        </is>
      </c>
      <c r="B505" s="36" t="inlineStr">
        <is>
          <t>Region Nord</t>
        </is>
      </c>
      <c r="C505" s="36" t="inlineStr">
        <is>
          <t>Alta ungdomssenter Utsikten akutt</t>
        </is>
      </c>
      <c r="D505" s="26" t="n"/>
      <c r="E505" s="26" t="n"/>
      <c r="F505" s="26" t="n"/>
      <c r="G505" s="26" t="n"/>
      <c r="H505" s="26" t="n"/>
      <c r="I505" s="26" t="n">
        <v>86</v>
      </c>
      <c r="J505" s="19" t="n">
        <v>97.54334999999999</v>
      </c>
      <c r="K505" s="37" t="n">
        <v>0.065</v>
      </c>
    </row>
    <row r="506">
      <c r="A506" s="34" t="inlineStr">
        <is>
          <t>AGA SPK-tilskudd</t>
        </is>
      </c>
      <c r="B506" s="34" t="inlineStr">
        <is>
          <t>Region Nord</t>
        </is>
      </c>
      <c r="C506" s="34" t="inlineStr">
        <is>
          <t>Alta ungdomssenter Utsikten akutt</t>
        </is>
      </c>
      <c r="D506" s="18" t="n"/>
      <c r="E506" s="18" t="n"/>
      <c r="F506" s="18" t="n"/>
      <c r="G506" s="18" t="n"/>
      <c r="H506" s="18" t="n">
        <v>66899</v>
      </c>
      <c r="I506" s="18" t="n">
        <v>327872</v>
      </c>
      <c r="J506" s="19" t="n">
        <v>371880.6192</v>
      </c>
      <c r="K506" s="35" t="n">
        <v>0.065</v>
      </c>
    </row>
    <row r="507">
      <c r="A507" s="36" t="inlineStr">
        <is>
          <t>AGA SPK-tilskudd</t>
        </is>
      </c>
      <c r="B507" s="36" t="inlineStr">
        <is>
          <t>Region Nord</t>
        </is>
      </c>
      <c r="C507" s="36" t="inlineStr">
        <is>
          <t>Alta ungdomssenter Utsikten akutt</t>
        </is>
      </c>
      <c r="D507" s="26" t="n"/>
      <c r="E507" s="26" t="n"/>
      <c r="F507" s="26" t="n"/>
      <c r="G507" s="26" t="n"/>
      <c r="H507" s="26" t="n">
        <v>91362</v>
      </c>
      <c r="I507" s="26" t="n">
        <v>179401</v>
      </c>
      <c r="J507" s="19" t="n">
        <v>203481.099225</v>
      </c>
      <c r="K507" s="37" t="n">
        <v>0.065</v>
      </c>
    </row>
    <row r="508">
      <c r="A508" s="34" t="inlineStr">
        <is>
          <t>AGA SPK-tilskudd</t>
        </is>
      </c>
      <c r="B508" s="34" t="inlineStr">
        <is>
          <t>Region Nord</t>
        </is>
      </c>
      <c r="C508" s="34" t="inlineStr">
        <is>
          <t>Alta ungdomssenter Utsikten akutt</t>
        </is>
      </c>
      <c r="D508" s="18" t="n"/>
      <c r="E508" s="18" t="n"/>
      <c r="F508" s="18" t="n"/>
      <c r="G508" s="18" t="n"/>
      <c r="H508" s="18" t="n">
        <v>16789</v>
      </c>
      <c r="I508" s="18" t="n">
        <v>41975</v>
      </c>
      <c r="J508" s="19" t="n">
        <v>47609.09437499999</v>
      </c>
      <c r="K508" s="35" t="n">
        <v>0.065</v>
      </c>
    </row>
    <row r="509">
      <c r="A509" s="36" t="inlineStr">
        <is>
          <t>AGA SPK-tilskudd</t>
        </is>
      </c>
      <c r="B509" s="36" t="inlineStr">
        <is>
          <t>Region Nord</t>
        </is>
      </c>
      <c r="C509" s="36" t="inlineStr">
        <is>
          <t>Alta ungdomssenter Utsikten akutt</t>
        </is>
      </c>
      <c r="D509" s="26" t="n"/>
      <c r="E509" s="26" t="n"/>
      <c r="F509" s="26" t="n"/>
      <c r="G509" s="26" t="n"/>
      <c r="H509" s="26" t="n">
        <v>3949</v>
      </c>
      <c r="I509" s="26" t="n">
        <v>1152</v>
      </c>
      <c r="J509" s="19" t="n">
        <v>1306.6272</v>
      </c>
      <c r="K509" s="37" t="n">
        <v>0.065</v>
      </c>
    </row>
    <row r="510">
      <c r="A510" s="34" t="inlineStr">
        <is>
          <t>AGA SPK-tilskudd</t>
        </is>
      </c>
      <c r="B510" s="34" t="inlineStr">
        <is>
          <t>Region Nord</t>
        </is>
      </c>
      <c r="C510" s="34" t="inlineStr">
        <is>
          <t>Alta ungdomssenter Utsikten akutt</t>
        </is>
      </c>
      <c r="D510" s="18" t="n"/>
      <c r="E510" s="18" t="n"/>
      <c r="F510" s="18" t="n"/>
      <c r="G510" s="18" t="n"/>
      <c r="H510" s="18" t="n">
        <v>5681</v>
      </c>
      <c r="I510" s="18" t="n">
        <v>15211</v>
      </c>
      <c r="J510" s="19" t="n">
        <v>17252.696475</v>
      </c>
      <c r="K510" s="35" t="n">
        <v>0.065</v>
      </c>
    </row>
    <row r="511">
      <c r="A511" s="36" t="inlineStr">
        <is>
          <t>AGA SPK-tilskudd</t>
        </is>
      </c>
      <c r="B511" s="36" t="inlineStr">
        <is>
          <t>Region Nord</t>
        </is>
      </c>
      <c r="C511" s="36" t="inlineStr">
        <is>
          <t>Alta ungdomssenter Utsikten akutt</t>
        </is>
      </c>
      <c r="D511" s="26" t="n"/>
      <c r="E511" s="26" t="n"/>
      <c r="F511" s="26" t="n"/>
      <c r="G511" s="26" t="n"/>
      <c r="H511" s="26" t="n">
        <v>419</v>
      </c>
      <c r="I511" s="26" t="n">
        <v>600</v>
      </c>
      <c r="J511" s="19" t="n">
        <v>680.5349999999999</v>
      </c>
      <c r="K511" s="37" t="n">
        <v>0.065</v>
      </c>
    </row>
    <row r="512">
      <c r="A512" s="34" t="inlineStr">
        <is>
          <t>AGA SPK-tilskudd</t>
        </is>
      </c>
      <c r="B512" s="34" t="inlineStr">
        <is>
          <t>Region Nord</t>
        </is>
      </c>
      <c r="C512" s="34" t="inlineStr">
        <is>
          <t>Alta ungdomssenter Utsikten akutt</t>
        </is>
      </c>
      <c r="D512" s="18" t="n"/>
      <c r="E512" s="18" t="n"/>
      <c r="F512" s="18" t="n"/>
      <c r="G512" s="18" t="n"/>
      <c r="H512" s="18" t="n"/>
      <c r="I512" s="18" t="n">
        <v>3986</v>
      </c>
      <c r="J512" s="19" t="n">
        <v>4521.020849999999</v>
      </c>
      <c r="K512" s="35" t="n">
        <v>0.065</v>
      </c>
    </row>
    <row r="513">
      <c r="A513" s="36" t="inlineStr">
        <is>
          <t>AGA SPK-tilskudd</t>
        </is>
      </c>
      <c r="B513" s="36" t="inlineStr">
        <is>
          <t>Region Nord</t>
        </is>
      </c>
      <c r="C513" s="36" t="inlineStr">
        <is>
          <t>Alta ungdomssenter Utsikten akutt</t>
        </is>
      </c>
      <c r="D513" s="26" t="n"/>
      <c r="E513" s="26" t="n"/>
      <c r="F513" s="26" t="n"/>
      <c r="G513" s="26" t="n"/>
      <c r="H513" s="26" t="n">
        <v>2394</v>
      </c>
      <c r="I513" s="26" t="n">
        <v>7726</v>
      </c>
      <c r="J513" s="19" t="n">
        <v>8763.022349999999</v>
      </c>
      <c r="K513" s="37" t="n">
        <v>0.065</v>
      </c>
    </row>
    <row r="514">
      <c r="A514" s="34" t="inlineStr">
        <is>
          <t>AGA SPK-tilskudd</t>
        </is>
      </c>
      <c r="B514" s="34" t="inlineStr">
        <is>
          <t>Region Nord</t>
        </is>
      </c>
      <c r="C514" s="34" t="inlineStr">
        <is>
          <t>Alta ungdomssenter Utsikten akutt</t>
        </is>
      </c>
      <c r="D514" s="18" t="n"/>
      <c r="E514" s="18" t="n"/>
      <c r="F514" s="18" t="n"/>
      <c r="G514" s="18" t="n"/>
      <c r="H514" s="18" t="n">
        <v>-15781</v>
      </c>
      <c r="I514" s="18" t="n">
        <v>-45200</v>
      </c>
      <c r="J514" s="19" t="n">
        <v>-51266.96999999999</v>
      </c>
      <c r="K514" s="35" t="n">
        <v>0.065</v>
      </c>
    </row>
    <row r="515">
      <c r="A515" s="36" t="inlineStr">
        <is>
          <t>AGA SPK-tilskudd</t>
        </is>
      </c>
      <c r="B515" s="36" t="inlineStr">
        <is>
          <t>Region Nord</t>
        </is>
      </c>
      <c r="C515" s="36" t="inlineStr">
        <is>
          <t>Alta ungdomssenter Utsikten akutt</t>
        </is>
      </c>
      <c r="D515" s="26" t="n"/>
      <c r="E515" s="26" t="n"/>
      <c r="F515" s="26" t="n"/>
      <c r="G515" s="26" t="n"/>
      <c r="H515" s="26" t="n"/>
      <c r="I515" s="26" t="n">
        <v>-24807</v>
      </c>
      <c r="J515" s="19" t="n">
        <v>-28136.719575</v>
      </c>
      <c r="K515" s="37" t="n">
        <v>0.065</v>
      </c>
    </row>
    <row r="516">
      <c r="A516" s="34" t="inlineStr">
        <is>
          <t>AGA SPK-tilskudd</t>
        </is>
      </c>
      <c r="B516" s="34" t="inlineStr">
        <is>
          <t>Region Nord</t>
        </is>
      </c>
      <c r="C516" s="34" t="inlineStr">
        <is>
          <t>Alta ungdomssenter Utsikten akutt</t>
        </is>
      </c>
      <c r="D516" s="18" t="n"/>
      <c r="E516" s="18" t="n"/>
      <c r="F516" s="18" t="n"/>
      <c r="G516" s="18" t="n"/>
      <c r="H516" s="18" t="n">
        <v>-339271</v>
      </c>
      <c r="I516" s="18" t="n">
        <v>-402116</v>
      </c>
      <c r="J516" s="19" t="n">
        <v>-456090.0200999999</v>
      </c>
      <c r="K516" s="35" t="n">
        <v>0.065</v>
      </c>
    </row>
    <row r="517">
      <c r="A517" s="36" t="inlineStr">
        <is>
          <t>AGA SPK-tilskudd</t>
        </is>
      </c>
      <c r="B517" s="36" t="inlineStr">
        <is>
          <t>Region Nord</t>
        </is>
      </c>
      <c r="C517" s="36" t="inlineStr">
        <is>
          <t>Alta ungdomssenter Utsikten akutt</t>
        </is>
      </c>
      <c r="D517" s="26" t="n"/>
      <c r="E517" s="26" t="n"/>
      <c r="F517" s="26" t="n"/>
      <c r="G517" s="26" t="n"/>
      <c r="H517" s="26" t="n">
        <v>-30498</v>
      </c>
      <c r="I517" s="26" t="n">
        <v>-270090</v>
      </c>
      <c r="J517" s="19" t="n">
        <v>-306342.8302499999</v>
      </c>
      <c r="K517" s="37" t="n">
        <v>0.065</v>
      </c>
    </row>
    <row r="518">
      <c r="A518" s="34" t="inlineStr">
        <is>
          <t>AGA SPK-tilskudd</t>
        </is>
      </c>
      <c r="B518" s="34" t="inlineStr">
        <is>
          <t>Region Nord</t>
        </is>
      </c>
      <c r="C518" s="34" t="inlineStr">
        <is>
          <t>Alta ungdomssenter Utsikten omsorg</t>
        </is>
      </c>
      <c r="D518" s="18" t="n">
        <v>25712</v>
      </c>
      <c r="E518" s="18" t="n">
        <v>134883</v>
      </c>
      <c r="F518" s="18" t="n">
        <v>98948</v>
      </c>
      <c r="G518" s="18" t="n">
        <v>217957</v>
      </c>
      <c r="H518" s="18" t="n">
        <v>226187</v>
      </c>
      <c r="I518" s="18" t="n">
        <v>625</v>
      </c>
      <c r="J518" s="19" t="n">
        <v>351.5625</v>
      </c>
      <c r="K518" s="35" t="n">
        <v>-0.25</v>
      </c>
    </row>
    <row r="519">
      <c r="A519" s="36" t="inlineStr">
        <is>
          <t>AGA SPK-tilskudd</t>
        </is>
      </c>
      <c r="B519" s="36" t="inlineStr">
        <is>
          <t>Region Nord</t>
        </is>
      </c>
      <c r="C519" s="36" t="inlineStr">
        <is>
          <t>Alta ungdomssenter Utsikten omsorg</t>
        </is>
      </c>
      <c r="D519" s="26" t="n">
        <v>-4568</v>
      </c>
      <c r="E519" s="26" t="n">
        <v>58836</v>
      </c>
      <c r="F519" s="26" t="n">
        <v>96998</v>
      </c>
      <c r="G519" s="26" t="n">
        <v>94964</v>
      </c>
      <c r="H519" s="26" t="n">
        <v>18190</v>
      </c>
      <c r="I519" s="26" t="n"/>
      <c r="J519" s="19" t="n">
        <v>0</v>
      </c>
      <c r="K519" s="37" t="n">
        <v>0.065</v>
      </c>
    </row>
    <row r="520">
      <c r="A520" s="34" t="inlineStr">
        <is>
          <t>AGA SPK-tilskudd</t>
        </is>
      </c>
      <c r="B520" s="34" t="inlineStr">
        <is>
          <t>Region Nord</t>
        </is>
      </c>
      <c r="C520" s="34" t="inlineStr">
        <is>
          <t>Alta ungdomssenter Utsikten omsorg</t>
        </is>
      </c>
      <c r="D520" s="18" t="n">
        <v>5600</v>
      </c>
      <c r="E520" s="18" t="n">
        <v>17996</v>
      </c>
      <c r="F520" s="18" t="n">
        <v>17280</v>
      </c>
      <c r="G520" s="18" t="n">
        <v>23630</v>
      </c>
      <c r="H520" s="18" t="n">
        <v>15679</v>
      </c>
      <c r="I520" s="18" t="n"/>
      <c r="J520" s="19" t="n">
        <v>0</v>
      </c>
      <c r="K520" s="35" t="n">
        <v>0.065</v>
      </c>
    </row>
    <row r="521">
      <c r="A521" s="36" t="inlineStr">
        <is>
          <t>AGA SPK-tilskudd</t>
        </is>
      </c>
      <c r="B521" s="36" t="inlineStr">
        <is>
          <t>Region Nord</t>
        </is>
      </c>
      <c r="C521" s="36" t="inlineStr">
        <is>
          <t>Alta ungdomssenter Utsikten omsorg</t>
        </is>
      </c>
      <c r="D521" s="26" t="n"/>
      <c r="E521" s="26" t="n"/>
      <c r="F521" s="26" t="n"/>
      <c r="G521" s="26" t="n">
        <v>11651</v>
      </c>
      <c r="H521" s="26" t="n">
        <v>2842</v>
      </c>
      <c r="I521" s="26" t="n"/>
      <c r="J521" s="19" t="n">
        <v>0</v>
      </c>
      <c r="K521" s="37" t="n">
        <v>0.065</v>
      </c>
    </row>
    <row r="522">
      <c r="A522" s="34" t="inlineStr">
        <is>
          <t>AGA SPK-tilskudd</t>
        </is>
      </c>
      <c r="B522" s="34" t="inlineStr">
        <is>
          <t>Region Nord</t>
        </is>
      </c>
      <c r="C522" s="34" t="inlineStr">
        <is>
          <t>Alta ungdomssenter Utsikten omsorg</t>
        </is>
      </c>
      <c r="D522" s="18" t="n"/>
      <c r="E522" s="18" t="n">
        <v>275</v>
      </c>
      <c r="F522" s="18" t="n">
        <v>298</v>
      </c>
      <c r="G522" s="18" t="n">
        <v>1887</v>
      </c>
      <c r="H522" s="18" t="n">
        <v>1160</v>
      </c>
      <c r="I522" s="18" t="n"/>
      <c r="J522" s="19" t="n">
        <v>0</v>
      </c>
      <c r="K522" s="35" t="n">
        <v>0.065</v>
      </c>
    </row>
    <row r="523">
      <c r="A523" s="36" t="inlineStr">
        <is>
          <t>AGA SPK-tilskudd</t>
        </is>
      </c>
      <c r="B523" s="36" t="inlineStr">
        <is>
          <t>Region Nord</t>
        </is>
      </c>
      <c r="C523" s="36" t="inlineStr">
        <is>
          <t>Alta ungdomssenter Utsikten omsorg</t>
        </is>
      </c>
      <c r="D523" s="26" t="n">
        <v>442</v>
      </c>
      <c r="E523" s="26" t="n">
        <v>4076</v>
      </c>
      <c r="F523" s="26" t="n">
        <v>11268</v>
      </c>
      <c r="G523" s="26" t="n">
        <v>18987</v>
      </c>
      <c r="H523" s="26" t="n">
        <v>3092</v>
      </c>
      <c r="I523" s="26" t="n"/>
      <c r="J523" s="19" t="n">
        <v>0</v>
      </c>
      <c r="K523" s="37" t="n">
        <v>0.065</v>
      </c>
    </row>
    <row r="524">
      <c r="A524" s="34" t="inlineStr">
        <is>
          <t>AGA SPK-tilskudd</t>
        </is>
      </c>
      <c r="B524" s="34" t="inlineStr">
        <is>
          <t>Region Nord</t>
        </is>
      </c>
      <c r="C524" s="34" t="inlineStr">
        <is>
          <t>Alta ungdomssenter Utsikten omsorg</t>
        </is>
      </c>
      <c r="D524" s="18" t="n"/>
      <c r="E524" s="18" t="n"/>
      <c r="F524" s="18" t="n"/>
      <c r="G524" s="18" t="n">
        <v>27876</v>
      </c>
      <c r="H524" s="18" t="n"/>
      <c r="I524" s="18" t="n"/>
      <c r="J524" s="19" t="n">
        <v>0</v>
      </c>
      <c r="K524" s="35" t="n">
        <v>0.065</v>
      </c>
    </row>
    <row r="525">
      <c r="A525" s="36" t="inlineStr">
        <is>
          <t>AGA SPK-tilskudd</t>
        </is>
      </c>
      <c r="B525" s="36" t="inlineStr">
        <is>
          <t>Region Nord</t>
        </is>
      </c>
      <c r="C525" s="36" t="inlineStr">
        <is>
          <t>Alta ungdomssenter Utsikten omsorg</t>
        </is>
      </c>
      <c r="D525" s="26" t="n">
        <v>1913</v>
      </c>
      <c r="E525" s="26" t="n">
        <v>5001</v>
      </c>
      <c r="F525" s="26" t="n">
        <v>3654</v>
      </c>
      <c r="G525" s="26" t="n">
        <v>2343</v>
      </c>
      <c r="H525" s="26" t="n">
        <v>768</v>
      </c>
      <c r="I525" s="26" t="n"/>
      <c r="J525" s="19" t="n">
        <v>0</v>
      </c>
      <c r="K525" s="37" t="n">
        <v>0.065</v>
      </c>
    </row>
    <row r="526">
      <c r="A526" s="34" t="inlineStr">
        <is>
          <t>AGA SPK-tilskudd</t>
        </is>
      </c>
      <c r="B526" s="34" t="inlineStr">
        <is>
          <t>Region Nord</t>
        </is>
      </c>
      <c r="C526" s="34" t="inlineStr">
        <is>
          <t>Alta ungdomssenter Utsikten omsorg</t>
        </is>
      </c>
      <c r="D526" s="18" t="n">
        <v>675</v>
      </c>
      <c r="E526" s="18" t="n">
        <v>987</v>
      </c>
      <c r="F526" s="18" t="n">
        <v>3149</v>
      </c>
      <c r="G526" s="18" t="n">
        <v>8201</v>
      </c>
      <c r="H526" s="18" t="n">
        <v>2772</v>
      </c>
      <c r="I526" s="18" t="n"/>
      <c r="J526" s="19" t="n">
        <v>0</v>
      </c>
      <c r="K526" s="35" t="n">
        <v>0.065</v>
      </c>
    </row>
    <row r="527">
      <c r="A527" s="36" t="inlineStr">
        <is>
          <t>AGA SPK-tilskudd</t>
        </is>
      </c>
      <c r="B527" s="36" t="inlineStr">
        <is>
          <t>Region Nord</t>
        </is>
      </c>
      <c r="C527" s="36" t="inlineStr">
        <is>
          <t>Alta ungdomssenter Utsikten omsorg</t>
        </is>
      </c>
      <c r="D527" s="26" t="n"/>
      <c r="E527" s="26" t="n"/>
      <c r="F527" s="26" t="n"/>
      <c r="G527" s="26" t="n"/>
      <c r="H527" s="26" t="n">
        <v>-9261</v>
      </c>
      <c r="I527" s="26" t="n"/>
      <c r="J527" s="19" t="n">
        <v>0</v>
      </c>
      <c r="K527" s="37" t="n">
        <v>0.065</v>
      </c>
    </row>
    <row r="528">
      <c r="A528" s="34" t="inlineStr">
        <is>
          <t>AGA SPK-tilskudd</t>
        </is>
      </c>
      <c r="B528" s="34" t="inlineStr">
        <is>
          <t>Region Nord</t>
        </is>
      </c>
      <c r="C528" s="34" t="inlineStr">
        <is>
          <t>Alta ungdomssenter Utsikten omsorg</t>
        </is>
      </c>
      <c r="D528" s="18" t="n">
        <v>-8700</v>
      </c>
      <c r="E528" s="18" t="n">
        <v>-13321</v>
      </c>
      <c r="F528" s="18" t="n">
        <v>-14079</v>
      </c>
      <c r="G528" s="18" t="n">
        <v>1126</v>
      </c>
      <c r="H528" s="18" t="n">
        <v>-5065</v>
      </c>
      <c r="I528" s="18" t="n"/>
      <c r="J528" s="19" t="n">
        <v>0</v>
      </c>
      <c r="K528" s="35" t="n">
        <v>0.065</v>
      </c>
    </row>
    <row r="529">
      <c r="A529" s="36" t="inlineStr">
        <is>
          <t>AGA SPK-tilskudd</t>
        </is>
      </c>
      <c r="B529" s="36" t="inlineStr">
        <is>
          <t>Region Nord</t>
        </is>
      </c>
      <c r="C529" s="36" t="inlineStr">
        <is>
          <t>Alta ungdomssenter Utsikten omsorg</t>
        </is>
      </c>
      <c r="D529" s="26" t="n"/>
      <c r="E529" s="26" t="n">
        <v>-219870</v>
      </c>
      <c r="F529" s="26" t="n">
        <v>-663968</v>
      </c>
      <c r="G529" s="26" t="n">
        <v>-16157</v>
      </c>
      <c r="H529" s="26" t="n"/>
      <c r="I529" s="26" t="n"/>
      <c r="J529" s="19" t="n">
        <v>0</v>
      </c>
      <c r="K529" s="37" t="n">
        <v>0.065</v>
      </c>
    </row>
    <row r="530">
      <c r="A530" s="34" t="inlineStr">
        <is>
          <t>AGA SPK-tilskudd</t>
        </is>
      </c>
      <c r="B530" s="34" t="inlineStr">
        <is>
          <t>Region Nord</t>
        </is>
      </c>
      <c r="C530" s="34" t="inlineStr">
        <is>
          <t>Alta ungdomssenter Utsikten omsorg</t>
        </is>
      </c>
      <c r="D530" s="18" t="n">
        <v>-50408</v>
      </c>
      <c r="E530" s="18" t="n">
        <v>-757677</v>
      </c>
      <c r="F530" s="18" t="n">
        <v>-551869</v>
      </c>
      <c r="G530" s="18" t="n">
        <v>-783933</v>
      </c>
      <c r="H530" s="18" t="n">
        <v>-108536</v>
      </c>
      <c r="I530" s="18" t="n"/>
      <c r="J530" s="19" t="n">
        <v>0</v>
      </c>
      <c r="K530" s="35" t="n">
        <v>0.065</v>
      </c>
    </row>
    <row r="531">
      <c r="A531" s="36" t="inlineStr">
        <is>
          <t>AGA SPK-tilskudd</t>
        </is>
      </c>
      <c r="B531" s="36" t="inlineStr">
        <is>
          <t>Region Nord</t>
        </is>
      </c>
      <c r="C531" s="36" t="inlineStr">
        <is>
          <t>Avdelingsdirektør inntak og fosterhjemsrekruttering</t>
        </is>
      </c>
      <c r="D531" s="26" t="n"/>
      <c r="E531" s="26" t="n">
        <v>2443</v>
      </c>
      <c r="F531" s="26" t="n"/>
      <c r="G531" s="26" t="n"/>
      <c r="H531" s="26" t="n">
        <v>4902</v>
      </c>
      <c r="I531" s="26" t="n"/>
      <c r="J531" s="19" t="n">
        <v>0</v>
      </c>
      <c r="K531" s="37" t="n">
        <v>0.065</v>
      </c>
    </row>
    <row r="532">
      <c r="A532" s="34" t="inlineStr">
        <is>
          <t>AGA SPK-tilskudd</t>
        </is>
      </c>
      <c r="B532" s="34" t="inlineStr">
        <is>
          <t>Region Nord</t>
        </is>
      </c>
      <c r="C532" s="34" t="inlineStr">
        <is>
          <t>Avdelingsdirektør inntak og fosterhjemsrekruttering</t>
        </is>
      </c>
      <c r="D532" s="18" t="n"/>
      <c r="E532" s="18" t="n"/>
      <c r="F532" s="18" t="n"/>
      <c r="G532" s="18" t="n">
        <v>5400</v>
      </c>
      <c r="H532" s="18" t="n"/>
      <c r="I532" s="18" t="n"/>
      <c r="J532" s="19" t="n">
        <v>0</v>
      </c>
      <c r="K532" s="35" t="n">
        <v>0.065</v>
      </c>
    </row>
    <row r="533">
      <c r="A533" s="36" t="inlineStr">
        <is>
          <t>AGA SPK-tilskudd</t>
        </is>
      </c>
      <c r="B533" s="36" t="inlineStr">
        <is>
          <t>Region Nord</t>
        </is>
      </c>
      <c r="C533" s="36" t="inlineStr">
        <is>
          <t>Avdelingsdirektør inntak og fosterhjemsrekruttering</t>
        </is>
      </c>
      <c r="D533" s="26" t="n"/>
      <c r="E533" s="26" t="n"/>
      <c r="F533" s="26" t="n"/>
      <c r="G533" s="26" t="n">
        <v>1800</v>
      </c>
      <c r="H533" s="26" t="n"/>
      <c r="I533" s="26" t="n"/>
      <c r="J533" s="19" t="n">
        <v>0</v>
      </c>
      <c r="K533" s="37" t="n">
        <v>0.065</v>
      </c>
    </row>
    <row r="534">
      <c r="A534" s="34" t="inlineStr">
        <is>
          <t>AGA SPK-tilskudd</t>
        </is>
      </c>
      <c r="B534" s="34" t="inlineStr">
        <is>
          <t>Region Nord</t>
        </is>
      </c>
      <c r="C534" s="34" t="inlineStr">
        <is>
          <t>Avdelingsdirektør omsorg for ungdom og behandling av ungdom</t>
        </is>
      </c>
      <c r="D534" s="18" t="n"/>
      <c r="E534" s="18" t="n"/>
      <c r="F534" s="18" t="n"/>
      <c r="G534" s="18" t="n"/>
      <c r="H534" s="18" t="n">
        <v>2016</v>
      </c>
      <c r="I534" s="18" t="n">
        <v>-2016</v>
      </c>
      <c r="J534" s="19" t="n">
        <v>-2286.5976</v>
      </c>
      <c r="K534" s="35" t="n">
        <v>0.065</v>
      </c>
    </row>
    <row r="535">
      <c r="A535" s="36" t="inlineStr">
        <is>
          <t>AGA SPK-tilskudd</t>
        </is>
      </c>
      <c r="B535" s="36" t="inlineStr">
        <is>
          <t>Region Nord</t>
        </is>
      </c>
      <c r="C535" s="36" t="inlineStr">
        <is>
          <t>Avdelingsdirektør omsorg for ungdom og behandling av ungdom</t>
        </is>
      </c>
      <c r="D535" s="26" t="n">
        <v>28074</v>
      </c>
      <c r="E535" s="26" t="n">
        <v>10851</v>
      </c>
      <c r="F535" s="26" t="n">
        <v>18285</v>
      </c>
      <c r="G535" s="26" t="n">
        <v>12098</v>
      </c>
      <c r="H535" s="26" t="n">
        <v>3564</v>
      </c>
      <c r="I535" s="26" t="n">
        <v>27319</v>
      </c>
      <c r="J535" s="19" t="n">
        <v>27022.71613717314</v>
      </c>
      <c r="K535" s="37" t="n">
        <v>-0.005437453303672513</v>
      </c>
    </row>
    <row r="536">
      <c r="A536" s="34" t="inlineStr">
        <is>
          <t>AGA SPK-tilskudd</t>
        </is>
      </c>
      <c r="B536" s="34" t="inlineStr">
        <is>
          <t>Region Nord</t>
        </is>
      </c>
      <c r="C536" s="34" t="inlineStr">
        <is>
          <t>Avdelingsdirektør omsorg for ungdom og behandling av ungdom</t>
        </is>
      </c>
      <c r="D536" s="18" t="n"/>
      <c r="E536" s="18" t="n"/>
      <c r="F536" s="18" t="n"/>
      <c r="G536" s="18" t="n"/>
      <c r="H536" s="18" t="n">
        <v>694</v>
      </c>
      <c r="I536" s="18" t="n">
        <v>-694</v>
      </c>
      <c r="J536" s="19" t="n">
        <v>-787.1521499999999</v>
      </c>
      <c r="K536" s="35" t="n">
        <v>0.065</v>
      </c>
    </row>
    <row r="537">
      <c r="A537" s="36" t="inlineStr">
        <is>
          <t>AGA SPK-tilskudd</t>
        </is>
      </c>
      <c r="B537" s="36" t="inlineStr">
        <is>
          <t>Region Nord</t>
        </is>
      </c>
      <c r="C537" s="36" t="inlineStr">
        <is>
          <t>Avdelingsdirektør omsorg for ungdom og behandling av ungdom</t>
        </is>
      </c>
      <c r="D537" s="26" t="n"/>
      <c r="E537" s="26" t="n"/>
      <c r="F537" s="26" t="n"/>
      <c r="G537" s="26" t="n"/>
      <c r="H537" s="26" t="n">
        <v>28</v>
      </c>
      <c r="I537" s="26" t="n">
        <v>35</v>
      </c>
      <c r="J537" s="19" t="n">
        <v>39.697875</v>
      </c>
      <c r="K537" s="37" t="n">
        <v>0.065</v>
      </c>
    </row>
    <row r="538">
      <c r="A538" s="34" t="inlineStr">
        <is>
          <t>AGA SPK-tilskudd</t>
        </is>
      </c>
      <c r="B538" s="34" t="inlineStr">
        <is>
          <t>Region Nord</t>
        </is>
      </c>
      <c r="C538" s="34" t="inlineStr">
        <is>
          <t>Avdelingsdirektør omsorg for ungdom og behandling av ungdom</t>
        </is>
      </c>
      <c r="D538" s="18" t="n"/>
      <c r="E538" s="18" t="n"/>
      <c r="F538" s="18" t="n"/>
      <c r="G538" s="18" t="n"/>
      <c r="H538" s="18" t="n">
        <v>2605</v>
      </c>
      <c r="I538" s="18" t="n">
        <v>7562</v>
      </c>
      <c r="J538" s="19" t="n">
        <v>8577.009449999998</v>
      </c>
      <c r="K538" s="35" t="n">
        <v>0.065</v>
      </c>
    </row>
    <row r="539">
      <c r="A539" s="36" t="inlineStr">
        <is>
          <t>AGA SPK-tilskudd</t>
        </is>
      </c>
      <c r="B539" s="36" t="inlineStr">
        <is>
          <t>Region Nord</t>
        </is>
      </c>
      <c r="C539" s="36" t="inlineStr">
        <is>
          <t>Avdelingsdirektør omsorg for ungdom og behandling av ungdom</t>
        </is>
      </c>
      <c r="D539" s="26" t="n"/>
      <c r="E539" s="26" t="n">
        <v>3996</v>
      </c>
      <c r="F539" s="26" t="n"/>
      <c r="G539" s="26" t="n"/>
      <c r="H539" s="26" t="n"/>
      <c r="I539" s="26" t="n"/>
      <c r="J539" s="19" t="n">
        <v>0</v>
      </c>
      <c r="K539" s="37" t="n">
        <v>0.065</v>
      </c>
    </row>
    <row r="540">
      <c r="A540" s="34" t="inlineStr">
        <is>
          <t>AGA SPK-tilskudd</t>
        </is>
      </c>
      <c r="B540" s="34" t="inlineStr">
        <is>
          <t>Region Nord</t>
        </is>
      </c>
      <c r="C540" s="34" t="inlineStr">
        <is>
          <t>Avdelingsdirektør omsorg for ungdom og behandling av ungdom</t>
        </is>
      </c>
      <c r="D540" s="18" t="n"/>
      <c r="E540" s="18" t="n"/>
      <c r="F540" s="18" t="n"/>
      <c r="G540" s="18" t="n"/>
      <c r="H540" s="18" t="n">
        <v>971</v>
      </c>
      <c r="I540" s="18" t="n">
        <v>3603</v>
      </c>
      <c r="J540" s="19" t="n">
        <v>4086.612674999999</v>
      </c>
      <c r="K540" s="35" t="n">
        <v>0.065</v>
      </c>
    </row>
    <row r="541">
      <c r="A541" s="36" t="inlineStr">
        <is>
          <t>AGA SPK-tilskudd</t>
        </is>
      </c>
      <c r="B541" s="36" t="inlineStr">
        <is>
          <t>Region Nord</t>
        </is>
      </c>
      <c r="C541" s="36" t="inlineStr">
        <is>
          <t>Avdelingsdirektør omsorg for ungdom og behandling av ungdom</t>
        </is>
      </c>
      <c r="D541" s="26" t="n"/>
      <c r="E541" s="26" t="n"/>
      <c r="F541" s="26" t="n"/>
      <c r="G541" s="26" t="n"/>
      <c r="H541" s="26" t="n">
        <v>600</v>
      </c>
      <c r="I541" s="26" t="n">
        <v>400</v>
      </c>
      <c r="J541" s="19" t="n">
        <v>453.6899999999999</v>
      </c>
      <c r="K541" s="37" t="n">
        <v>0.065</v>
      </c>
    </row>
    <row r="542">
      <c r="A542" s="34" t="inlineStr">
        <is>
          <t>AGA SPK-tilskudd</t>
        </is>
      </c>
      <c r="B542" s="34" t="inlineStr">
        <is>
          <t>Region Nord</t>
        </is>
      </c>
      <c r="C542" s="34" t="inlineStr">
        <is>
          <t>Avdelingsdirektør stab</t>
        </is>
      </c>
      <c r="D542" s="18" t="n"/>
      <c r="E542" s="18" t="n"/>
      <c r="F542" s="18" t="n"/>
      <c r="G542" s="18" t="n"/>
      <c r="H542" s="18" t="n"/>
      <c r="I542" s="18" t="n">
        <v>-33963</v>
      </c>
      <c r="J542" s="19" t="n">
        <v>-38521.68367499999</v>
      </c>
      <c r="K542" s="35" t="n">
        <v>0.065</v>
      </c>
    </row>
    <row r="543">
      <c r="A543" s="36" t="inlineStr">
        <is>
          <t>AGA SPK-tilskudd</t>
        </is>
      </c>
      <c r="B543" s="36" t="inlineStr">
        <is>
          <t>Region Nord</t>
        </is>
      </c>
      <c r="C543" s="36" t="inlineStr">
        <is>
          <t>Avdelingsdirektør stab</t>
        </is>
      </c>
      <c r="D543" s="26" t="n"/>
      <c r="E543" s="26" t="n">
        <v>2433</v>
      </c>
      <c r="F543" s="26" t="n"/>
      <c r="G543" s="26" t="n">
        <v>20385</v>
      </c>
      <c r="H543" s="26" t="n">
        <v>6921</v>
      </c>
      <c r="I543" s="26" t="n"/>
      <c r="J543" s="19" t="n">
        <v>0</v>
      </c>
      <c r="K543" s="37" t="n">
        <v>0.065</v>
      </c>
    </row>
    <row r="544">
      <c r="A544" s="34" t="inlineStr">
        <is>
          <t>AGA SPK-tilskudd</t>
        </is>
      </c>
      <c r="B544" s="34" t="inlineStr">
        <is>
          <t>Region Nord</t>
        </is>
      </c>
      <c r="C544" s="34" t="inlineStr">
        <is>
          <t>Avdelingsdirektør stab</t>
        </is>
      </c>
      <c r="D544" s="18" t="n"/>
      <c r="E544" s="18" t="n"/>
      <c r="F544" s="18" t="n"/>
      <c r="G544" s="18" t="n"/>
      <c r="H544" s="18" t="n"/>
      <c r="I544" s="18" t="n">
        <v>-156014</v>
      </c>
      <c r="J544" s="19" t="n">
        <v>-176954.97915</v>
      </c>
      <c r="K544" s="35" t="n">
        <v>0.065</v>
      </c>
    </row>
    <row r="545">
      <c r="A545" s="36" t="inlineStr">
        <is>
          <t>AGA SPK-tilskudd</t>
        </is>
      </c>
      <c r="B545" s="36" t="inlineStr">
        <is>
          <t>Region Nord</t>
        </is>
      </c>
      <c r="C545" s="36" t="inlineStr">
        <is>
          <t>Avdelingsdirektør stab</t>
        </is>
      </c>
      <c r="D545" s="26" t="n">
        <v>122467</v>
      </c>
      <c r="E545" s="26" t="n">
        <v>251547</v>
      </c>
      <c r="F545" s="26" t="n">
        <v>272254</v>
      </c>
      <c r="G545" s="26" t="n">
        <v>143152</v>
      </c>
      <c r="H545" s="26" t="n">
        <v>209998</v>
      </c>
      <c r="I545" s="26" t="n">
        <v>293797</v>
      </c>
      <c r="J545" s="19" t="n">
        <v>416925.7012020119</v>
      </c>
      <c r="K545" s="37" t="n">
        <v>0.1912575208114771</v>
      </c>
    </row>
    <row r="546">
      <c r="A546" s="34" t="inlineStr">
        <is>
          <t>AGA SPK-tilskudd</t>
        </is>
      </c>
      <c r="B546" s="34" t="inlineStr">
        <is>
          <t>Region Nord</t>
        </is>
      </c>
      <c r="C546" s="34" t="inlineStr">
        <is>
          <t>Avdelingsdirektør stab</t>
        </is>
      </c>
      <c r="D546" s="18" t="n"/>
      <c r="E546" s="18" t="n"/>
      <c r="F546" s="18" t="n">
        <v>30655</v>
      </c>
      <c r="G546" s="18" t="n">
        <v>30655</v>
      </c>
      <c r="H546" s="18" t="n"/>
      <c r="I546" s="18" t="n"/>
      <c r="J546" s="19" t="n">
        <v>0</v>
      </c>
      <c r="K546" s="35" t="n">
        <v>0.065</v>
      </c>
    </row>
    <row r="547">
      <c r="A547" s="36" t="inlineStr">
        <is>
          <t>AGA SPK-tilskudd</t>
        </is>
      </c>
      <c r="B547" s="36" t="inlineStr">
        <is>
          <t>Region Nord</t>
        </is>
      </c>
      <c r="C547" s="36" t="inlineStr">
        <is>
          <t>Avdelingsdirektør stab</t>
        </is>
      </c>
      <c r="D547" s="26" t="n"/>
      <c r="E547" s="26" t="n"/>
      <c r="F547" s="26" t="n">
        <v>69587</v>
      </c>
      <c r="G547" s="26" t="n">
        <v>157695</v>
      </c>
      <c r="H547" s="26" t="n"/>
      <c r="I547" s="26" t="n">
        <v>161700</v>
      </c>
      <c r="J547" s="19" t="n">
        <v>183404.1825</v>
      </c>
      <c r="K547" s="37" t="n">
        <v>0.065</v>
      </c>
    </row>
    <row r="548">
      <c r="A548" s="34" t="inlineStr">
        <is>
          <t>AGA SPK-tilskudd</t>
        </is>
      </c>
      <c r="B548" s="34" t="inlineStr">
        <is>
          <t>Region Nord</t>
        </is>
      </c>
      <c r="C548" s="34" t="inlineStr">
        <is>
          <t>Avdelingsdirektør stab</t>
        </is>
      </c>
      <c r="D548" s="18" t="n">
        <v>14638</v>
      </c>
      <c r="E548" s="18" t="n"/>
      <c r="F548" s="18" t="n"/>
      <c r="G548" s="18" t="n"/>
      <c r="H548" s="18" t="n"/>
      <c r="I548" s="18" t="n">
        <v>3337</v>
      </c>
      <c r="J548" s="19" t="n">
        <v>1877.0625</v>
      </c>
      <c r="K548" s="35" t="n">
        <v>-0.25</v>
      </c>
    </row>
    <row r="549">
      <c r="A549" s="36" t="inlineStr">
        <is>
          <t>AGA SPK-tilskudd</t>
        </is>
      </c>
      <c r="B549" s="36" t="inlineStr">
        <is>
          <t>Region Nord</t>
        </is>
      </c>
      <c r="C549" s="36" t="inlineStr">
        <is>
          <t>Bodø behandlingssenter Landegode</t>
        </is>
      </c>
      <c r="D549" s="26" t="n"/>
      <c r="E549" s="26" t="n"/>
      <c r="F549" s="26" t="n"/>
      <c r="G549" s="26" t="n">
        <v>365</v>
      </c>
      <c r="H549" s="26" t="n">
        <v>4030</v>
      </c>
      <c r="I549" s="26" t="n">
        <v>3024</v>
      </c>
      <c r="J549" s="19" t="n">
        <v>3429.8964</v>
      </c>
      <c r="K549" s="37" t="n">
        <v>0.065</v>
      </c>
    </row>
    <row r="550">
      <c r="A550" s="34" t="inlineStr">
        <is>
          <t>AGA SPK-tilskudd</t>
        </is>
      </c>
      <c r="B550" s="34" t="inlineStr">
        <is>
          <t>Region Nord</t>
        </is>
      </c>
      <c r="C550" s="34" t="inlineStr">
        <is>
          <t>Bodø behandlingssenter Landegode</t>
        </is>
      </c>
      <c r="D550" s="18" t="n"/>
      <c r="E550" s="18" t="n"/>
      <c r="F550" s="18" t="n"/>
      <c r="G550" s="18" t="n"/>
      <c r="H550" s="18" t="n">
        <v>5760</v>
      </c>
      <c r="I550" s="18" t="n">
        <v>705</v>
      </c>
      <c r="J550" s="19" t="n">
        <v>799.6286249999998</v>
      </c>
      <c r="K550" s="35" t="n">
        <v>0.065</v>
      </c>
    </row>
    <row r="551">
      <c r="A551" s="36" t="inlineStr">
        <is>
          <t>AGA SPK-tilskudd</t>
        </is>
      </c>
      <c r="B551" s="36" t="inlineStr">
        <is>
          <t>Region Nord</t>
        </is>
      </c>
      <c r="C551" s="36" t="inlineStr">
        <is>
          <t>Bodø behandlingssenter Landegode</t>
        </is>
      </c>
      <c r="D551" s="26" t="n"/>
      <c r="E551" s="26" t="n"/>
      <c r="F551" s="26" t="n"/>
      <c r="G551" s="26" t="n">
        <v>133</v>
      </c>
      <c r="H551" s="26" t="n">
        <v>1388</v>
      </c>
      <c r="I551" s="26" t="n">
        <v>1153</v>
      </c>
      <c r="J551" s="19" t="n">
        <v>1307.761425</v>
      </c>
      <c r="K551" s="37" t="n">
        <v>0.065</v>
      </c>
    </row>
    <row r="552">
      <c r="A552" s="34" t="inlineStr">
        <is>
          <t>AGA SPK-tilskudd</t>
        </is>
      </c>
      <c r="B552" s="34" t="inlineStr">
        <is>
          <t>Region Nord</t>
        </is>
      </c>
      <c r="C552" s="34" t="inlineStr">
        <is>
          <t>Bodø behandlingssenter Landegode</t>
        </is>
      </c>
      <c r="D552" s="18" t="n"/>
      <c r="E552" s="18" t="n"/>
      <c r="F552" s="18" t="n"/>
      <c r="G552" s="18" t="n"/>
      <c r="H552" s="18" t="n">
        <v>5688</v>
      </c>
      <c r="I552" s="18" t="n">
        <v>1604</v>
      </c>
      <c r="J552" s="19" t="n">
        <v>1819.2969</v>
      </c>
      <c r="K552" s="35" t="n">
        <v>0.065</v>
      </c>
    </row>
    <row r="553">
      <c r="A553" s="36" t="inlineStr">
        <is>
          <t>AGA SPK-tilskudd</t>
        </is>
      </c>
      <c r="B553" s="36" t="inlineStr">
        <is>
          <t>Region Nord</t>
        </is>
      </c>
      <c r="C553" s="36" t="inlineStr">
        <is>
          <t>Bodø behandlingssenter Landegode</t>
        </is>
      </c>
      <c r="D553" s="26" t="n"/>
      <c r="E553" s="26" t="n"/>
      <c r="F553" s="26" t="n"/>
      <c r="G553" s="26" t="n"/>
      <c r="H553" s="26" t="n">
        <v>2059</v>
      </c>
      <c r="I553" s="26" t="n">
        <v>540</v>
      </c>
      <c r="J553" s="19" t="n">
        <v>612.4814999999999</v>
      </c>
      <c r="K553" s="37" t="n">
        <v>0.065</v>
      </c>
    </row>
    <row r="554">
      <c r="A554" s="34" t="inlineStr">
        <is>
          <t>AGA SPK-tilskudd</t>
        </is>
      </c>
      <c r="B554" s="34" t="inlineStr">
        <is>
          <t>Region Nord</t>
        </is>
      </c>
      <c r="C554" s="34" t="inlineStr">
        <is>
          <t>Bodø behandlingssenter Sandhornet</t>
        </is>
      </c>
      <c r="D554" s="18" t="n">
        <v>111193</v>
      </c>
      <c r="E554" s="18" t="n">
        <v>98068</v>
      </c>
      <c r="F554" s="18" t="n">
        <v>99883</v>
      </c>
      <c r="G554" s="18" t="n">
        <v>102668</v>
      </c>
      <c r="H554" s="18" t="n">
        <v>106870</v>
      </c>
      <c r="I554" s="18" t="n">
        <v>102604</v>
      </c>
      <c r="J554" s="19" t="n">
        <v>99357.12808055078</v>
      </c>
      <c r="K554" s="35" t="n">
        <v>-0.01594953962190726</v>
      </c>
    </row>
    <row r="555">
      <c r="A555" s="36" t="inlineStr">
        <is>
          <t>AGA SPK-tilskudd</t>
        </is>
      </c>
      <c r="B555" s="36" t="inlineStr">
        <is>
          <t>Region Nord</t>
        </is>
      </c>
      <c r="C555" s="36" t="inlineStr">
        <is>
          <t>Bodø behandlingssenter Sandhornet</t>
        </is>
      </c>
      <c r="D555" s="26" t="n">
        <v>996</v>
      </c>
      <c r="E555" s="26" t="n">
        <v>60695</v>
      </c>
      <c r="F555" s="26" t="n">
        <v>9181</v>
      </c>
      <c r="G555" s="26" t="n">
        <v>26183</v>
      </c>
      <c r="H555" s="26" t="n">
        <v>109675</v>
      </c>
      <c r="I555" s="26" t="n">
        <v>154331</v>
      </c>
      <c r="J555" s="19" t="n">
        <v>241142.1875</v>
      </c>
      <c r="K555" s="37" t="n">
        <v>0.25</v>
      </c>
    </row>
    <row r="556">
      <c r="A556" s="34" t="inlineStr">
        <is>
          <t>AGA SPK-tilskudd</t>
        </is>
      </c>
      <c r="B556" s="34" t="inlineStr">
        <is>
          <t>Region Nord</t>
        </is>
      </c>
      <c r="C556" s="34" t="inlineStr">
        <is>
          <t>Bodø behandlingssenter Sandhornet</t>
        </is>
      </c>
      <c r="D556" s="18" t="n">
        <v>136130</v>
      </c>
      <c r="E556" s="18" t="n">
        <v>165427</v>
      </c>
      <c r="F556" s="18" t="n">
        <v>184375</v>
      </c>
      <c r="G556" s="18" t="n">
        <v>179270</v>
      </c>
      <c r="H556" s="18" t="n">
        <v>161618</v>
      </c>
      <c r="I556" s="18" t="n">
        <v>194012</v>
      </c>
      <c r="J556" s="19" t="n">
        <v>223551.9651604313</v>
      </c>
      <c r="K556" s="35" t="n">
        <v>0.07343301775362288</v>
      </c>
    </row>
    <row r="557">
      <c r="A557" s="36" t="inlineStr">
        <is>
          <t>AGA SPK-tilskudd</t>
        </is>
      </c>
      <c r="B557" s="36" t="inlineStr">
        <is>
          <t>Region Nord</t>
        </is>
      </c>
      <c r="C557" s="36" t="inlineStr">
        <is>
          <t>Bodø behandlingssenter Sandhornet</t>
        </is>
      </c>
      <c r="D557" s="26" t="n">
        <v>47700</v>
      </c>
      <c r="E557" s="26" t="n">
        <v>47955</v>
      </c>
      <c r="F557" s="26" t="n">
        <v>50818</v>
      </c>
      <c r="G557" s="26" t="n">
        <v>66242</v>
      </c>
      <c r="H557" s="26" t="n">
        <v>75064</v>
      </c>
      <c r="I557" s="26" t="n">
        <v>79427</v>
      </c>
      <c r="J557" s="19" t="n">
        <v>97397.55873382604</v>
      </c>
      <c r="K557" s="37" t="n">
        <v>0.1073628663775013</v>
      </c>
    </row>
    <row r="558">
      <c r="A558" s="34" t="inlineStr">
        <is>
          <t>AGA SPK-tilskudd</t>
        </is>
      </c>
      <c r="B558" s="34" t="inlineStr">
        <is>
          <t>Region Nord</t>
        </is>
      </c>
      <c r="C558" s="34" t="inlineStr">
        <is>
          <t>Bodø behandlingssenter Sandhornet</t>
        </is>
      </c>
      <c r="D558" s="18" t="n"/>
      <c r="E558" s="18" t="n"/>
      <c r="F558" s="18" t="n">
        <v>16900</v>
      </c>
      <c r="G558" s="18" t="n"/>
      <c r="H558" s="18" t="n"/>
      <c r="I558" s="18" t="n"/>
      <c r="J558" s="19" t="n">
        <v>0</v>
      </c>
      <c r="K558" s="35" t="n">
        <v>0.065</v>
      </c>
    </row>
    <row r="559">
      <c r="A559" s="36" t="inlineStr">
        <is>
          <t>AGA SPK-tilskudd</t>
        </is>
      </c>
      <c r="B559" s="36" t="inlineStr">
        <is>
          <t>Region Nord</t>
        </is>
      </c>
      <c r="C559" s="36" t="inlineStr">
        <is>
          <t>Bodø behandlingssenter Sandhornet</t>
        </is>
      </c>
      <c r="D559" s="26" t="n">
        <v>203</v>
      </c>
      <c r="E559" s="26" t="n"/>
      <c r="F559" s="26" t="n">
        <v>266</v>
      </c>
      <c r="G559" s="26" t="n">
        <v>147</v>
      </c>
      <c r="H559" s="26" t="n">
        <v>1086</v>
      </c>
      <c r="I559" s="26" t="n"/>
      <c r="J559" s="19" t="n">
        <v>0</v>
      </c>
      <c r="K559" s="37" t="n">
        <v>0.065</v>
      </c>
    </row>
    <row r="560">
      <c r="A560" s="34" t="inlineStr">
        <is>
          <t>AGA SPK-tilskudd</t>
        </is>
      </c>
      <c r="B560" s="34" t="inlineStr">
        <is>
          <t>Region Nord</t>
        </is>
      </c>
      <c r="C560" s="34" t="inlineStr">
        <is>
          <t>Bodø behandlingssenter Sandhornet</t>
        </is>
      </c>
      <c r="D560" s="18" t="n">
        <v>11719</v>
      </c>
      <c r="E560" s="18" t="n">
        <v>27092</v>
      </c>
      <c r="F560" s="18" t="n">
        <v>15932</v>
      </c>
      <c r="G560" s="18" t="n">
        <v>18158</v>
      </c>
      <c r="H560" s="18" t="n">
        <v>11264</v>
      </c>
      <c r="I560" s="18" t="n">
        <v>9115</v>
      </c>
      <c r="J560" s="19" t="n">
        <v>8243.338246419791</v>
      </c>
      <c r="K560" s="35" t="n">
        <v>-0.04901597019189674</v>
      </c>
    </row>
    <row r="561">
      <c r="A561" s="36" t="inlineStr">
        <is>
          <t>AGA SPK-tilskudd</t>
        </is>
      </c>
      <c r="B561" s="36" t="inlineStr">
        <is>
          <t>Region Nord</t>
        </is>
      </c>
      <c r="C561" s="36" t="inlineStr">
        <is>
          <t>Bodø behandlingssenter Sandhornet</t>
        </is>
      </c>
      <c r="D561" s="26" t="n">
        <v>4200</v>
      </c>
      <c r="E561" s="26" t="n"/>
      <c r="F561" s="26" t="n">
        <v>510</v>
      </c>
      <c r="G561" s="26" t="n">
        <v>199</v>
      </c>
      <c r="H561" s="26" t="n"/>
      <c r="I561" s="26" t="n">
        <v>500</v>
      </c>
      <c r="J561" s="19" t="n">
        <v>281.25</v>
      </c>
      <c r="K561" s="37" t="n">
        <v>-0.25</v>
      </c>
    </row>
    <row r="562">
      <c r="A562" s="34" t="inlineStr">
        <is>
          <t>AGA SPK-tilskudd</t>
        </is>
      </c>
      <c r="B562" s="34" t="inlineStr">
        <is>
          <t>Region Nord</t>
        </is>
      </c>
      <c r="C562" s="34" t="inlineStr">
        <is>
          <t>Bodø behandlingssenter Sandhornet</t>
        </is>
      </c>
      <c r="D562" s="18" t="n">
        <v>474</v>
      </c>
      <c r="E562" s="18" t="n">
        <v>1028</v>
      </c>
      <c r="F562" s="18" t="n">
        <v>4467</v>
      </c>
      <c r="G562" s="18" t="n">
        <v>5062</v>
      </c>
      <c r="H562" s="18" t="n">
        <v>7979</v>
      </c>
      <c r="I562" s="18" t="n"/>
      <c r="J562" s="19" t="n">
        <v>0</v>
      </c>
      <c r="K562" s="35" t="n">
        <v>0.065</v>
      </c>
    </row>
    <row r="563">
      <c r="A563" s="36" t="inlineStr">
        <is>
          <t>AGA SPK-tilskudd</t>
        </is>
      </c>
      <c r="B563" s="36" t="inlineStr">
        <is>
          <t>Region Nord</t>
        </is>
      </c>
      <c r="C563" s="36" t="inlineStr">
        <is>
          <t>Bodø behandlingssenter Sandhornet</t>
        </is>
      </c>
      <c r="D563" s="26" t="n">
        <v>3794</v>
      </c>
      <c r="E563" s="26" t="n">
        <v>7892</v>
      </c>
      <c r="F563" s="26" t="n">
        <v>3506</v>
      </c>
      <c r="G563" s="26" t="n">
        <v>6014</v>
      </c>
      <c r="H563" s="26" t="n">
        <v>4923</v>
      </c>
      <c r="I563" s="26" t="n">
        <v>3650</v>
      </c>
      <c r="J563" s="19" t="n">
        <v>3593.942128676329</v>
      </c>
      <c r="K563" s="37" t="n">
        <v>-0.007708873823107698</v>
      </c>
    </row>
    <row r="564">
      <c r="A564" s="34" t="inlineStr">
        <is>
          <t>AGA SPK-tilskudd</t>
        </is>
      </c>
      <c r="B564" s="34" t="inlineStr">
        <is>
          <t>Region Nord</t>
        </is>
      </c>
      <c r="C564" s="34" t="inlineStr">
        <is>
          <t>Bodø behandlingssenter Sandhornet</t>
        </is>
      </c>
      <c r="D564" s="18" t="n">
        <v>15750</v>
      </c>
      <c r="E564" s="18" t="n">
        <v>8251</v>
      </c>
      <c r="F564" s="18" t="n"/>
      <c r="G564" s="18" t="n"/>
      <c r="H564" s="18" t="n"/>
      <c r="I564" s="18" t="n"/>
      <c r="J564" s="19" t="n">
        <v>0</v>
      </c>
      <c r="K564" s="35" t="n">
        <v>0.065</v>
      </c>
    </row>
    <row r="565">
      <c r="A565" s="36" t="inlineStr">
        <is>
          <t>AGA SPK-tilskudd</t>
        </is>
      </c>
      <c r="B565" s="36" t="inlineStr">
        <is>
          <t>Region Nord</t>
        </is>
      </c>
      <c r="C565" s="36" t="inlineStr">
        <is>
          <t>Bodø behandlingssenter Sandhornet</t>
        </is>
      </c>
      <c r="D565" s="26" t="n"/>
      <c r="E565" s="26" t="n">
        <v>4740</v>
      </c>
      <c r="F565" s="26" t="n"/>
      <c r="G565" s="26" t="n">
        <v>1895</v>
      </c>
      <c r="H565" s="26" t="n"/>
      <c r="I565" s="26" t="n"/>
      <c r="J565" s="19" t="n">
        <v>0</v>
      </c>
      <c r="K565" s="37" t="n">
        <v>0.065</v>
      </c>
    </row>
    <row r="566">
      <c r="A566" s="34" t="inlineStr">
        <is>
          <t>AGA SPK-tilskudd</t>
        </is>
      </c>
      <c r="B566" s="34" t="inlineStr">
        <is>
          <t>Region Nord</t>
        </is>
      </c>
      <c r="C566" s="34" t="inlineStr">
        <is>
          <t>Bodø behandlingssenter Sandhornet</t>
        </is>
      </c>
      <c r="D566" s="18" t="n">
        <v>10500</v>
      </c>
      <c r="E566" s="18" t="n"/>
      <c r="F566" s="18" t="n"/>
      <c r="G566" s="18" t="n"/>
      <c r="H566" s="18" t="n"/>
      <c r="I566" s="18" t="n"/>
      <c r="J566" s="19" t="n">
        <v>0</v>
      </c>
      <c r="K566" s="35" t="n">
        <v>0.065</v>
      </c>
    </row>
    <row r="567">
      <c r="A567" s="36" t="inlineStr">
        <is>
          <t>AGA SPK-tilskudd</t>
        </is>
      </c>
      <c r="B567" s="36" t="inlineStr">
        <is>
          <t>Region Nord</t>
        </is>
      </c>
      <c r="C567" s="36" t="inlineStr">
        <is>
          <t>Bodø behandlingssenter Sandhornet</t>
        </is>
      </c>
      <c r="D567" s="26" t="n">
        <v>-16201</v>
      </c>
      <c r="E567" s="26" t="n">
        <v>-15360</v>
      </c>
      <c r="F567" s="26" t="n">
        <v>-36560</v>
      </c>
      <c r="G567" s="26" t="n">
        <v>-26411</v>
      </c>
      <c r="H567" s="26" t="n">
        <v>-16694</v>
      </c>
      <c r="I567" s="26" t="n">
        <v>-400</v>
      </c>
      <c r="J567" s="19" t="n">
        <v>-453.6899999999999</v>
      </c>
      <c r="K567" s="37" t="n">
        <v>0.065</v>
      </c>
    </row>
    <row r="568">
      <c r="A568" s="34" t="inlineStr">
        <is>
          <t>AGA SPK-tilskudd</t>
        </is>
      </c>
      <c r="B568" s="34" t="inlineStr">
        <is>
          <t>Region Nord</t>
        </is>
      </c>
      <c r="C568" s="34" t="inlineStr">
        <is>
          <t>Bodø behandlingssenter Sandhornet</t>
        </is>
      </c>
      <c r="D568" s="18" t="n"/>
      <c r="E568" s="18" t="n"/>
      <c r="F568" s="18" t="n"/>
      <c r="G568" s="18" t="n"/>
      <c r="H568" s="18" t="n"/>
      <c r="I568" s="18" t="n">
        <v>-24800</v>
      </c>
      <c r="J568" s="19" t="n">
        <v>-28128.78</v>
      </c>
      <c r="K568" s="35" t="n">
        <v>0.065</v>
      </c>
    </row>
    <row r="569">
      <c r="A569" s="36" t="inlineStr">
        <is>
          <t>AGA SPK-tilskudd</t>
        </is>
      </c>
      <c r="B569" s="36" t="inlineStr">
        <is>
          <t>Region Nord</t>
        </is>
      </c>
      <c r="C569" s="36" t="inlineStr">
        <is>
          <t>Bodø behandlingssenter Sandhornet</t>
        </is>
      </c>
      <c r="D569" s="26" t="n">
        <v>-144780</v>
      </c>
      <c r="E569" s="26" t="n">
        <v>-24550</v>
      </c>
      <c r="F569" s="26" t="n">
        <v>-640833</v>
      </c>
      <c r="G569" s="26" t="n">
        <v>-792950</v>
      </c>
      <c r="H569" s="26" t="n">
        <v>-1322791</v>
      </c>
      <c r="I569" s="26" t="n">
        <v>-184729</v>
      </c>
      <c r="J569" s="19" t="n">
        <v>-209524.250025</v>
      </c>
      <c r="K569" s="37" t="n">
        <v>0.065</v>
      </c>
    </row>
    <row r="570">
      <c r="A570" s="34" t="inlineStr">
        <is>
          <t>AGA SPK-tilskudd</t>
        </is>
      </c>
      <c r="B570" s="34" t="inlineStr">
        <is>
          <t>Region Nord</t>
        </is>
      </c>
      <c r="C570" s="34" t="inlineStr">
        <is>
          <t>Bodø behandlingssenter Sandhornet</t>
        </is>
      </c>
      <c r="D570" s="18" t="n">
        <v>-964031</v>
      </c>
      <c r="E570" s="18" t="n">
        <v>-424461</v>
      </c>
      <c r="F570" s="18" t="n">
        <v>-952519</v>
      </c>
      <c r="G570" s="18" t="n">
        <v>-1811293</v>
      </c>
      <c r="H570" s="18" t="n">
        <v>-1991181</v>
      </c>
      <c r="I570" s="18" t="n">
        <v>-1505792</v>
      </c>
      <c r="J570" s="19" t="n">
        <v>-1707906.9312</v>
      </c>
      <c r="K570" s="35" t="n">
        <v>0.065</v>
      </c>
    </row>
    <row r="571">
      <c r="A571" s="36" t="inlineStr">
        <is>
          <t>AGA SPK-tilskudd</t>
        </is>
      </c>
      <c r="B571" s="36" t="inlineStr">
        <is>
          <t>Region Nord</t>
        </is>
      </c>
      <c r="C571" s="36" t="inlineStr">
        <is>
          <t>Bodø behandlingssenter adm</t>
        </is>
      </c>
      <c r="D571" s="26" t="n">
        <v>18341</v>
      </c>
      <c r="E571" s="26" t="n">
        <v>15812</v>
      </c>
      <c r="F571" s="26" t="n">
        <v>14270</v>
      </c>
      <c r="G571" s="26" t="n">
        <v>14639</v>
      </c>
      <c r="H571" s="26" t="n">
        <v>14345</v>
      </c>
      <c r="I571" s="26" t="n">
        <v>14492</v>
      </c>
      <c r="J571" s="19" t="n">
        <v>13188.95696455652</v>
      </c>
      <c r="K571" s="37" t="n">
        <v>-0.04601606145970161</v>
      </c>
    </row>
    <row r="572">
      <c r="A572" s="34" t="inlineStr">
        <is>
          <t>AGA SPK-tilskudd</t>
        </is>
      </c>
      <c r="B572" s="34" t="inlineStr">
        <is>
          <t>Region Nord</t>
        </is>
      </c>
      <c r="C572" s="34" t="inlineStr">
        <is>
          <t>Bodø behandlingssenter adm</t>
        </is>
      </c>
      <c r="D572" s="18" t="n">
        <v>21241</v>
      </c>
      <c r="E572" s="18" t="n">
        <v>58140</v>
      </c>
      <c r="F572" s="18" t="n">
        <v>88451</v>
      </c>
      <c r="G572" s="18" t="n">
        <v>28245</v>
      </c>
      <c r="H572" s="18" t="n">
        <v>63878</v>
      </c>
      <c r="I572" s="18" t="n">
        <v>37630</v>
      </c>
      <c r="J572" s="19" t="n">
        <v>47301.82772867722</v>
      </c>
      <c r="K572" s="35" t="n">
        <v>0.1211709897330113</v>
      </c>
    </row>
    <row r="573">
      <c r="A573" s="36" t="inlineStr">
        <is>
          <t>AGA SPK-tilskudd</t>
        </is>
      </c>
      <c r="B573" s="36" t="inlineStr">
        <is>
          <t>Region Nord</t>
        </is>
      </c>
      <c r="C573" s="36" t="inlineStr">
        <is>
          <t>Bodø behandlingssenter adm</t>
        </is>
      </c>
      <c r="D573" s="26" t="n">
        <v>3600</v>
      </c>
      <c r="E573" s="26" t="n">
        <v>3681</v>
      </c>
      <c r="F573" s="26" t="n">
        <v>3681</v>
      </c>
      <c r="G573" s="26" t="n">
        <v>4779</v>
      </c>
      <c r="H573" s="26" t="n">
        <v>4995</v>
      </c>
      <c r="I573" s="26" t="n">
        <v>5190</v>
      </c>
      <c r="J573" s="19" t="n">
        <v>6007.770038601857</v>
      </c>
      <c r="K573" s="37" t="n">
        <v>0.07590263566280786</v>
      </c>
    </row>
    <row r="574">
      <c r="A574" s="34" t="inlineStr">
        <is>
          <t>AGA SPK-tilskudd</t>
        </is>
      </c>
      <c r="B574" s="34" t="inlineStr">
        <is>
          <t>Region Nord</t>
        </is>
      </c>
      <c r="C574" s="34" t="inlineStr">
        <is>
          <t>Bodø behandlingssenter adm</t>
        </is>
      </c>
      <c r="D574" s="18" t="n"/>
      <c r="E574" s="18" t="n"/>
      <c r="F574" s="18" t="n"/>
      <c r="G574" s="18" t="n"/>
      <c r="H574" s="18" t="n">
        <v>185763</v>
      </c>
      <c r="I574" s="18" t="n">
        <v>47215</v>
      </c>
      <c r="J574" s="19" t="n">
        <v>53552.43337499999</v>
      </c>
      <c r="K574" s="35" t="n">
        <v>0.065</v>
      </c>
    </row>
    <row r="575">
      <c r="A575" s="36" t="inlineStr">
        <is>
          <t>AGA SPK-tilskudd</t>
        </is>
      </c>
      <c r="B575" s="36" t="inlineStr">
        <is>
          <t>Region Nord</t>
        </is>
      </c>
      <c r="C575" s="36" t="inlineStr">
        <is>
          <t>Bodø behandlingssenter adm</t>
        </is>
      </c>
      <c r="D575" s="26" t="n">
        <v>1817</v>
      </c>
      <c r="E575" s="26" t="n">
        <v>3502</v>
      </c>
      <c r="F575" s="26" t="n">
        <v>906</v>
      </c>
      <c r="G575" s="26" t="n">
        <v>1998</v>
      </c>
      <c r="H575" s="26" t="n">
        <v>704</v>
      </c>
      <c r="I575" s="26" t="n"/>
      <c r="J575" s="19" t="n">
        <v>0</v>
      </c>
      <c r="K575" s="37" t="n">
        <v>0.065</v>
      </c>
    </row>
    <row r="576">
      <c r="A576" s="34" t="inlineStr">
        <is>
          <t>AGA SPK-tilskudd</t>
        </is>
      </c>
      <c r="B576" s="34" t="inlineStr">
        <is>
          <t>Region Nord</t>
        </is>
      </c>
      <c r="C576" s="34" t="inlineStr">
        <is>
          <t>Bodø behandlingssenter adm</t>
        </is>
      </c>
      <c r="D576" s="18" t="n">
        <v>1397</v>
      </c>
      <c r="E576" s="18" t="n">
        <v>3116</v>
      </c>
      <c r="F576" s="18" t="n">
        <v>7546</v>
      </c>
      <c r="G576" s="18" t="n">
        <v>3764</v>
      </c>
      <c r="H576" s="18" t="n">
        <v>5301</v>
      </c>
      <c r="I576" s="18" t="n">
        <v>5851</v>
      </c>
      <c r="J576" s="19" t="n">
        <v>9142.1875</v>
      </c>
      <c r="K576" s="35" t="n">
        <v>0.25</v>
      </c>
    </row>
    <row r="577">
      <c r="A577" s="36" t="inlineStr">
        <is>
          <t>AGA SPK-tilskudd</t>
        </is>
      </c>
      <c r="B577" s="36" t="inlineStr">
        <is>
          <t>Region Nord</t>
        </is>
      </c>
      <c r="C577" s="36" t="inlineStr">
        <is>
          <t>Bodø behandlingssenter adm</t>
        </is>
      </c>
      <c r="D577" s="26" t="n">
        <v>8300</v>
      </c>
      <c r="E577" s="26" t="n">
        <v>22654</v>
      </c>
      <c r="F577" s="26" t="n">
        <v>20366</v>
      </c>
      <c r="G577" s="26" t="n">
        <v>19024</v>
      </c>
      <c r="H577" s="26" t="n">
        <v>24484</v>
      </c>
      <c r="I577" s="26" t="n">
        <v>21932</v>
      </c>
      <c r="J577" s="19" t="n">
        <v>32350.29871126977</v>
      </c>
      <c r="K577" s="37" t="n">
        <v>0.2145070187223652</v>
      </c>
    </row>
    <row r="578">
      <c r="A578" s="34" t="inlineStr">
        <is>
          <t>AGA SPK-tilskudd</t>
        </is>
      </c>
      <c r="B578" s="34" t="inlineStr">
        <is>
          <t>Region Nord</t>
        </is>
      </c>
      <c r="C578" s="34" t="inlineStr">
        <is>
          <t>Bodø behandlingssenter adm</t>
        </is>
      </c>
      <c r="D578" s="18" t="n">
        <v>4074</v>
      </c>
      <c r="E578" s="18" t="n">
        <v>4522</v>
      </c>
      <c r="F578" s="18" t="n">
        <v>13744</v>
      </c>
      <c r="G578" s="18" t="n">
        <v>17759</v>
      </c>
      <c r="H578" s="18" t="n">
        <v>19608</v>
      </c>
      <c r="I578" s="18" t="n">
        <v>10669</v>
      </c>
      <c r="J578" s="19" t="n">
        <v>15680.67635961051</v>
      </c>
      <c r="K578" s="35" t="n">
        <v>0.2123291230817956</v>
      </c>
    </row>
    <row r="579">
      <c r="A579" s="36" t="inlineStr">
        <is>
          <t>AGA SPK-tilskudd</t>
        </is>
      </c>
      <c r="B579" s="36" t="inlineStr">
        <is>
          <t>Region Nord</t>
        </is>
      </c>
      <c r="C579" s="36" t="inlineStr">
        <is>
          <t>Bodø behandlingssenter adm</t>
        </is>
      </c>
      <c r="D579" s="26" t="n">
        <v>306</v>
      </c>
      <c r="E579" s="26" t="n">
        <v>7583</v>
      </c>
      <c r="F579" s="26" t="n">
        <v>1647</v>
      </c>
      <c r="G579" s="26" t="n">
        <v>1124</v>
      </c>
      <c r="H579" s="26" t="n">
        <v>1647</v>
      </c>
      <c r="I579" s="26" t="n">
        <v>1982</v>
      </c>
      <c r="J579" s="19" t="n">
        <v>3096.875</v>
      </c>
      <c r="K579" s="37" t="n">
        <v>0.25</v>
      </c>
    </row>
    <row r="580">
      <c r="A580" s="34" t="inlineStr">
        <is>
          <t>AGA SPK-tilskudd</t>
        </is>
      </c>
      <c r="B580" s="34" t="inlineStr">
        <is>
          <t>Region Nord</t>
        </is>
      </c>
      <c r="C580" s="34" t="inlineStr">
        <is>
          <t>Bodø behandlingssenter adm</t>
        </is>
      </c>
      <c r="D580" s="18" t="n"/>
      <c r="E580" s="18" t="n">
        <v>3380</v>
      </c>
      <c r="F580" s="18" t="n"/>
      <c r="G580" s="18" t="n"/>
      <c r="H580" s="18" t="n">
        <v>4690</v>
      </c>
      <c r="I580" s="18" t="n"/>
      <c r="J580" s="19" t="n">
        <v>0</v>
      </c>
      <c r="K580" s="35" t="n">
        <v>0.065</v>
      </c>
    </row>
    <row r="581">
      <c r="A581" s="36" t="inlineStr">
        <is>
          <t>AGA SPK-tilskudd</t>
        </is>
      </c>
      <c r="B581" s="36" t="inlineStr">
        <is>
          <t>Region Nord</t>
        </is>
      </c>
      <c r="C581" s="36" t="inlineStr">
        <is>
          <t>Bodø behandlingssenter adm</t>
        </is>
      </c>
      <c r="D581" s="26" t="n">
        <v>17446</v>
      </c>
      <c r="E581" s="26" t="n"/>
      <c r="F581" s="26" t="n"/>
      <c r="G581" s="26" t="n"/>
      <c r="H581" s="26" t="n"/>
      <c r="I581" s="26" t="n"/>
      <c r="J581" s="19" t="n">
        <v>0</v>
      </c>
      <c r="K581" s="37" t="n">
        <v>0.065</v>
      </c>
    </row>
    <row r="582">
      <c r="A582" s="34" t="inlineStr">
        <is>
          <t>AGA SPK-tilskudd</t>
        </is>
      </c>
      <c r="B582" s="34" t="inlineStr">
        <is>
          <t>Region Nord</t>
        </is>
      </c>
      <c r="C582" s="34" t="inlineStr">
        <is>
          <t>Bodø behandlingssenter adm</t>
        </is>
      </c>
      <c r="D582" s="18" t="n">
        <v>11729</v>
      </c>
      <c r="E582" s="18" t="n">
        <v>34935</v>
      </c>
      <c r="F582" s="18" t="n">
        <v>45177</v>
      </c>
      <c r="G582" s="18" t="n">
        <v>20137</v>
      </c>
      <c r="H582" s="18" t="n">
        <v>25915</v>
      </c>
      <c r="I582" s="18" t="n">
        <v>42835</v>
      </c>
      <c r="J582" s="19" t="n">
        <v>66929.6875</v>
      </c>
      <c r="K582" s="35" t="n">
        <v>0.25</v>
      </c>
    </row>
    <row r="583">
      <c r="A583" s="36" t="inlineStr">
        <is>
          <t>AGA SPK-tilskudd</t>
        </is>
      </c>
      <c r="B583" s="36" t="inlineStr">
        <is>
          <t>Region Nord</t>
        </is>
      </c>
      <c r="C583" s="36" t="inlineStr">
        <is>
          <t>Bodø behandlingssenter adm</t>
        </is>
      </c>
      <c r="D583" s="26" t="n"/>
      <c r="E583" s="26" t="n"/>
      <c r="F583" s="26" t="n"/>
      <c r="G583" s="26" t="n"/>
      <c r="H583" s="26" t="n"/>
      <c r="I583" s="26" t="n">
        <v>-15000</v>
      </c>
      <c r="J583" s="19" t="n">
        <v>-17013.375</v>
      </c>
      <c r="K583" s="37" t="n">
        <v>0.065</v>
      </c>
    </row>
    <row r="584">
      <c r="A584" s="34" t="inlineStr">
        <is>
          <t>AGA SPK-tilskudd</t>
        </is>
      </c>
      <c r="B584" s="34" t="inlineStr">
        <is>
          <t>Region Nord</t>
        </is>
      </c>
      <c r="C584" s="34" t="inlineStr">
        <is>
          <t>Bodø behandlingssenter adm</t>
        </is>
      </c>
      <c r="D584" s="18" t="n"/>
      <c r="E584" s="18" t="n"/>
      <c r="F584" s="18" t="n"/>
      <c r="G584" s="18" t="n"/>
      <c r="H584" s="18" t="n">
        <v>-12950</v>
      </c>
      <c r="I584" s="18" t="n">
        <v>-7571</v>
      </c>
      <c r="J584" s="19" t="n">
        <v>-8587.217474999999</v>
      </c>
      <c r="K584" s="35" t="n">
        <v>0.065</v>
      </c>
    </row>
    <row r="585">
      <c r="A585" s="36" t="inlineStr">
        <is>
          <t>AGA SPK-tilskudd</t>
        </is>
      </c>
      <c r="B585" s="36" t="inlineStr">
        <is>
          <t>Region Nord</t>
        </is>
      </c>
      <c r="C585" s="36" t="inlineStr">
        <is>
          <t>Bodø behandlingssenter avdeling 3</t>
        </is>
      </c>
      <c r="D585" s="26" t="n"/>
      <c r="E585" s="26" t="n"/>
      <c r="F585" s="26" t="n"/>
      <c r="G585" s="26" t="n"/>
      <c r="H585" s="26" t="n"/>
      <c r="I585" s="26" t="n">
        <v>1940</v>
      </c>
      <c r="J585" s="19" t="n">
        <v>2200.3965</v>
      </c>
      <c r="K585" s="37" t="n">
        <v>0.065</v>
      </c>
    </row>
    <row r="586">
      <c r="A586" s="34" t="inlineStr">
        <is>
          <t>AGA SPK-tilskudd</t>
        </is>
      </c>
      <c r="B586" s="34" t="inlineStr">
        <is>
          <t>Region Nord</t>
        </is>
      </c>
      <c r="C586" s="34" t="inlineStr">
        <is>
          <t>Bodø behandlingssenter avdeling 3</t>
        </is>
      </c>
      <c r="D586" s="18" t="n"/>
      <c r="E586" s="18" t="n"/>
      <c r="F586" s="18" t="n"/>
      <c r="G586" s="18" t="n"/>
      <c r="H586" s="18" t="n"/>
      <c r="I586" s="18" t="n">
        <v>865</v>
      </c>
      <c r="J586" s="19" t="n">
        <v>981.1046249999998</v>
      </c>
      <c r="K586" s="35" t="n">
        <v>0.065</v>
      </c>
    </row>
    <row r="587">
      <c r="A587" s="36" t="inlineStr">
        <is>
          <t>AGA SPK-tilskudd</t>
        </is>
      </c>
      <c r="B587" s="36" t="inlineStr">
        <is>
          <t>Region Nord</t>
        </is>
      </c>
      <c r="C587" s="36" t="inlineStr">
        <is>
          <t>Bodø behandlingssenter avdeling 3</t>
        </is>
      </c>
      <c r="D587" s="26" t="n"/>
      <c r="E587" s="26" t="n"/>
      <c r="F587" s="26" t="n"/>
      <c r="G587" s="26" t="n"/>
      <c r="H587" s="26" t="n"/>
      <c r="I587" s="26" t="n">
        <v>678</v>
      </c>
      <c r="J587" s="19" t="n">
        <v>769.0045499999999</v>
      </c>
      <c r="K587" s="37" t="n">
        <v>0.065</v>
      </c>
    </row>
    <row r="588">
      <c r="A588" s="34" t="inlineStr">
        <is>
          <t>AGA SPK-tilskudd</t>
        </is>
      </c>
      <c r="B588" s="34" t="inlineStr">
        <is>
          <t>Region Nord</t>
        </is>
      </c>
      <c r="C588" s="34" t="inlineStr">
        <is>
          <t>Bodø behandlingssenter avdeling 3</t>
        </is>
      </c>
      <c r="D588" s="18" t="n"/>
      <c r="E588" s="18" t="n"/>
      <c r="F588" s="18" t="n"/>
      <c r="G588" s="18" t="n"/>
      <c r="H588" s="18" t="n"/>
      <c r="I588" s="18" t="n">
        <v>298</v>
      </c>
      <c r="J588" s="19" t="n">
        <v>337.99905</v>
      </c>
      <c r="K588" s="35" t="n">
        <v>0.065</v>
      </c>
    </row>
    <row r="589">
      <c r="A589" s="36" t="inlineStr">
        <is>
          <t>AGA SPK-tilskudd</t>
        </is>
      </c>
      <c r="B589" s="36" t="inlineStr">
        <is>
          <t>Region Nord</t>
        </is>
      </c>
      <c r="C589" s="36" t="inlineStr">
        <is>
          <t>Enhet for inntak avd. akutt</t>
        </is>
      </c>
      <c r="D589" s="26" t="n"/>
      <c r="E589" s="26" t="n"/>
      <c r="F589" s="26" t="n"/>
      <c r="G589" s="26" t="n"/>
      <c r="H589" s="26" t="n">
        <v>4329</v>
      </c>
      <c r="I589" s="26" t="n">
        <v>4536</v>
      </c>
      <c r="J589" s="19" t="n">
        <v>5144.844599999999</v>
      </c>
      <c r="K589" s="37" t="n">
        <v>0.065</v>
      </c>
    </row>
    <row r="590">
      <c r="A590" s="34" t="inlineStr">
        <is>
          <t>AGA SPK-tilskudd</t>
        </is>
      </c>
      <c r="B590" s="34" t="inlineStr">
        <is>
          <t>Region Nord</t>
        </is>
      </c>
      <c r="C590" s="34" t="inlineStr">
        <is>
          <t>Enhet for inntak avd. akutt</t>
        </is>
      </c>
      <c r="D590" s="18" t="n"/>
      <c r="E590" s="18" t="n"/>
      <c r="F590" s="18" t="n">
        <v>-91</v>
      </c>
      <c r="G590" s="18" t="n"/>
      <c r="H590" s="18" t="n"/>
      <c r="I590" s="18" t="n"/>
      <c r="J590" s="19" t="n">
        <v>0</v>
      </c>
      <c r="K590" s="35" t="n">
        <v>0.065</v>
      </c>
    </row>
    <row r="591">
      <c r="A591" s="36" t="inlineStr">
        <is>
          <t>AGA SPK-tilskudd</t>
        </is>
      </c>
      <c r="B591" s="36" t="inlineStr">
        <is>
          <t>Region Nord</t>
        </is>
      </c>
      <c r="C591" s="36" t="inlineStr">
        <is>
          <t>Enhet for inntak avd. akutt</t>
        </is>
      </c>
      <c r="D591" s="26" t="n"/>
      <c r="E591" s="26" t="n"/>
      <c r="F591" s="26" t="n"/>
      <c r="G591" s="26" t="n"/>
      <c r="H591" s="26" t="n">
        <v>1804</v>
      </c>
      <c r="I591" s="26" t="n">
        <v>1730</v>
      </c>
      <c r="J591" s="19" t="n">
        <v>1962.20925</v>
      </c>
      <c r="K591" s="37" t="n">
        <v>0.065</v>
      </c>
    </row>
    <row r="592">
      <c r="A592" s="34" t="inlineStr">
        <is>
          <t>AGA SPK-tilskudd</t>
        </is>
      </c>
      <c r="B592" s="34" t="inlineStr">
        <is>
          <t>Region Nord</t>
        </is>
      </c>
      <c r="C592" s="34" t="inlineStr">
        <is>
          <t>Enhet for inntak avd. akutt</t>
        </is>
      </c>
      <c r="D592" s="18" t="n"/>
      <c r="E592" s="18" t="n"/>
      <c r="F592" s="18" t="n"/>
      <c r="G592" s="18" t="n"/>
      <c r="H592" s="18" t="n">
        <v>3948</v>
      </c>
      <c r="I592" s="18" t="n">
        <v>2824</v>
      </c>
      <c r="J592" s="19" t="n">
        <v>3203.051399999999</v>
      </c>
      <c r="K592" s="35" t="n">
        <v>0.065</v>
      </c>
    </row>
    <row r="593">
      <c r="A593" s="36" t="inlineStr">
        <is>
          <t>AGA SPK-tilskudd</t>
        </is>
      </c>
      <c r="B593" s="36" t="inlineStr">
        <is>
          <t>Region Nord</t>
        </is>
      </c>
      <c r="C593" s="36" t="inlineStr">
        <is>
          <t>Enhet for inntak avd. akutt</t>
        </is>
      </c>
      <c r="D593" s="26" t="n"/>
      <c r="E593" s="26" t="n"/>
      <c r="F593" s="26" t="n"/>
      <c r="G593" s="26" t="n"/>
      <c r="H593" s="26" t="n">
        <v>726</v>
      </c>
      <c r="I593" s="26" t="n">
        <v>815</v>
      </c>
      <c r="J593" s="19" t="n">
        <v>924.3933749999999</v>
      </c>
      <c r="K593" s="37" t="n">
        <v>0.065</v>
      </c>
    </row>
    <row r="594">
      <c r="A594" s="34" t="inlineStr">
        <is>
          <t>AGA SPK-tilskudd</t>
        </is>
      </c>
      <c r="B594" s="34" t="inlineStr">
        <is>
          <t>Region Nord</t>
        </is>
      </c>
      <c r="C594" s="34" t="inlineStr">
        <is>
          <t>Enhet for inntak avd. akutt</t>
        </is>
      </c>
      <c r="D594" s="18" t="n"/>
      <c r="E594" s="18" t="n"/>
      <c r="F594" s="18" t="n"/>
      <c r="G594" s="18" t="n"/>
      <c r="H594" s="18" t="n"/>
      <c r="I594" s="18" t="n">
        <v>7470</v>
      </c>
      <c r="J594" s="19" t="n">
        <v>8472.660749999999</v>
      </c>
      <c r="K594" s="35" t="n">
        <v>0.065</v>
      </c>
    </row>
    <row r="595">
      <c r="A595" s="36" t="inlineStr">
        <is>
          <t>AGA SPK-tilskudd</t>
        </is>
      </c>
      <c r="B595" s="36" t="inlineStr">
        <is>
          <t>Region Nord</t>
        </is>
      </c>
      <c r="C595" s="36" t="inlineStr">
        <is>
          <t>Enhet for inntak avd. akutt</t>
        </is>
      </c>
      <c r="D595" s="26" t="n"/>
      <c r="E595" s="26" t="n"/>
      <c r="F595" s="26" t="n"/>
      <c r="G595" s="26" t="n"/>
      <c r="H595" s="26" t="n">
        <v>-3000</v>
      </c>
      <c r="I595" s="26" t="n">
        <v>-3000</v>
      </c>
      <c r="J595" s="19" t="n">
        <v>-3402.674999999999</v>
      </c>
      <c r="K595" s="37" t="n">
        <v>0.065</v>
      </c>
    </row>
    <row r="596">
      <c r="A596" s="34" t="inlineStr">
        <is>
          <t>AGA SPK-tilskudd</t>
        </is>
      </c>
      <c r="B596" s="34" t="inlineStr">
        <is>
          <t>Region Nord</t>
        </is>
      </c>
      <c r="C596" s="34" t="inlineStr">
        <is>
          <t>Enhet for spesialiserte fosterhjem</t>
        </is>
      </c>
      <c r="D596" s="18" t="n"/>
      <c r="E596" s="18" t="n"/>
      <c r="F596" s="18" t="n">
        <v>100</v>
      </c>
      <c r="G596" s="18" t="n"/>
      <c r="H596" s="18" t="n"/>
      <c r="I596" s="18" t="n"/>
      <c r="J596" s="19" t="n">
        <v>0</v>
      </c>
      <c r="K596" s="35" t="n">
        <v>0.065</v>
      </c>
    </row>
    <row r="597">
      <c r="A597" s="36" t="inlineStr">
        <is>
          <t>AGA SPK-tilskudd</t>
        </is>
      </c>
      <c r="B597" s="36" t="inlineStr">
        <is>
          <t>Region Nord</t>
        </is>
      </c>
      <c r="C597" s="36" t="inlineStr">
        <is>
          <t>Enhet for spesialiserte fosterhjem</t>
        </is>
      </c>
      <c r="D597" s="26" t="n">
        <v>700</v>
      </c>
      <c r="E597" s="26" t="n">
        <v>1227</v>
      </c>
      <c r="F597" s="26" t="n">
        <v>1227</v>
      </c>
      <c r="G597" s="26" t="n">
        <v>1195</v>
      </c>
      <c r="H597" s="26" t="n"/>
      <c r="I597" s="26" t="n"/>
      <c r="J597" s="19" t="n">
        <v>0</v>
      </c>
      <c r="K597" s="37" t="n">
        <v>0.065</v>
      </c>
    </row>
    <row r="598">
      <c r="A598" s="34" t="inlineStr">
        <is>
          <t>AGA SPK-tilskudd</t>
        </is>
      </c>
      <c r="B598" s="34" t="inlineStr">
        <is>
          <t>Region Nord</t>
        </is>
      </c>
      <c r="C598" s="34" t="inlineStr">
        <is>
          <t>Enhet for spesialiserte fosterhjem</t>
        </is>
      </c>
      <c r="D598" s="18" t="n">
        <v>15369</v>
      </c>
      <c r="E598" s="18" t="n"/>
      <c r="F598" s="18" t="n"/>
      <c r="G598" s="18" t="n"/>
      <c r="H598" s="18" t="n"/>
      <c r="I598" s="18" t="n"/>
      <c r="J598" s="19" t="n">
        <v>0</v>
      </c>
      <c r="K598" s="35" t="n">
        <v>0.065</v>
      </c>
    </row>
    <row r="599">
      <c r="A599" s="36" t="inlineStr">
        <is>
          <t>AGA SPK-tilskudd</t>
        </is>
      </c>
      <c r="B599" s="36" t="inlineStr">
        <is>
          <t>Region Nord</t>
        </is>
      </c>
      <c r="C599" s="36" t="inlineStr">
        <is>
          <t>Enhet for spesialiserte fosterhjem</t>
        </is>
      </c>
      <c r="D599" s="26" t="n"/>
      <c r="E599" s="26" t="n"/>
      <c r="F599" s="26" t="n"/>
      <c r="G599" s="26" t="n">
        <v>-296</v>
      </c>
      <c r="H599" s="26" t="n"/>
      <c r="I599" s="26" t="n"/>
      <c r="J599" s="19" t="n">
        <v>0</v>
      </c>
      <c r="K599" s="37" t="n">
        <v>0.065</v>
      </c>
    </row>
    <row r="600">
      <c r="A600" s="34" t="inlineStr">
        <is>
          <t>AGA SPK-tilskudd</t>
        </is>
      </c>
      <c r="B600" s="34" t="inlineStr">
        <is>
          <t>Region Nord</t>
        </is>
      </c>
      <c r="C600" s="34" t="inlineStr">
        <is>
          <t>Enhet for spesialiserte fosterhjem</t>
        </is>
      </c>
      <c r="D600" s="18" t="n"/>
      <c r="E600" s="18" t="n">
        <v>925</v>
      </c>
      <c r="F600" s="18" t="n"/>
      <c r="G600" s="18" t="n"/>
      <c r="H600" s="18" t="n"/>
      <c r="I600" s="18" t="n"/>
      <c r="J600" s="19" t="n">
        <v>0</v>
      </c>
      <c r="K600" s="35" t="n">
        <v>0.065</v>
      </c>
    </row>
    <row r="601">
      <c r="A601" s="36" t="inlineStr">
        <is>
          <t>AGA SPK-tilskudd</t>
        </is>
      </c>
      <c r="B601" s="36" t="inlineStr">
        <is>
          <t>Region Nord</t>
        </is>
      </c>
      <c r="C601" s="36" t="inlineStr">
        <is>
          <t>Enhet for statlige familiehjem avd. Silsand</t>
        </is>
      </c>
      <c r="D601" s="26" t="n">
        <v>389</v>
      </c>
      <c r="E601" s="26" t="n"/>
      <c r="F601" s="26" t="n"/>
      <c r="G601" s="26" t="n"/>
      <c r="H601" s="26" t="n"/>
      <c r="I601" s="26" t="n"/>
      <c r="J601" s="19" t="n">
        <v>0</v>
      </c>
      <c r="K601" s="37" t="n">
        <v>0.065</v>
      </c>
    </row>
    <row r="602">
      <c r="A602" s="34" t="inlineStr">
        <is>
          <t>AGA SPK-tilskudd</t>
        </is>
      </c>
      <c r="B602" s="34" t="inlineStr">
        <is>
          <t>Region Nord</t>
        </is>
      </c>
      <c r="C602" s="34" t="inlineStr">
        <is>
          <t>Enhet for statlige familiehjem avd. Vadsø</t>
        </is>
      </c>
      <c r="D602" s="18" t="n">
        <v>325</v>
      </c>
      <c r="E602" s="18" t="n"/>
      <c r="F602" s="18" t="n"/>
      <c r="G602" s="18" t="n"/>
      <c r="H602" s="18" t="n"/>
      <c r="I602" s="18" t="n"/>
      <c r="J602" s="19" t="n">
        <v>0</v>
      </c>
      <c r="K602" s="35" t="n">
        <v>0.065</v>
      </c>
    </row>
    <row r="603">
      <c r="A603" s="36" t="inlineStr">
        <is>
          <t>AGA SPK-tilskudd</t>
        </is>
      </c>
      <c r="B603" s="36" t="inlineStr">
        <is>
          <t>Region Nord</t>
        </is>
      </c>
      <c r="C603" s="36" t="inlineStr">
        <is>
          <t>FHT RN - adm</t>
        </is>
      </c>
      <c r="D603" s="26" t="n"/>
      <c r="E603" s="26" t="n"/>
      <c r="F603" s="26" t="n"/>
      <c r="G603" s="26" t="n"/>
      <c r="H603" s="26" t="n"/>
      <c r="I603" s="26" t="n">
        <v>4601</v>
      </c>
      <c r="J603" s="19" t="n">
        <v>5218.569224999999</v>
      </c>
      <c r="K603" s="37" t="n">
        <v>0.065</v>
      </c>
    </row>
    <row r="604">
      <c r="A604" s="34" t="inlineStr">
        <is>
          <t>AGA SPK-tilskudd</t>
        </is>
      </c>
      <c r="B604" s="34" t="inlineStr">
        <is>
          <t>Region Nord</t>
        </is>
      </c>
      <c r="C604" s="34" t="inlineStr">
        <is>
          <t>FHT RN - formidling/oppfølging</t>
        </is>
      </c>
      <c r="D604" s="18" t="n"/>
      <c r="E604" s="18" t="n"/>
      <c r="F604" s="18" t="n">
        <v>1111</v>
      </c>
      <c r="G604" s="18" t="n">
        <v>-91</v>
      </c>
      <c r="H604" s="18" t="n"/>
      <c r="I604" s="18" t="n"/>
      <c r="J604" s="19" t="n">
        <v>0</v>
      </c>
      <c r="K604" s="35" t="n">
        <v>0.065</v>
      </c>
    </row>
    <row r="605">
      <c r="A605" s="36" t="inlineStr">
        <is>
          <t>AGA SPK-tilskudd</t>
        </is>
      </c>
      <c r="B605" s="36" t="inlineStr">
        <is>
          <t>Region Nord</t>
        </is>
      </c>
      <c r="C605" s="36" t="inlineStr">
        <is>
          <t>FHT RN - formidling/oppfølging</t>
        </is>
      </c>
      <c r="D605" s="26" t="n"/>
      <c r="E605" s="26" t="n"/>
      <c r="F605" s="26" t="n">
        <v>307</v>
      </c>
      <c r="G605" s="26" t="n"/>
      <c r="H605" s="26" t="n"/>
      <c r="I605" s="26" t="n"/>
      <c r="J605" s="19" t="n">
        <v>0</v>
      </c>
      <c r="K605" s="37" t="n">
        <v>0.065</v>
      </c>
    </row>
    <row r="606">
      <c r="A606" s="34" t="inlineStr">
        <is>
          <t>AGA SPK-tilskudd</t>
        </is>
      </c>
      <c r="B606" s="34" t="inlineStr">
        <is>
          <t>Region Nord</t>
        </is>
      </c>
      <c r="C606" s="34" t="inlineStr">
        <is>
          <t>FHT RN - formidling/oppfølging</t>
        </is>
      </c>
      <c r="D606" s="18" t="n"/>
      <c r="E606" s="18" t="n"/>
      <c r="F606" s="18" t="n">
        <v>-150</v>
      </c>
      <c r="G606" s="18" t="n">
        <v>150</v>
      </c>
      <c r="H606" s="18" t="n"/>
      <c r="I606" s="18" t="n"/>
      <c r="J606" s="19" t="n">
        <v>0</v>
      </c>
      <c r="K606" s="35" t="n">
        <v>0.065</v>
      </c>
    </row>
    <row r="607">
      <c r="A607" s="36" t="inlineStr">
        <is>
          <t>AGA SPK-tilskudd</t>
        </is>
      </c>
      <c r="B607" s="36" t="inlineStr">
        <is>
          <t>Region Nord</t>
        </is>
      </c>
      <c r="C607" s="36" t="inlineStr">
        <is>
          <t>KUS SKM Omsorg for ungdom</t>
        </is>
      </c>
      <c r="D607" s="26" t="n">
        <v>24419</v>
      </c>
      <c r="E607" s="26" t="n">
        <v>24845</v>
      </c>
      <c r="F607" s="26" t="n">
        <v>26441</v>
      </c>
      <c r="G607" s="26" t="n">
        <v>27114</v>
      </c>
      <c r="H607" s="26" t="n">
        <v>24637</v>
      </c>
      <c r="I607" s="26" t="n">
        <v>25871</v>
      </c>
      <c r="J607" s="19" t="n">
        <v>26475.69396544137</v>
      </c>
      <c r="K607" s="37" t="n">
        <v>0.01161921115266229</v>
      </c>
    </row>
    <row r="608">
      <c r="A608" s="34" t="inlineStr">
        <is>
          <t>AGA SPK-tilskudd</t>
        </is>
      </c>
      <c r="B608" s="34" t="inlineStr">
        <is>
          <t>Region Nord</t>
        </is>
      </c>
      <c r="C608" s="34" t="inlineStr">
        <is>
          <t>KUS SKM Omsorg for ungdom</t>
        </is>
      </c>
      <c r="D608" s="18" t="n">
        <v>401092</v>
      </c>
      <c r="E608" s="18" t="n">
        <v>275806</v>
      </c>
      <c r="F608" s="18" t="n">
        <v>840530</v>
      </c>
      <c r="G608" s="18" t="n">
        <v>491196</v>
      </c>
      <c r="H608" s="18" t="n">
        <v>477486</v>
      </c>
      <c r="I608" s="18" t="n">
        <v>365123</v>
      </c>
      <c r="J608" s="19" t="n">
        <v>351655.3812141388</v>
      </c>
      <c r="K608" s="35" t="n">
        <v>-0.01861585295177026</v>
      </c>
    </row>
    <row r="609">
      <c r="A609" s="36" t="inlineStr">
        <is>
          <t>AGA SPK-tilskudd</t>
        </is>
      </c>
      <c r="B609" s="36" t="inlineStr">
        <is>
          <t>Region Nord</t>
        </is>
      </c>
      <c r="C609" s="36" t="inlineStr">
        <is>
          <t>KUS SKM Omsorg for ungdom</t>
        </is>
      </c>
      <c r="D609" s="26" t="n">
        <v>6300</v>
      </c>
      <c r="E609" s="26" t="n">
        <v>8078</v>
      </c>
      <c r="F609" s="26" t="n">
        <v>10276</v>
      </c>
      <c r="G609" s="26" t="n">
        <v>12810</v>
      </c>
      <c r="H609" s="26" t="n">
        <v>13320</v>
      </c>
      <c r="I609" s="26" t="n">
        <v>13696</v>
      </c>
      <c r="J609" s="19" t="n">
        <v>18685.08279085295</v>
      </c>
      <c r="K609" s="37" t="n">
        <v>0.1680209690520205</v>
      </c>
    </row>
    <row r="610">
      <c r="A610" s="34" t="inlineStr">
        <is>
          <t>AGA SPK-tilskudd</t>
        </is>
      </c>
      <c r="B610" s="34" t="inlineStr">
        <is>
          <t>Region Nord</t>
        </is>
      </c>
      <c r="C610" s="34" t="inlineStr">
        <is>
          <t>KUS SKM Omsorg for ungdom</t>
        </is>
      </c>
      <c r="D610" s="18" t="n"/>
      <c r="E610" s="18" t="n"/>
      <c r="F610" s="18" t="n"/>
      <c r="G610" s="18" t="n"/>
      <c r="H610" s="18" t="n"/>
      <c r="I610" s="18" t="n">
        <v>502716</v>
      </c>
      <c r="J610" s="19" t="n">
        <v>570193.0550999999</v>
      </c>
      <c r="K610" s="35" t="n">
        <v>0.065</v>
      </c>
    </row>
    <row r="611">
      <c r="A611" s="36" t="inlineStr">
        <is>
          <t>AGA SPK-tilskudd</t>
        </is>
      </c>
      <c r="B611" s="36" t="inlineStr">
        <is>
          <t>Region Nord</t>
        </is>
      </c>
      <c r="C611" s="36" t="inlineStr">
        <is>
          <t>KUS SKM Omsorg for ungdom</t>
        </is>
      </c>
      <c r="D611" s="26" t="n">
        <v>7966</v>
      </c>
      <c r="E611" s="26" t="n">
        <v>9119</v>
      </c>
      <c r="F611" s="26" t="n">
        <v>21251</v>
      </c>
      <c r="G611" s="26" t="n">
        <v>18201</v>
      </c>
      <c r="H611" s="26" t="n">
        <v>8595</v>
      </c>
      <c r="I611" s="26" t="n">
        <v>9293</v>
      </c>
      <c r="J611" s="19" t="n">
        <v>9883.75999938013</v>
      </c>
      <c r="K611" s="37" t="n">
        <v>0.03129551016608523</v>
      </c>
    </row>
    <row r="612">
      <c r="A612" s="34" t="inlineStr">
        <is>
          <t>AGA SPK-tilskudd</t>
        </is>
      </c>
      <c r="B612" s="34" t="inlineStr">
        <is>
          <t>Region Nord</t>
        </is>
      </c>
      <c r="C612" s="34" t="inlineStr">
        <is>
          <t>KUS SKM Omsorg for ungdom</t>
        </is>
      </c>
      <c r="D612" s="18" t="n">
        <v>35755</v>
      </c>
      <c r="E612" s="18" t="n">
        <v>39935</v>
      </c>
      <c r="F612" s="18" t="n">
        <v>134627</v>
      </c>
      <c r="G612" s="18" t="n">
        <v>70319</v>
      </c>
      <c r="H612" s="18" t="n">
        <v>72086</v>
      </c>
      <c r="I612" s="18" t="n">
        <v>40881</v>
      </c>
      <c r="J612" s="19" t="n">
        <v>43131.58341547775</v>
      </c>
      <c r="K612" s="35" t="n">
        <v>0.02715727310100724</v>
      </c>
    </row>
    <row r="613">
      <c r="A613" s="36" t="inlineStr">
        <is>
          <t>AGA SPK-tilskudd</t>
        </is>
      </c>
      <c r="B613" s="36" t="inlineStr">
        <is>
          <t>Region Nord</t>
        </is>
      </c>
      <c r="C613" s="36" t="inlineStr">
        <is>
          <t>KUS SKM Omsorg for ungdom</t>
        </is>
      </c>
      <c r="D613" s="26" t="n">
        <v>258</v>
      </c>
      <c r="E613" s="26" t="n">
        <v>2610</v>
      </c>
      <c r="F613" s="26" t="n">
        <v>480</v>
      </c>
      <c r="G613" s="26" t="n">
        <v>19697</v>
      </c>
      <c r="H613" s="26" t="n"/>
      <c r="I613" s="26" t="n"/>
      <c r="J613" s="19" t="n">
        <v>0</v>
      </c>
      <c r="K613" s="37" t="n">
        <v>0.065</v>
      </c>
    </row>
    <row r="614">
      <c r="A614" s="34" t="inlineStr">
        <is>
          <t>AGA SPK-tilskudd</t>
        </is>
      </c>
      <c r="B614" s="34" t="inlineStr">
        <is>
          <t>Region Nord</t>
        </is>
      </c>
      <c r="C614" s="34" t="inlineStr">
        <is>
          <t>KUS SKM Omsorg for ungdom</t>
        </is>
      </c>
      <c r="D614" s="18" t="n">
        <v>1118</v>
      </c>
      <c r="E614" s="18" t="n">
        <v>3710</v>
      </c>
      <c r="F614" s="18" t="n">
        <v>864</v>
      </c>
      <c r="G614" s="18" t="n">
        <v>11492</v>
      </c>
      <c r="H614" s="18" t="n">
        <v>9094</v>
      </c>
      <c r="I614" s="18" t="n">
        <v>7804</v>
      </c>
      <c r="J614" s="19" t="n">
        <v>12193.75</v>
      </c>
      <c r="K614" s="35" t="n">
        <v>0.25</v>
      </c>
    </row>
    <row r="615">
      <c r="A615" s="36" t="inlineStr">
        <is>
          <t>AGA SPK-tilskudd</t>
        </is>
      </c>
      <c r="B615" s="36" t="inlineStr">
        <is>
          <t>Region Nord</t>
        </is>
      </c>
      <c r="C615" s="36" t="inlineStr">
        <is>
          <t>KUS SKM Omsorg for ungdom</t>
        </is>
      </c>
      <c r="D615" s="26" t="n">
        <v>14301</v>
      </c>
      <c r="E615" s="26" t="n">
        <v>12919</v>
      </c>
      <c r="F615" s="26" t="n">
        <v>41638</v>
      </c>
      <c r="G615" s="26" t="n">
        <v>29799</v>
      </c>
      <c r="H615" s="26" t="n">
        <v>29039</v>
      </c>
      <c r="I615" s="26" t="n">
        <v>18790</v>
      </c>
      <c r="J615" s="19" t="n">
        <v>20958.05276783494</v>
      </c>
      <c r="K615" s="37" t="n">
        <v>0.05611710044271234</v>
      </c>
    </row>
    <row r="616">
      <c r="A616" s="34" t="inlineStr">
        <is>
          <t>AGA SPK-tilskudd</t>
        </is>
      </c>
      <c r="B616" s="34" t="inlineStr">
        <is>
          <t>Region Nord</t>
        </is>
      </c>
      <c r="C616" s="34" t="inlineStr">
        <is>
          <t>KUS SKM Omsorg for ungdom</t>
        </is>
      </c>
      <c r="D616" s="18" t="n"/>
      <c r="E616" s="18" t="n">
        <v>495</v>
      </c>
      <c r="F616" s="18" t="n">
        <v>6724</v>
      </c>
      <c r="G616" s="18" t="n"/>
      <c r="H616" s="18" t="n">
        <v>4590</v>
      </c>
      <c r="I616" s="18" t="n">
        <v>3550</v>
      </c>
      <c r="J616" s="19" t="n">
        <v>5546.875</v>
      </c>
      <c r="K616" s="35" t="n">
        <v>0.25</v>
      </c>
    </row>
    <row r="617">
      <c r="A617" s="36" t="inlineStr">
        <is>
          <t>AGA SPK-tilskudd</t>
        </is>
      </c>
      <c r="B617" s="36" t="inlineStr">
        <is>
          <t>Region Nord</t>
        </is>
      </c>
      <c r="C617" s="36" t="inlineStr">
        <is>
          <t>KUS SKM Omsorg for ungdom</t>
        </is>
      </c>
      <c r="D617" s="26" t="n"/>
      <c r="E617" s="26" t="n">
        <v>1029</v>
      </c>
      <c r="F617" s="26" t="n"/>
      <c r="G617" s="26" t="n"/>
      <c r="H617" s="26" t="n"/>
      <c r="I617" s="26" t="n"/>
      <c r="J617" s="19" t="n">
        <v>0</v>
      </c>
      <c r="K617" s="37" t="n">
        <v>0.065</v>
      </c>
    </row>
    <row r="618">
      <c r="A618" s="34" t="inlineStr">
        <is>
          <t>AGA SPK-tilskudd</t>
        </is>
      </c>
      <c r="B618" s="34" t="inlineStr">
        <is>
          <t>Region Nord</t>
        </is>
      </c>
      <c r="C618" s="34" t="inlineStr">
        <is>
          <t>KUS SKM Omsorg for ungdom</t>
        </is>
      </c>
      <c r="D618" s="18" t="n">
        <v>5054</v>
      </c>
      <c r="E618" s="18" t="n">
        <v>4367</v>
      </c>
      <c r="F618" s="18" t="n">
        <v>7435</v>
      </c>
      <c r="G618" s="18" t="n">
        <v>12953</v>
      </c>
      <c r="H618" s="18" t="n">
        <v>19324</v>
      </c>
      <c r="I618" s="18" t="n">
        <v>15540</v>
      </c>
      <c r="J618" s="19" t="n">
        <v>24281.25</v>
      </c>
      <c r="K618" s="35" t="n">
        <v>0.25</v>
      </c>
    </row>
    <row r="619">
      <c r="A619" s="36" t="inlineStr">
        <is>
          <t>AGA SPK-tilskudd</t>
        </is>
      </c>
      <c r="B619" s="36" t="inlineStr">
        <is>
          <t>Region Nord</t>
        </is>
      </c>
      <c r="C619" s="36" t="inlineStr">
        <is>
          <t>KUS SKM Omsorg for ungdom</t>
        </is>
      </c>
      <c r="D619" s="26" t="n">
        <v>-149760</v>
      </c>
      <c r="E619" s="26" t="n"/>
      <c r="F619" s="26" t="n"/>
      <c r="G619" s="26" t="n"/>
      <c r="H619" s="26" t="n"/>
      <c r="I619" s="26" t="n"/>
      <c r="J619" s="19" t="n">
        <v>0</v>
      </c>
      <c r="K619" s="37" t="n">
        <v>0.065</v>
      </c>
    </row>
    <row r="620">
      <c r="A620" s="34" t="inlineStr">
        <is>
          <t>AGA SPK-tilskudd</t>
        </is>
      </c>
      <c r="B620" s="34" t="inlineStr">
        <is>
          <t>Region Nord</t>
        </is>
      </c>
      <c r="C620" s="34" t="inlineStr">
        <is>
          <t>KUS SKM Omsorg for ungdom</t>
        </is>
      </c>
      <c r="D620" s="18" t="n">
        <v>-59719</v>
      </c>
      <c r="E620" s="18" t="n">
        <v>-1085</v>
      </c>
      <c r="F620" s="18" t="n">
        <v>-34255</v>
      </c>
      <c r="G620" s="18" t="n">
        <v>-689140</v>
      </c>
      <c r="H620" s="18" t="n">
        <v>-113596</v>
      </c>
      <c r="I620" s="18" t="n">
        <v>-104871</v>
      </c>
      <c r="J620" s="19" t="n">
        <v>-118947.309975</v>
      </c>
      <c r="K620" s="35" t="n">
        <v>0.065</v>
      </c>
    </row>
    <row r="621">
      <c r="A621" s="36" t="inlineStr">
        <is>
          <t>AGA SPK-tilskudd</t>
        </is>
      </c>
      <c r="B621" s="36" t="inlineStr">
        <is>
          <t>Region Nord</t>
        </is>
      </c>
      <c r="C621" s="36" t="inlineStr">
        <is>
          <t>Lamo ungdomssenter Tunet</t>
        </is>
      </c>
      <c r="D621" s="26" t="n">
        <v>73629</v>
      </c>
      <c r="E621" s="26" t="n">
        <v>75792</v>
      </c>
      <c r="F621" s="26" t="n">
        <v>47817</v>
      </c>
      <c r="G621" s="26" t="n">
        <v>63280</v>
      </c>
      <c r="H621" s="26" t="n">
        <v>57565</v>
      </c>
      <c r="I621" s="26" t="n">
        <v>59999</v>
      </c>
      <c r="J621" s="19" t="n">
        <v>55281.78480865652</v>
      </c>
      <c r="K621" s="37" t="n">
        <v>-0.04011540461806062</v>
      </c>
    </row>
    <row r="622">
      <c r="A622" s="34" t="inlineStr">
        <is>
          <t>AGA SPK-tilskudd</t>
        </is>
      </c>
      <c r="B622" s="34" t="inlineStr">
        <is>
          <t>Region Nord</t>
        </is>
      </c>
      <c r="C622" s="34" t="inlineStr">
        <is>
          <t>Lamo ungdomssenter Tunet</t>
        </is>
      </c>
      <c r="D622" s="18" t="n">
        <v>166200</v>
      </c>
      <c r="E622" s="18" t="n">
        <v>763724</v>
      </c>
      <c r="F622" s="18" t="n">
        <v>52474</v>
      </c>
      <c r="G622" s="18" t="n">
        <v>399643</v>
      </c>
      <c r="H622" s="18" t="n">
        <v>339709</v>
      </c>
      <c r="I622" s="18" t="n">
        <v>390004</v>
      </c>
      <c r="J622" s="19" t="n">
        <v>548585.4415571106</v>
      </c>
      <c r="K622" s="35" t="n">
        <v>0.1860079723620451</v>
      </c>
    </row>
    <row r="623">
      <c r="A623" s="36" t="inlineStr">
        <is>
          <t>AGA SPK-tilskudd</t>
        </is>
      </c>
      <c r="B623" s="36" t="inlineStr">
        <is>
          <t>Region Nord</t>
        </is>
      </c>
      <c r="C623" s="36" t="inlineStr">
        <is>
          <t>Lamo ungdomssenter Tunet</t>
        </is>
      </c>
      <c r="D623" s="26" t="n">
        <v>29217</v>
      </c>
      <c r="E623" s="26" t="n">
        <v>115345</v>
      </c>
      <c r="F623" s="26" t="n">
        <v>182435</v>
      </c>
      <c r="G623" s="26" t="n">
        <v>104753</v>
      </c>
      <c r="H623" s="26" t="n">
        <v>158513</v>
      </c>
      <c r="I623" s="26" t="n">
        <v>64455</v>
      </c>
      <c r="J623" s="19" t="n">
        <v>88451.46076278904</v>
      </c>
      <c r="K623" s="37" t="n">
        <v>0.1714511915047374</v>
      </c>
    </row>
    <row r="624">
      <c r="A624" s="34" t="inlineStr">
        <is>
          <t>AGA SPK-tilskudd</t>
        </is>
      </c>
      <c r="B624" s="34" t="inlineStr">
        <is>
          <t>Region Nord</t>
        </is>
      </c>
      <c r="C624" s="34" t="inlineStr">
        <is>
          <t>Lamo ungdomssenter Tunet</t>
        </is>
      </c>
      <c r="D624" s="18" t="n">
        <v>51100</v>
      </c>
      <c r="E624" s="18" t="n">
        <v>61840</v>
      </c>
      <c r="F624" s="18" t="n">
        <v>48364</v>
      </c>
      <c r="G624" s="18" t="n">
        <v>70756</v>
      </c>
      <c r="H624" s="18" t="n">
        <v>76940</v>
      </c>
      <c r="I624" s="18" t="n">
        <v>85033</v>
      </c>
      <c r="J624" s="19" t="n">
        <v>104244.7379528943</v>
      </c>
      <c r="K624" s="35" t="n">
        <v>0.1072184659967497</v>
      </c>
    </row>
    <row r="625">
      <c r="A625" s="36" t="inlineStr">
        <is>
          <t>AGA SPK-tilskudd</t>
        </is>
      </c>
      <c r="B625" s="36" t="inlineStr">
        <is>
          <t>Region Nord</t>
        </is>
      </c>
      <c r="C625" s="36" t="inlineStr">
        <is>
          <t>Lamo ungdomssenter Tunet</t>
        </is>
      </c>
      <c r="D625" s="26" t="n"/>
      <c r="E625" s="26" t="n">
        <v>44704</v>
      </c>
      <c r="F625" s="26" t="n"/>
      <c r="G625" s="26" t="n"/>
      <c r="H625" s="26" t="n"/>
      <c r="I625" s="26" t="n"/>
      <c r="J625" s="19" t="n">
        <v>0</v>
      </c>
      <c r="K625" s="37" t="n">
        <v>0.065</v>
      </c>
    </row>
    <row r="626">
      <c r="A626" s="34" t="inlineStr">
        <is>
          <t>AGA SPK-tilskudd</t>
        </is>
      </c>
      <c r="B626" s="34" t="inlineStr">
        <is>
          <t>Region Nord</t>
        </is>
      </c>
      <c r="C626" s="34" t="inlineStr">
        <is>
          <t>Lamo ungdomssenter Tunet</t>
        </is>
      </c>
      <c r="D626" s="18" t="n">
        <v>4685</v>
      </c>
      <c r="E626" s="18" t="n">
        <v>40514</v>
      </c>
      <c r="F626" s="18" t="n">
        <v>31965</v>
      </c>
      <c r="G626" s="18" t="n">
        <v>20079</v>
      </c>
      <c r="H626" s="18" t="n">
        <v>11665</v>
      </c>
      <c r="I626" s="18" t="n">
        <v>4015</v>
      </c>
      <c r="J626" s="19" t="n">
        <v>3774.643420455533</v>
      </c>
      <c r="K626" s="35" t="n">
        <v>-0.030394230854348</v>
      </c>
    </row>
    <row r="627">
      <c r="A627" s="36" t="inlineStr">
        <is>
          <t>AGA SPK-tilskudd</t>
        </is>
      </c>
      <c r="B627" s="36" t="inlineStr">
        <is>
          <t>Region Nord</t>
        </is>
      </c>
      <c r="C627" s="36" t="inlineStr">
        <is>
          <t>Lamo ungdomssenter Tunet</t>
        </is>
      </c>
      <c r="D627" s="26" t="n">
        <v>5111</v>
      </c>
      <c r="E627" s="26" t="n">
        <v>32946</v>
      </c>
      <c r="F627" s="26" t="n">
        <v>28179</v>
      </c>
      <c r="G627" s="26" t="n">
        <v>28162</v>
      </c>
      <c r="H627" s="26" t="n">
        <v>27483</v>
      </c>
      <c r="I627" s="26" t="n">
        <v>15981</v>
      </c>
      <c r="J627" s="19" t="n">
        <v>24970.3125</v>
      </c>
      <c r="K627" s="37" t="n">
        <v>0.25</v>
      </c>
    </row>
    <row r="628">
      <c r="A628" s="34" t="inlineStr">
        <is>
          <t>AGA SPK-tilskudd</t>
        </is>
      </c>
      <c r="B628" s="34" t="inlineStr">
        <is>
          <t>Region Nord</t>
        </is>
      </c>
      <c r="C628" s="34" t="inlineStr">
        <is>
          <t>Lamo ungdomssenter Tunet</t>
        </is>
      </c>
      <c r="D628" s="18" t="n"/>
      <c r="E628" s="18" t="n"/>
      <c r="F628" s="18" t="n">
        <v>8491</v>
      </c>
      <c r="G628" s="18" t="n"/>
      <c r="H628" s="18" t="n">
        <v>7550</v>
      </c>
      <c r="I628" s="18" t="n">
        <v>9652</v>
      </c>
      <c r="J628" s="19" t="n">
        <v>10947.5397</v>
      </c>
      <c r="K628" s="35" t="n">
        <v>0.065</v>
      </c>
    </row>
    <row r="629">
      <c r="A629" s="36" t="inlineStr">
        <is>
          <t>AGA SPK-tilskudd</t>
        </is>
      </c>
      <c r="B629" s="36" t="inlineStr">
        <is>
          <t>Region Nord</t>
        </is>
      </c>
      <c r="C629" s="36" t="inlineStr">
        <is>
          <t>Lamo ungdomssenter Tunet</t>
        </is>
      </c>
      <c r="D629" s="26" t="n">
        <v>1251</v>
      </c>
      <c r="E629" s="26" t="n">
        <v>13297</v>
      </c>
      <c r="F629" s="26" t="n">
        <v>10830</v>
      </c>
      <c r="G629" s="26" t="n">
        <v>2306</v>
      </c>
      <c r="H629" s="26" t="n">
        <v>5088</v>
      </c>
      <c r="I629" s="26" t="n">
        <v>16849</v>
      </c>
      <c r="J629" s="19" t="n">
        <v>26326.5625</v>
      </c>
      <c r="K629" s="37" t="n">
        <v>0.25</v>
      </c>
    </row>
    <row r="630">
      <c r="A630" s="34" t="inlineStr">
        <is>
          <t>AGA SPK-tilskudd</t>
        </is>
      </c>
      <c r="B630" s="34" t="inlineStr">
        <is>
          <t>Region Nord</t>
        </is>
      </c>
      <c r="C630" s="34" t="inlineStr">
        <is>
          <t>Lamo ungdomssenter Tunet</t>
        </is>
      </c>
      <c r="D630" s="18" t="n">
        <v>2075</v>
      </c>
      <c r="E630" s="18" t="n">
        <v>17739</v>
      </c>
      <c r="F630" s="18" t="n">
        <v>11929</v>
      </c>
      <c r="G630" s="18" t="n">
        <v>15568</v>
      </c>
      <c r="H630" s="18" t="n">
        <v>15259</v>
      </c>
      <c r="I630" s="18" t="n">
        <v>11616</v>
      </c>
      <c r="J630" s="19" t="n">
        <v>18150</v>
      </c>
      <c r="K630" s="35" t="n">
        <v>0.25</v>
      </c>
    </row>
    <row r="631">
      <c r="A631" s="36" t="inlineStr">
        <is>
          <t>AGA SPK-tilskudd</t>
        </is>
      </c>
      <c r="B631" s="36" t="inlineStr">
        <is>
          <t>Region Nord</t>
        </is>
      </c>
      <c r="C631" s="36" t="inlineStr">
        <is>
          <t>Lamo ungdomssenter Tunet</t>
        </is>
      </c>
      <c r="D631" s="26" t="n">
        <v>2550</v>
      </c>
      <c r="E631" s="26" t="n"/>
      <c r="F631" s="26" t="n"/>
      <c r="G631" s="26" t="n"/>
      <c r="H631" s="26" t="n"/>
      <c r="I631" s="26" t="n"/>
      <c r="J631" s="19" t="n">
        <v>0</v>
      </c>
      <c r="K631" s="37" t="n">
        <v>0.065</v>
      </c>
    </row>
    <row r="632">
      <c r="A632" s="34" t="inlineStr">
        <is>
          <t>AGA SPK-tilskudd</t>
        </is>
      </c>
      <c r="B632" s="34" t="inlineStr">
        <is>
          <t>Region Nord</t>
        </is>
      </c>
      <c r="C632" s="34" t="inlineStr">
        <is>
          <t>Lamo ungdomssenter Tunet</t>
        </is>
      </c>
      <c r="D632" s="18" t="n"/>
      <c r="E632" s="18" t="n"/>
      <c r="F632" s="18" t="n"/>
      <c r="G632" s="18" t="n"/>
      <c r="H632" s="18" t="n">
        <v>14699</v>
      </c>
      <c r="I632" s="18" t="n"/>
      <c r="J632" s="19" t="n">
        <v>0</v>
      </c>
      <c r="K632" s="35" t="n">
        <v>0.065</v>
      </c>
    </row>
    <row r="633">
      <c r="A633" s="36" t="inlineStr">
        <is>
          <t>AGA SPK-tilskudd</t>
        </is>
      </c>
      <c r="B633" s="36" t="inlineStr">
        <is>
          <t>Region Nord</t>
        </is>
      </c>
      <c r="C633" s="36" t="inlineStr">
        <is>
          <t>Lamo ungdomssenter Tunet</t>
        </is>
      </c>
      <c r="D633" s="26" t="n"/>
      <c r="E633" s="26" t="n"/>
      <c r="F633" s="26" t="n"/>
      <c r="G633" s="26" t="n"/>
      <c r="H633" s="26" t="n">
        <v>1243</v>
      </c>
      <c r="I633" s="26" t="n"/>
      <c r="J633" s="19" t="n">
        <v>0</v>
      </c>
      <c r="K633" s="37" t="n">
        <v>0.065</v>
      </c>
    </row>
    <row r="634">
      <c r="A634" s="34" t="inlineStr">
        <is>
          <t>AGA SPK-tilskudd</t>
        </is>
      </c>
      <c r="B634" s="34" t="inlineStr">
        <is>
          <t>Region Nord</t>
        </is>
      </c>
      <c r="C634" s="34" t="inlineStr">
        <is>
          <t>Lamo ungdomssenter Tunet</t>
        </is>
      </c>
      <c r="D634" s="18" t="n"/>
      <c r="E634" s="18" t="n"/>
      <c r="F634" s="18" t="n"/>
      <c r="G634" s="18" t="n"/>
      <c r="H634" s="18" t="n">
        <v>-1243</v>
      </c>
      <c r="I634" s="18" t="n"/>
      <c r="J634" s="19" t="n">
        <v>0</v>
      </c>
      <c r="K634" s="35" t="n">
        <v>0.065</v>
      </c>
    </row>
    <row r="635">
      <c r="A635" s="36" t="inlineStr">
        <is>
          <t>AGA SPK-tilskudd</t>
        </is>
      </c>
      <c r="B635" s="36" t="inlineStr">
        <is>
          <t>Region Nord</t>
        </is>
      </c>
      <c r="C635" s="36" t="inlineStr">
        <is>
          <t>Lamo ungdomssenter Tunet</t>
        </is>
      </c>
      <c r="D635" s="26" t="n">
        <v>-3981</v>
      </c>
      <c r="E635" s="26" t="n">
        <v>-2333</v>
      </c>
      <c r="F635" s="26" t="n">
        <v>1316</v>
      </c>
      <c r="G635" s="26" t="n">
        <v>5228</v>
      </c>
      <c r="H635" s="26" t="n">
        <v>8672</v>
      </c>
      <c r="I635" s="26" t="n">
        <v>16176</v>
      </c>
      <c r="J635" s="19" t="n">
        <v>18347.2236</v>
      </c>
      <c r="K635" s="37" t="n">
        <v>0.065</v>
      </c>
    </row>
    <row r="636">
      <c r="A636" s="34" t="inlineStr">
        <is>
          <t>AGA SPK-tilskudd</t>
        </is>
      </c>
      <c r="B636" s="34" t="inlineStr">
        <is>
          <t>Region Nord</t>
        </is>
      </c>
      <c r="C636" s="34" t="inlineStr">
        <is>
          <t>Lamo ungdomssenter Tunet</t>
        </is>
      </c>
      <c r="D636" s="18" t="n"/>
      <c r="E636" s="18" t="n"/>
      <c r="F636" s="18" t="n"/>
      <c r="G636" s="18" t="n"/>
      <c r="H636" s="18" t="n"/>
      <c r="I636" s="18" t="n">
        <v>-60789</v>
      </c>
      <c r="J636" s="19" t="n">
        <v>-68948.40352499999</v>
      </c>
      <c r="K636" s="35" t="n">
        <v>0.065</v>
      </c>
    </row>
    <row r="637">
      <c r="A637" s="36" t="inlineStr">
        <is>
          <t>AGA SPK-tilskudd</t>
        </is>
      </c>
      <c r="B637" s="36" t="inlineStr">
        <is>
          <t>Region Nord</t>
        </is>
      </c>
      <c r="C637" s="36" t="inlineStr">
        <is>
          <t>Lamo ungdomssenter Tunet</t>
        </is>
      </c>
      <c r="D637" s="26" t="n">
        <v>-445771</v>
      </c>
      <c r="E637" s="26" t="n">
        <v>-66272</v>
      </c>
      <c r="F637" s="26" t="n">
        <v>-58062</v>
      </c>
      <c r="G637" s="26" t="n">
        <v>-15158</v>
      </c>
      <c r="H637" s="26" t="n">
        <v>-388434</v>
      </c>
      <c r="I637" s="26" t="n">
        <v>-282636</v>
      </c>
      <c r="J637" s="19" t="n">
        <v>-320572.8170999999</v>
      </c>
      <c r="K637" s="37" t="n">
        <v>0.065</v>
      </c>
    </row>
    <row r="638">
      <c r="A638" s="34" t="inlineStr">
        <is>
          <t>AGA SPK-tilskudd</t>
        </is>
      </c>
      <c r="B638" s="34" t="inlineStr">
        <is>
          <t>Region Nord</t>
        </is>
      </c>
      <c r="C638" s="34" t="inlineStr">
        <is>
          <t>Lamo ungdomssenter Tunet</t>
        </is>
      </c>
      <c r="D638" s="18" t="n">
        <v>-494663</v>
      </c>
      <c r="E638" s="18" t="n">
        <v>-604926</v>
      </c>
      <c r="F638" s="18" t="n">
        <v>-473083</v>
      </c>
      <c r="G638" s="18" t="n">
        <v>-852522</v>
      </c>
      <c r="H638" s="18" t="n">
        <v>-612549</v>
      </c>
      <c r="I638" s="18" t="n">
        <v>-1419219</v>
      </c>
      <c r="J638" s="19" t="n">
        <v>-1609713.670275</v>
      </c>
      <c r="K638" s="35" t="n">
        <v>0.065</v>
      </c>
    </row>
    <row r="639">
      <c r="A639" s="36" t="inlineStr">
        <is>
          <t>AGA SPK-tilskudd</t>
        </is>
      </c>
      <c r="B639" s="36" t="inlineStr">
        <is>
          <t>Region Nord</t>
        </is>
      </c>
      <c r="C639" s="36" t="inlineStr">
        <is>
          <t>Lamo ungdomssenter adm</t>
        </is>
      </c>
      <c r="D639" s="26" t="n">
        <v>6048</v>
      </c>
      <c r="E639" s="26" t="n">
        <v>3880</v>
      </c>
      <c r="F639" s="26" t="n">
        <v>4778</v>
      </c>
      <c r="G639" s="26" t="n">
        <v>4896</v>
      </c>
      <c r="H639" s="26" t="n">
        <v>5168</v>
      </c>
      <c r="I639" s="26" t="n">
        <v>4883</v>
      </c>
      <c r="J639" s="19" t="n">
        <v>4482.462871889958</v>
      </c>
      <c r="K639" s="37" t="n">
        <v>-0.04189084860113301</v>
      </c>
    </row>
    <row r="640">
      <c r="A640" s="34" t="inlineStr">
        <is>
          <t>AGA SPK-tilskudd</t>
        </is>
      </c>
      <c r="B640" s="34" t="inlineStr">
        <is>
          <t>Region Nord</t>
        </is>
      </c>
      <c r="C640" s="34" t="inlineStr">
        <is>
          <t>Lamo ungdomssenter adm</t>
        </is>
      </c>
      <c r="D640" s="18" t="n">
        <v>7114</v>
      </c>
      <c r="E640" s="18" t="n">
        <v>1583</v>
      </c>
      <c r="F640" s="18" t="n">
        <v>22277</v>
      </c>
      <c r="G640" s="18" t="n">
        <v>14021</v>
      </c>
      <c r="H640" s="18" t="n">
        <v>50236</v>
      </c>
      <c r="I640" s="18" t="n">
        <v>23869</v>
      </c>
      <c r="J640" s="19" t="n">
        <v>37295.3125</v>
      </c>
      <c r="K640" s="35" t="n">
        <v>0.25</v>
      </c>
    </row>
    <row r="641">
      <c r="A641" s="36" t="inlineStr">
        <is>
          <t>AGA SPK-tilskudd</t>
        </is>
      </c>
      <c r="B641" s="36" t="inlineStr">
        <is>
          <t>Region Nord</t>
        </is>
      </c>
      <c r="C641" s="36" t="inlineStr">
        <is>
          <t>Lamo ungdomssenter adm</t>
        </is>
      </c>
      <c r="D641" s="26" t="n">
        <v>2400</v>
      </c>
      <c r="E641" s="26" t="n">
        <v>1994</v>
      </c>
      <c r="F641" s="26" t="n">
        <v>2454</v>
      </c>
      <c r="G641" s="26" t="n">
        <v>3319</v>
      </c>
      <c r="H641" s="26" t="n">
        <v>3469</v>
      </c>
      <c r="I641" s="26" t="n">
        <v>3460</v>
      </c>
      <c r="J641" s="19" t="n">
        <v>4005.180025734571</v>
      </c>
      <c r="K641" s="37" t="n">
        <v>0.07590263566280786</v>
      </c>
    </row>
    <row r="642">
      <c r="A642" s="34" t="inlineStr">
        <is>
          <t>AGA SPK-tilskudd</t>
        </is>
      </c>
      <c r="B642" s="34" t="inlineStr">
        <is>
          <t>Region Nord</t>
        </is>
      </c>
      <c r="C642" s="34" t="inlineStr">
        <is>
          <t>Lamo ungdomssenter adm</t>
        </is>
      </c>
      <c r="D642" s="18" t="n">
        <v>1925</v>
      </c>
      <c r="E642" s="18" t="n">
        <v>16280</v>
      </c>
      <c r="F642" s="18" t="n">
        <v>6542</v>
      </c>
      <c r="G642" s="18" t="n">
        <v>3542</v>
      </c>
      <c r="H642" s="18" t="n">
        <v>8227</v>
      </c>
      <c r="I642" s="18" t="n">
        <v>6297</v>
      </c>
      <c r="J642" s="19" t="n">
        <v>9839.0625</v>
      </c>
      <c r="K642" s="35" t="n">
        <v>0.25</v>
      </c>
    </row>
    <row r="643">
      <c r="A643" s="36" t="inlineStr">
        <is>
          <t>AGA SPK-tilskudd</t>
        </is>
      </c>
      <c r="B643" s="36" t="inlineStr">
        <is>
          <t>Region Nord</t>
        </is>
      </c>
      <c r="C643" s="36" t="inlineStr">
        <is>
          <t>Lamo ungdomssenter adm</t>
        </is>
      </c>
      <c r="D643" s="26" t="n">
        <v>1748</v>
      </c>
      <c r="E643" s="26" t="n">
        <v>38</v>
      </c>
      <c r="F643" s="26" t="n">
        <v>3397</v>
      </c>
      <c r="G643" s="26" t="n">
        <v>1182</v>
      </c>
      <c r="H643" s="26" t="n">
        <v>2103</v>
      </c>
      <c r="I643" s="26" t="n">
        <v>2094</v>
      </c>
      <c r="J643" s="19" t="n">
        <v>2250.871887102382</v>
      </c>
      <c r="K643" s="37" t="n">
        <v>0.03678104791206405</v>
      </c>
    </row>
    <row r="644">
      <c r="A644" s="34" t="inlineStr">
        <is>
          <t>AGA SPK-tilskudd</t>
        </is>
      </c>
      <c r="B644" s="34" t="inlineStr">
        <is>
          <t>Region Nord</t>
        </is>
      </c>
      <c r="C644" s="34" t="inlineStr">
        <is>
          <t>Lamo ungdomssenter adm</t>
        </is>
      </c>
      <c r="D644" s="18" t="n">
        <v>495</v>
      </c>
      <c r="E644" s="18" t="n"/>
      <c r="F644" s="18" t="n">
        <v>490</v>
      </c>
      <c r="G644" s="18" t="n"/>
      <c r="H644" s="18" t="n">
        <v>1000</v>
      </c>
      <c r="I644" s="18" t="n">
        <v>1050</v>
      </c>
      <c r="J644" s="19" t="n">
        <v>1418.479093075226</v>
      </c>
      <c r="K644" s="35" t="n">
        <v>0.162296205618625</v>
      </c>
    </row>
    <row r="645">
      <c r="A645" s="36" t="inlineStr">
        <is>
          <t>AGA SPK-tilskudd</t>
        </is>
      </c>
      <c r="B645" s="36" t="inlineStr">
        <is>
          <t>Region Nord</t>
        </is>
      </c>
      <c r="C645" s="36" t="inlineStr">
        <is>
          <t>Lamo ungdomssenter adm</t>
        </is>
      </c>
      <c r="D645" s="26" t="n"/>
      <c r="E645" s="26" t="n">
        <v>941</v>
      </c>
      <c r="F645" s="26" t="n"/>
      <c r="G645" s="26" t="n">
        <v>1685</v>
      </c>
      <c r="H645" s="26" t="n">
        <v>4663</v>
      </c>
      <c r="I645" s="26" t="n">
        <v>948</v>
      </c>
      <c r="J645" s="19" t="n">
        <v>951.5195029561112</v>
      </c>
      <c r="K645" s="37" t="n">
        <v>0.001854558237310622</v>
      </c>
    </row>
    <row r="646">
      <c r="A646" s="34" t="inlineStr">
        <is>
          <t>AGA SPK-tilskudd</t>
        </is>
      </c>
      <c r="B646" s="34" t="inlineStr">
        <is>
          <t>Region Nord</t>
        </is>
      </c>
      <c r="C646" s="34" t="inlineStr">
        <is>
          <t>Lamo ungdomssenter adm</t>
        </is>
      </c>
      <c r="D646" s="18" t="n">
        <v>625</v>
      </c>
      <c r="E646" s="18" t="n">
        <v>2387</v>
      </c>
      <c r="F646" s="18" t="n">
        <v>1608</v>
      </c>
      <c r="G646" s="18" t="n">
        <v>1162</v>
      </c>
      <c r="H646" s="18" t="n">
        <v>3666</v>
      </c>
      <c r="I646" s="18" t="n">
        <v>2971</v>
      </c>
      <c r="J646" s="19" t="n">
        <v>4642.1875</v>
      </c>
      <c r="K646" s="35" t="n">
        <v>0.25</v>
      </c>
    </row>
    <row r="647">
      <c r="A647" s="36" t="inlineStr">
        <is>
          <t>AGA SPK-tilskudd</t>
        </is>
      </c>
      <c r="B647" s="36" t="inlineStr">
        <is>
          <t>Region Nord</t>
        </is>
      </c>
      <c r="C647" s="36" t="inlineStr">
        <is>
          <t>Lamo ungdomssenter adm</t>
        </is>
      </c>
      <c r="D647" s="26" t="n"/>
      <c r="E647" s="26" t="n">
        <v>2345</v>
      </c>
      <c r="F647" s="26" t="n"/>
      <c r="G647" s="26" t="n"/>
      <c r="H647" s="26" t="n"/>
      <c r="I647" s="26" t="n"/>
      <c r="J647" s="19" t="n">
        <v>0</v>
      </c>
      <c r="K647" s="37" t="n">
        <v>0.065</v>
      </c>
    </row>
    <row r="648">
      <c r="A648" s="34" t="inlineStr">
        <is>
          <t>AGA SPK-tilskudd</t>
        </is>
      </c>
      <c r="B648" s="34" t="inlineStr">
        <is>
          <t>Region Nord</t>
        </is>
      </c>
      <c r="C648" s="34" t="inlineStr">
        <is>
          <t>Lamo ungdomssenter adm</t>
        </is>
      </c>
      <c r="D648" s="18" t="n">
        <v>185576</v>
      </c>
      <c r="E648" s="18" t="n">
        <v>158245</v>
      </c>
      <c r="F648" s="18" t="n">
        <v>158276</v>
      </c>
      <c r="G648" s="18" t="n">
        <v>167378</v>
      </c>
      <c r="H648" s="18" t="n">
        <v>161694</v>
      </c>
      <c r="I648" s="18" t="n">
        <v>29399</v>
      </c>
      <c r="J648" s="19" t="n">
        <v>16536.9375</v>
      </c>
      <c r="K648" s="35" t="n">
        <v>-0.25</v>
      </c>
    </row>
    <row r="649">
      <c r="A649" s="36" t="inlineStr">
        <is>
          <t>AGA SPK-tilskudd</t>
        </is>
      </c>
      <c r="B649" s="36" t="inlineStr">
        <is>
          <t>Region Nord</t>
        </is>
      </c>
      <c r="C649" s="36" t="inlineStr">
        <is>
          <t>Lamo ungdomssenter adm</t>
        </is>
      </c>
      <c r="D649" s="26" t="n">
        <v>1650</v>
      </c>
      <c r="E649" s="26" t="n">
        <v>679</v>
      </c>
      <c r="F649" s="26" t="n">
        <v>2186</v>
      </c>
      <c r="G649" s="26" t="n">
        <v>15852</v>
      </c>
      <c r="H649" s="26" t="n">
        <v>4424</v>
      </c>
      <c r="I649" s="26" t="n">
        <v>-150</v>
      </c>
      <c r="J649" s="19" t="n">
        <v>-170.13375</v>
      </c>
      <c r="K649" s="37" t="n">
        <v>0.065</v>
      </c>
    </row>
    <row r="650">
      <c r="A650" s="34" t="inlineStr">
        <is>
          <t>AGA SPK-tilskudd</t>
        </is>
      </c>
      <c r="B650" s="34" t="inlineStr">
        <is>
          <t>Region Nord</t>
        </is>
      </c>
      <c r="C650" s="34" t="inlineStr">
        <is>
          <t>Lamo ungdomssenter adm</t>
        </is>
      </c>
      <c r="D650" s="18" t="n">
        <v>-162503</v>
      </c>
      <c r="E650" s="18" t="n">
        <v>-5352</v>
      </c>
      <c r="F650" s="18" t="n">
        <v>-23330</v>
      </c>
      <c r="G650" s="18" t="n">
        <v>-19845</v>
      </c>
      <c r="H650" s="18" t="n">
        <v>-1917</v>
      </c>
      <c r="I650" s="18" t="n"/>
      <c r="J650" s="19" t="n">
        <v>0</v>
      </c>
      <c r="K650" s="35" t="n">
        <v>0.065</v>
      </c>
    </row>
    <row r="651">
      <c r="A651" s="36" t="inlineStr">
        <is>
          <t>AGA SPK-tilskudd</t>
        </is>
      </c>
      <c r="B651" s="36" t="inlineStr">
        <is>
          <t>Region Nord</t>
        </is>
      </c>
      <c r="C651" s="36" t="inlineStr">
        <is>
          <t>Nye Kvæfjord ungdomssenter Lilleheimen</t>
        </is>
      </c>
      <c r="D651" s="26" t="n">
        <v>51322</v>
      </c>
      <c r="E651" s="26" t="n">
        <v>46025</v>
      </c>
      <c r="F651" s="26" t="n">
        <v>39878</v>
      </c>
      <c r="G651" s="26" t="n">
        <v>42604</v>
      </c>
      <c r="H651" s="26" t="n">
        <v>44773</v>
      </c>
      <c r="I651" s="26" t="n">
        <v>41920</v>
      </c>
      <c r="J651" s="19" t="n">
        <v>38660.57906069611</v>
      </c>
      <c r="K651" s="37" t="n">
        <v>-0.0396632684842857</v>
      </c>
    </row>
    <row r="652">
      <c r="A652" s="34" t="inlineStr">
        <is>
          <t>AGA SPK-tilskudd</t>
        </is>
      </c>
      <c r="B652" s="34" t="inlineStr">
        <is>
          <t>Region Nord</t>
        </is>
      </c>
      <c r="C652" s="34" t="inlineStr">
        <is>
          <t>Nye Kvæfjord ungdomssenter Lilleheimen</t>
        </is>
      </c>
      <c r="D652" s="18" t="n">
        <v>79046</v>
      </c>
      <c r="E652" s="18" t="n">
        <v>91689</v>
      </c>
      <c r="F652" s="18" t="n">
        <v>116297</v>
      </c>
      <c r="G652" s="18" t="n">
        <v>157454</v>
      </c>
      <c r="H652" s="18" t="n">
        <v>178868</v>
      </c>
      <c r="I652" s="18" t="n">
        <v>143663</v>
      </c>
      <c r="J652" s="19" t="n">
        <v>182444.5709557392</v>
      </c>
      <c r="K652" s="35" t="n">
        <v>0.1269197925265095</v>
      </c>
    </row>
    <row r="653">
      <c r="A653" s="36" t="inlineStr">
        <is>
          <t>AGA SPK-tilskudd</t>
        </is>
      </c>
      <c r="B653" s="36" t="inlineStr">
        <is>
          <t>Region Nord</t>
        </is>
      </c>
      <c r="C653" s="36" t="inlineStr">
        <is>
          <t>Nye Kvæfjord ungdomssenter Lilleheimen</t>
        </is>
      </c>
      <c r="D653" s="26" t="n">
        <v>39418</v>
      </c>
      <c r="E653" s="26" t="n">
        <v>21984</v>
      </c>
      <c r="F653" s="26" t="n">
        <v>94926</v>
      </c>
      <c r="G653" s="26" t="n">
        <v>26550</v>
      </c>
      <c r="H653" s="26" t="n">
        <v>64776</v>
      </c>
      <c r="I653" s="26" t="n">
        <v>71078</v>
      </c>
      <c r="J653" s="19" t="n">
        <v>89981.1303800921</v>
      </c>
      <c r="K653" s="37" t="n">
        <v>0.1251440367887893</v>
      </c>
    </row>
    <row r="654">
      <c r="A654" s="34" t="inlineStr">
        <is>
          <t>AGA SPK-tilskudd</t>
        </is>
      </c>
      <c r="B654" s="34" t="inlineStr">
        <is>
          <t>Region Nord</t>
        </is>
      </c>
      <c r="C654" s="34" t="inlineStr">
        <is>
          <t>Nye Kvæfjord ungdomssenter Lilleheimen</t>
        </is>
      </c>
      <c r="D654" s="18" t="n">
        <v>34500</v>
      </c>
      <c r="E654" s="18" t="n">
        <v>29550</v>
      </c>
      <c r="F654" s="18" t="n">
        <v>24336</v>
      </c>
      <c r="G654" s="18" t="n">
        <v>32258</v>
      </c>
      <c r="H654" s="18" t="n">
        <v>43568</v>
      </c>
      <c r="I654" s="18" t="n">
        <v>38349</v>
      </c>
      <c r="J654" s="19" t="n">
        <v>40006.26644547219</v>
      </c>
      <c r="K654" s="35" t="n">
        <v>0.02137915377776589</v>
      </c>
    </row>
    <row r="655">
      <c r="A655" s="36" t="inlineStr">
        <is>
          <t>AGA SPK-tilskudd</t>
        </is>
      </c>
      <c r="B655" s="36" t="inlineStr">
        <is>
          <t>Region Nord</t>
        </is>
      </c>
      <c r="C655" s="36" t="inlineStr">
        <is>
          <t>Nye Kvæfjord ungdomssenter Lilleheimen</t>
        </is>
      </c>
      <c r="D655" s="26" t="n"/>
      <c r="E655" s="26" t="n">
        <v>3189</v>
      </c>
      <c r="F655" s="26" t="n"/>
      <c r="G655" s="26" t="n"/>
      <c r="H655" s="26" t="n"/>
      <c r="I655" s="26" t="n"/>
      <c r="J655" s="19" t="n">
        <v>0</v>
      </c>
      <c r="K655" s="37" t="n">
        <v>0.065</v>
      </c>
    </row>
    <row r="656">
      <c r="A656" s="34" t="inlineStr">
        <is>
          <t>AGA SPK-tilskudd</t>
        </is>
      </c>
      <c r="B656" s="34" t="inlineStr">
        <is>
          <t>Region Nord</t>
        </is>
      </c>
      <c r="C656" s="34" t="inlineStr">
        <is>
          <t>Nye Kvæfjord ungdomssenter Lilleheimen</t>
        </is>
      </c>
      <c r="D656" s="18" t="n">
        <v>266</v>
      </c>
      <c r="E656" s="18" t="n">
        <v>11756</v>
      </c>
      <c r="F656" s="18" t="n">
        <v>7335</v>
      </c>
      <c r="G656" s="18" t="n">
        <v>665</v>
      </c>
      <c r="H656" s="18" t="n">
        <v>3364</v>
      </c>
      <c r="I656" s="18" t="n">
        <v>3544</v>
      </c>
      <c r="J656" s="19" t="n">
        <v>5537.5</v>
      </c>
      <c r="K656" s="35" t="n">
        <v>0.25</v>
      </c>
    </row>
    <row r="657">
      <c r="A657" s="36" t="inlineStr">
        <is>
          <t>AGA SPK-tilskudd</t>
        </is>
      </c>
      <c r="B657" s="36" t="inlineStr">
        <is>
          <t>Region Nord</t>
        </is>
      </c>
      <c r="C657" s="36" t="inlineStr">
        <is>
          <t>Nye Kvæfjord ungdomssenter Lilleheimen</t>
        </is>
      </c>
      <c r="D657" s="26" t="n">
        <v>5103</v>
      </c>
      <c r="E657" s="26" t="n">
        <v>10021</v>
      </c>
      <c r="F657" s="26" t="n">
        <v>14434</v>
      </c>
      <c r="G657" s="26" t="n">
        <v>2859</v>
      </c>
      <c r="H657" s="26" t="n">
        <v>21376</v>
      </c>
      <c r="I657" s="26" t="n">
        <v>15849</v>
      </c>
      <c r="J657" s="19" t="n">
        <v>24764.0625</v>
      </c>
      <c r="K657" s="37" t="n">
        <v>0.25</v>
      </c>
    </row>
    <row r="658">
      <c r="A658" s="34" t="inlineStr">
        <is>
          <t>AGA SPK-tilskudd</t>
        </is>
      </c>
      <c r="B658" s="34" t="inlineStr">
        <is>
          <t>Region Nord</t>
        </is>
      </c>
      <c r="C658" s="34" t="inlineStr">
        <is>
          <t>Nye Kvæfjord ungdomssenter Lilleheimen</t>
        </is>
      </c>
      <c r="D658" s="18" t="n">
        <v>6951</v>
      </c>
      <c r="E658" s="18" t="n">
        <v>8602</v>
      </c>
      <c r="F658" s="18" t="n">
        <v>27928</v>
      </c>
      <c r="G658" s="18" t="n">
        <v>9134</v>
      </c>
      <c r="H658" s="18" t="n">
        <v>1227</v>
      </c>
      <c r="I658" s="18" t="n">
        <v>4648</v>
      </c>
      <c r="J658" s="19" t="n">
        <v>3956.887034481116</v>
      </c>
      <c r="K658" s="35" t="n">
        <v>-0.07733559571020543</v>
      </c>
    </row>
    <row r="659">
      <c r="A659" s="36" t="inlineStr">
        <is>
          <t>AGA SPK-tilskudd</t>
        </is>
      </c>
      <c r="B659" s="36" t="inlineStr">
        <is>
          <t>Region Nord</t>
        </is>
      </c>
      <c r="C659" s="36" t="inlineStr">
        <is>
          <t>Nye Kvæfjord ungdomssenter Lilleheimen</t>
        </is>
      </c>
      <c r="D659" s="26" t="n">
        <v>4745</v>
      </c>
      <c r="E659" s="26" t="n">
        <v>8438</v>
      </c>
      <c r="F659" s="26" t="n">
        <v>9052</v>
      </c>
      <c r="G659" s="26" t="n">
        <v>7391</v>
      </c>
      <c r="H659" s="26" t="n">
        <v>7975</v>
      </c>
      <c r="I659" s="26" t="n">
        <v>11663</v>
      </c>
      <c r="J659" s="19" t="n">
        <v>16712.44146523407</v>
      </c>
      <c r="K659" s="37" t="n">
        <v>0.1970569480952504</v>
      </c>
    </row>
    <row r="660">
      <c r="A660" s="34" t="inlineStr">
        <is>
          <t>AGA SPK-tilskudd</t>
        </is>
      </c>
      <c r="B660" s="34" t="inlineStr">
        <is>
          <t>Region Nord</t>
        </is>
      </c>
      <c r="C660" s="34" t="inlineStr">
        <is>
          <t>Nye Kvæfjord ungdomssenter Lilleheimen</t>
        </is>
      </c>
      <c r="D660" s="18" t="n">
        <v>3721</v>
      </c>
      <c r="E660" s="18" t="n">
        <v>4451</v>
      </c>
      <c r="F660" s="18" t="n">
        <v>5497</v>
      </c>
      <c r="G660" s="18" t="n">
        <v>2569</v>
      </c>
      <c r="H660" s="18" t="n">
        <v>13769</v>
      </c>
      <c r="I660" s="18" t="n">
        <v>6306</v>
      </c>
      <c r="J660" s="19" t="n">
        <v>7787.385693676181</v>
      </c>
      <c r="K660" s="35" t="n">
        <v>0.1112681296423461</v>
      </c>
    </row>
    <row r="661">
      <c r="A661" s="36" t="inlineStr">
        <is>
          <t>AGA SPK-tilskudd</t>
        </is>
      </c>
      <c r="B661" s="36" t="inlineStr">
        <is>
          <t>Region Nord</t>
        </is>
      </c>
      <c r="C661" s="36" t="inlineStr">
        <is>
          <t>Nye Kvæfjord ungdomssenter Lilleheimen</t>
        </is>
      </c>
      <c r="D661" s="26" t="n"/>
      <c r="E661" s="26" t="n"/>
      <c r="F661" s="26" t="n">
        <v>5429</v>
      </c>
      <c r="G661" s="26" t="n">
        <v>7039</v>
      </c>
      <c r="H661" s="26" t="n"/>
      <c r="I661" s="26" t="n"/>
      <c r="J661" s="19" t="n">
        <v>0</v>
      </c>
      <c r="K661" s="37" t="n">
        <v>0.065</v>
      </c>
    </row>
    <row r="662">
      <c r="A662" s="34" t="inlineStr">
        <is>
          <t>AGA SPK-tilskudd</t>
        </is>
      </c>
      <c r="B662" s="34" t="inlineStr">
        <is>
          <t>Region Nord</t>
        </is>
      </c>
      <c r="C662" s="34" t="inlineStr">
        <is>
          <t>Nye Kvæfjord ungdomssenter Lilleheimen</t>
        </is>
      </c>
      <c r="D662" s="18" t="n">
        <v>16508</v>
      </c>
      <c r="E662" s="18" t="n">
        <v>-1214</v>
      </c>
      <c r="F662" s="18" t="n">
        <v>5172</v>
      </c>
      <c r="G662" s="18" t="n">
        <v>13473</v>
      </c>
      <c r="H662" s="18" t="n">
        <v>21780</v>
      </c>
      <c r="I662" s="18" t="n">
        <v>14115</v>
      </c>
      <c r="J662" s="19" t="n">
        <v>13257.9217490264</v>
      </c>
      <c r="K662" s="35" t="n">
        <v>-0.0308359760335768</v>
      </c>
    </row>
    <row r="663">
      <c r="A663" s="36" t="inlineStr">
        <is>
          <t>AGA SPK-tilskudd</t>
        </is>
      </c>
      <c r="B663" s="36" t="inlineStr">
        <is>
          <t>Region Nord</t>
        </is>
      </c>
      <c r="C663" s="36" t="inlineStr">
        <is>
          <t>Nye Kvæfjord ungdomssenter Lilleheimen</t>
        </is>
      </c>
      <c r="D663" s="26" t="n">
        <v>-137925</v>
      </c>
      <c r="E663" s="26" t="n"/>
      <c r="F663" s="26" t="n">
        <v>-178800</v>
      </c>
      <c r="G663" s="26" t="n">
        <v>-105075</v>
      </c>
      <c r="H663" s="26" t="n">
        <v>-38250</v>
      </c>
      <c r="I663" s="26" t="n">
        <v>-107718</v>
      </c>
      <c r="J663" s="19" t="n">
        <v>-122176.44855</v>
      </c>
      <c r="K663" s="37" t="n">
        <v>0.065</v>
      </c>
    </row>
    <row r="664">
      <c r="A664" s="34" t="inlineStr">
        <is>
          <t>AGA SPK-tilskudd</t>
        </is>
      </c>
      <c r="B664" s="34" t="inlineStr">
        <is>
          <t>Region Nord</t>
        </is>
      </c>
      <c r="C664" s="34" t="inlineStr">
        <is>
          <t>Nye Kvæfjord ungdomssenter Lilleheimen</t>
        </is>
      </c>
      <c r="D664" s="18" t="n">
        <v>-502133</v>
      </c>
      <c r="E664" s="18" t="n">
        <v>-903678</v>
      </c>
      <c r="F664" s="18" t="n">
        <v>-504456</v>
      </c>
      <c r="G664" s="18" t="n">
        <v>-532438</v>
      </c>
      <c r="H664" s="18" t="n">
        <v>-1442560</v>
      </c>
      <c r="I664" s="18" t="n">
        <v>-749721</v>
      </c>
      <c r="J664" s="19" t="n">
        <v>-850352.3012249998</v>
      </c>
      <c r="K664" s="35" t="n">
        <v>0.065</v>
      </c>
    </row>
    <row r="665">
      <c r="A665" s="36" t="inlineStr">
        <is>
          <t>AGA SPK-tilskudd</t>
        </is>
      </c>
      <c r="B665" s="36" t="inlineStr">
        <is>
          <t>Region Nord</t>
        </is>
      </c>
      <c r="C665" s="36" t="inlineStr">
        <is>
          <t>Nye Kvæfjord ungdomssenter Storheimen</t>
        </is>
      </c>
      <c r="D665" s="26" t="n">
        <v>56841</v>
      </c>
      <c r="E665" s="26" t="n">
        <v>51948</v>
      </c>
      <c r="F665" s="26" t="n">
        <v>44936</v>
      </c>
      <c r="G665" s="26" t="n">
        <v>45513</v>
      </c>
      <c r="H665" s="26" t="n">
        <v>51036</v>
      </c>
      <c r="I665" s="26" t="n">
        <v>51582</v>
      </c>
      <c r="J665" s="19" t="n">
        <v>49617.25844160465</v>
      </c>
      <c r="K665" s="37" t="n">
        <v>-0.01922972816573865</v>
      </c>
    </row>
    <row r="666">
      <c r="A666" s="34" t="inlineStr">
        <is>
          <t>AGA SPK-tilskudd</t>
        </is>
      </c>
      <c r="B666" s="34" t="inlineStr">
        <is>
          <t>Region Nord</t>
        </is>
      </c>
      <c r="C666" s="34" t="inlineStr">
        <is>
          <t>Nye Kvæfjord ungdomssenter Storheimen</t>
        </is>
      </c>
      <c r="D666" s="18" t="n">
        <v>9948</v>
      </c>
      <c r="E666" s="18" t="n">
        <v>19283</v>
      </c>
      <c r="F666" s="18" t="n">
        <v>229257</v>
      </c>
      <c r="G666" s="18" t="n">
        <v>68473</v>
      </c>
      <c r="H666" s="18" t="n">
        <v>110637</v>
      </c>
      <c r="I666" s="18" t="n">
        <v>241221</v>
      </c>
      <c r="J666" s="19" t="n">
        <v>376907.8125</v>
      </c>
      <c r="K666" s="35" t="n">
        <v>0.25</v>
      </c>
    </row>
    <row r="667">
      <c r="A667" s="36" t="inlineStr">
        <is>
          <t>AGA SPK-tilskudd</t>
        </is>
      </c>
      <c r="B667" s="36" t="inlineStr">
        <is>
          <t>Region Nord</t>
        </is>
      </c>
      <c r="C667" s="36" t="inlineStr">
        <is>
          <t>Nye Kvæfjord ungdomssenter Storheimen</t>
        </is>
      </c>
      <c r="D667" s="26" t="n">
        <v>55517</v>
      </c>
      <c r="E667" s="26" t="n">
        <v>26097</v>
      </c>
      <c r="F667" s="26" t="n">
        <v>87710</v>
      </c>
      <c r="G667" s="26" t="n">
        <v>87182</v>
      </c>
      <c r="H667" s="26" t="n">
        <v>170950</v>
      </c>
      <c r="I667" s="26" t="n">
        <v>82791</v>
      </c>
      <c r="J667" s="19" t="n">
        <v>97141.7635716815</v>
      </c>
      <c r="K667" s="37" t="n">
        <v>0.08320692465876411</v>
      </c>
    </row>
    <row r="668">
      <c r="A668" s="34" t="inlineStr">
        <is>
          <t>AGA SPK-tilskudd</t>
        </is>
      </c>
      <c r="B668" s="34" t="inlineStr">
        <is>
          <t>Region Nord</t>
        </is>
      </c>
      <c r="C668" s="34" t="inlineStr">
        <is>
          <t>Nye Kvæfjord ungdomssenter Storheimen</t>
        </is>
      </c>
      <c r="D668" s="18" t="n">
        <v>42300</v>
      </c>
      <c r="E668" s="18" t="n">
        <v>56949</v>
      </c>
      <c r="F668" s="18" t="n">
        <v>59407</v>
      </c>
      <c r="G668" s="18" t="n">
        <v>64619</v>
      </c>
      <c r="H668" s="18" t="n">
        <v>64386</v>
      </c>
      <c r="I668" s="18" t="n">
        <v>66030</v>
      </c>
      <c r="J668" s="19" t="n">
        <v>78904.48130138799</v>
      </c>
      <c r="K668" s="35" t="n">
        <v>0.0931510744468298</v>
      </c>
    </row>
    <row r="669">
      <c r="A669" s="36" t="inlineStr">
        <is>
          <t>AGA SPK-tilskudd</t>
        </is>
      </c>
      <c r="B669" s="36" t="inlineStr">
        <is>
          <t>Region Nord</t>
        </is>
      </c>
      <c r="C669" s="36" t="inlineStr">
        <is>
          <t>Nye Kvæfjord ungdomssenter Storheimen</t>
        </is>
      </c>
      <c r="D669" s="26" t="n">
        <v>1120</v>
      </c>
      <c r="E669" s="26" t="n">
        <v>6808</v>
      </c>
      <c r="F669" s="26" t="n">
        <v>5329</v>
      </c>
      <c r="G669" s="26" t="n">
        <v>3904</v>
      </c>
      <c r="H669" s="26" t="n">
        <v>9838</v>
      </c>
      <c r="I669" s="26" t="n">
        <v>4167</v>
      </c>
      <c r="J669" s="19" t="n">
        <v>6510.9375</v>
      </c>
      <c r="K669" s="37" t="n">
        <v>0.25</v>
      </c>
    </row>
    <row r="670">
      <c r="A670" s="34" t="inlineStr">
        <is>
          <t>AGA SPK-tilskudd</t>
        </is>
      </c>
      <c r="B670" s="34" t="inlineStr">
        <is>
          <t>Region Nord</t>
        </is>
      </c>
      <c r="C670" s="34" t="inlineStr">
        <is>
          <t>Nye Kvæfjord ungdomssenter Storheimen</t>
        </is>
      </c>
      <c r="D670" s="18" t="n">
        <v>2324</v>
      </c>
      <c r="E670" s="18" t="n">
        <v>2671</v>
      </c>
      <c r="F670" s="18" t="n">
        <v>15502</v>
      </c>
      <c r="G670" s="18" t="n">
        <v>12259</v>
      </c>
      <c r="H670" s="18" t="n">
        <v>29036</v>
      </c>
      <c r="I670" s="18" t="n">
        <v>26086</v>
      </c>
      <c r="J670" s="19" t="n">
        <v>40759.375</v>
      </c>
      <c r="K670" s="35" t="n">
        <v>0.25</v>
      </c>
    </row>
    <row r="671">
      <c r="A671" s="36" t="inlineStr">
        <is>
          <t>AGA SPK-tilskudd</t>
        </is>
      </c>
      <c r="B671" s="36" t="inlineStr">
        <is>
          <t>Region Nord</t>
        </is>
      </c>
      <c r="C671" s="36" t="inlineStr">
        <is>
          <t>Nye Kvæfjord ungdomssenter Storheimen</t>
        </is>
      </c>
      <c r="D671" s="26" t="n">
        <v>8681</v>
      </c>
      <c r="E671" s="26" t="n">
        <v>10880</v>
      </c>
      <c r="F671" s="26" t="n">
        <v>47677</v>
      </c>
      <c r="G671" s="26" t="n">
        <v>12185</v>
      </c>
      <c r="H671" s="26" t="n">
        <v>1533</v>
      </c>
      <c r="I671" s="26" t="n"/>
      <c r="J671" s="19" t="n">
        <v>0</v>
      </c>
      <c r="K671" s="37" t="n">
        <v>0.065</v>
      </c>
    </row>
    <row r="672">
      <c r="A672" s="34" t="inlineStr">
        <is>
          <t>AGA SPK-tilskudd</t>
        </is>
      </c>
      <c r="B672" s="34" t="inlineStr">
        <is>
          <t>Region Nord</t>
        </is>
      </c>
      <c r="C672" s="34" t="inlineStr">
        <is>
          <t>Nye Kvæfjord ungdomssenter Storheimen</t>
        </is>
      </c>
      <c r="D672" s="18" t="n">
        <v>485</v>
      </c>
      <c r="E672" s="18" t="n">
        <v>10557</v>
      </c>
      <c r="F672" s="18" t="n">
        <v>11980</v>
      </c>
      <c r="G672" s="18" t="n">
        <v>9405</v>
      </c>
      <c r="H672" s="18" t="n">
        <v>10670</v>
      </c>
      <c r="I672" s="18" t="n">
        <v>9080</v>
      </c>
      <c r="J672" s="19" t="n">
        <v>14187.5</v>
      </c>
      <c r="K672" s="35" t="n">
        <v>0.25</v>
      </c>
    </row>
    <row r="673">
      <c r="A673" s="36" t="inlineStr">
        <is>
          <t>AGA SPK-tilskudd</t>
        </is>
      </c>
      <c r="B673" s="36" t="inlineStr">
        <is>
          <t>Region Nord</t>
        </is>
      </c>
      <c r="C673" s="36" t="inlineStr">
        <is>
          <t>Nye Kvæfjord ungdomssenter Storheimen</t>
        </is>
      </c>
      <c r="D673" s="26" t="n">
        <v>950</v>
      </c>
      <c r="E673" s="26" t="n">
        <v>2033</v>
      </c>
      <c r="F673" s="26" t="n">
        <v>4413</v>
      </c>
      <c r="G673" s="26" t="n">
        <v>9262</v>
      </c>
      <c r="H673" s="26" t="n">
        <v>23821</v>
      </c>
      <c r="I673" s="26" t="n">
        <v>9026</v>
      </c>
      <c r="J673" s="19" t="n">
        <v>14103.125</v>
      </c>
      <c r="K673" s="37" t="n">
        <v>0.25</v>
      </c>
    </row>
    <row r="674">
      <c r="A674" s="34" t="inlineStr">
        <is>
          <t>AGA SPK-tilskudd</t>
        </is>
      </c>
      <c r="B674" s="34" t="inlineStr">
        <is>
          <t>Region Nord</t>
        </is>
      </c>
      <c r="C674" s="34" t="inlineStr">
        <is>
          <t>Nye Kvæfjord ungdomssenter Storheimen</t>
        </is>
      </c>
      <c r="D674" s="18" t="n">
        <v>4860</v>
      </c>
      <c r="E674" s="18" t="n"/>
      <c r="F674" s="18" t="n">
        <v>25039</v>
      </c>
      <c r="G674" s="18" t="n"/>
      <c r="H674" s="18" t="n"/>
      <c r="I674" s="18" t="n">
        <v>3632</v>
      </c>
      <c r="J674" s="19" t="n">
        <v>3232.582876562742</v>
      </c>
      <c r="K674" s="35" t="n">
        <v>-0.05658687467005863</v>
      </c>
    </row>
    <row r="675">
      <c r="A675" s="36" t="inlineStr">
        <is>
          <t>AGA SPK-tilskudd</t>
        </is>
      </c>
      <c r="B675" s="36" t="inlineStr">
        <is>
          <t>Region Nord</t>
        </is>
      </c>
      <c r="C675" s="36" t="inlineStr">
        <is>
          <t>Nye Kvæfjord ungdomssenter Storheimen</t>
        </is>
      </c>
      <c r="D675" s="26" t="n"/>
      <c r="E675" s="26" t="n"/>
      <c r="F675" s="26" t="n"/>
      <c r="G675" s="26" t="n"/>
      <c r="H675" s="26" t="n">
        <v>-1243</v>
      </c>
      <c r="I675" s="26" t="n"/>
      <c r="J675" s="19" t="n">
        <v>0</v>
      </c>
      <c r="K675" s="37" t="n">
        <v>0.065</v>
      </c>
    </row>
    <row r="676">
      <c r="A676" s="34" t="inlineStr">
        <is>
          <t>AGA SPK-tilskudd</t>
        </is>
      </c>
      <c r="B676" s="34" t="inlineStr">
        <is>
          <t>Region Nord</t>
        </is>
      </c>
      <c r="C676" s="34" t="inlineStr">
        <is>
          <t>Nye Kvæfjord ungdomssenter Storheimen</t>
        </is>
      </c>
      <c r="D676" s="18" t="n"/>
      <c r="E676" s="18" t="n"/>
      <c r="F676" s="18" t="n"/>
      <c r="G676" s="18" t="n"/>
      <c r="H676" s="18" t="n">
        <v>1243</v>
      </c>
      <c r="I676" s="18" t="n"/>
      <c r="J676" s="19" t="n">
        <v>0</v>
      </c>
      <c r="K676" s="35" t="n">
        <v>0.065</v>
      </c>
    </row>
    <row r="677">
      <c r="A677" s="36" t="inlineStr">
        <is>
          <t>AGA SPK-tilskudd</t>
        </is>
      </c>
      <c r="B677" s="36" t="inlineStr">
        <is>
          <t>Region Nord</t>
        </is>
      </c>
      <c r="C677" s="36" t="inlineStr">
        <is>
          <t>Nye Kvæfjord ungdomssenter Storheimen</t>
        </is>
      </c>
      <c r="D677" s="26" t="n">
        <v>21767</v>
      </c>
      <c r="E677" s="26" t="n">
        <v>-743</v>
      </c>
      <c r="F677" s="26" t="n">
        <v>7165</v>
      </c>
      <c r="G677" s="26" t="n">
        <v>16158</v>
      </c>
      <c r="H677" s="26" t="n">
        <v>14994</v>
      </c>
      <c r="I677" s="26" t="n">
        <v>17426</v>
      </c>
      <c r="J677" s="19" t="n">
        <v>15942.53439681566</v>
      </c>
      <c r="K677" s="37" t="n">
        <v>-0.04351133773180016</v>
      </c>
    </row>
    <row r="678">
      <c r="A678" s="34" t="inlineStr">
        <is>
          <t>AGA SPK-tilskudd</t>
        </is>
      </c>
      <c r="B678" s="34" t="inlineStr">
        <is>
          <t>Region Nord</t>
        </is>
      </c>
      <c r="C678" s="34" t="inlineStr">
        <is>
          <t>Nye Kvæfjord ungdomssenter Storheimen</t>
        </is>
      </c>
      <c r="D678" s="18" t="n">
        <v>-458843</v>
      </c>
      <c r="E678" s="18" t="n">
        <v>-102575</v>
      </c>
      <c r="F678" s="18" t="n">
        <v>-385996</v>
      </c>
      <c r="G678" s="18" t="n">
        <v>-2615</v>
      </c>
      <c r="H678" s="18" t="n"/>
      <c r="I678" s="18" t="n">
        <v>-169416</v>
      </c>
      <c r="J678" s="19" t="n">
        <v>-192155.8626</v>
      </c>
      <c r="K678" s="35" t="n">
        <v>0.065</v>
      </c>
    </row>
    <row r="679">
      <c r="A679" s="36" t="inlineStr">
        <is>
          <t>AGA SPK-tilskudd</t>
        </is>
      </c>
      <c r="B679" s="36" t="inlineStr">
        <is>
          <t>Region Nord</t>
        </is>
      </c>
      <c r="C679" s="36" t="inlineStr">
        <is>
          <t>Nye Kvæfjord ungdomssenter Storheimen</t>
        </is>
      </c>
      <c r="D679" s="26" t="n">
        <v>-657221</v>
      </c>
      <c r="E679" s="26" t="n">
        <v>-1059569</v>
      </c>
      <c r="F679" s="26" t="n">
        <v>-879371</v>
      </c>
      <c r="G679" s="26" t="n">
        <v>-893928</v>
      </c>
      <c r="H679" s="26" t="n">
        <v>-1115231</v>
      </c>
      <c r="I679" s="26" t="n">
        <v>-449275</v>
      </c>
      <c r="J679" s="19" t="n">
        <v>-509578.9368749999</v>
      </c>
      <c r="K679" s="37" t="n">
        <v>0.065</v>
      </c>
    </row>
    <row r="680">
      <c r="A680" s="34" t="inlineStr">
        <is>
          <t>AGA SPK-tilskudd</t>
        </is>
      </c>
      <c r="B680" s="34" t="inlineStr">
        <is>
          <t>Region Nord</t>
        </is>
      </c>
      <c r="C680" s="34" t="inlineStr">
        <is>
          <t>Nye Kvæfjord ungdomssenter adm</t>
        </is>
      </c>
      <c r="D680" s="18" t="n">
        <v>12911</v>
      </c>
      <c r="E680" s="18" t="n">
        <v>10116</v>
      </c>
      <c r="F680" s="18" t="n">
        <v>9680</v>
      </c>
      <c r="G680" s="18" t="n">
        <v>11388</v>
      </c>
      <c r="H680" s="18" t="n">
        <v>12078</v>
      </c>
      <c r="I680" s="18" t="n">
        <v>14399</v>
      </c>
      <c r="J680" s="19" t="n">
        <v>15041.15933717326</v>
      </c>
      <c r="K680" s="35" t="n">
        <v>0.0220555246478078</v>
      </c>
    </row>
    <row r="681">
      <c r="A681" s="36" t="inlineStr">
        <is>
          <t>AGA SPK-tilskudd</t>
        </is>
      </c>
      <c r="B681" s="36" t="inlineStr">
        <is>
          <t>Region Nord</t>
        </is>
      </c>
      <c r="C681" s="36" t="inlineStr">
        <is>
          <t>Nye Kvæfjord ungdomssenter adm</t>
        </is>
      </c>
      <c r="D681" s="26" t="n">
        <v>18063</v>
      </c>
      <c r="E681" s="26" t="n">
        <v>42413</v>
      </c>
      <c r="F681" s="26" t="n">
        <v>150780</v>
      </c>
      <c r="G681" s="26" t="n">
        <v>50516</v>
      </c>
      <c r="H681" s="26" t="n">
        <v>122228</v>
      </c>
      <c r="I681" s="26" t="n">
        <v>68203</v>
      </c>
      <c r="J681" s="19" t="n">
        <v>106567.1875</v>
      </c>
      <c r="K681" s="37" t="n">
        <v>0.25</v>
      </c>
    </row>
    <row r="682">
      <c r="A682" s="34" t="inlineStr">
        <is>
          <t>AGA SPK-tilskudd</t>
        </is>
      </c>
      <c r="B682" s="34" t="inlineStr">
        <is>
          <t>Region Nord</t>
        </is>
      </c>
      <c r="C682" s="34" t="inlineStr">
        <is>
          <t>Nye Kvæfjord ungdomssenter adm</t>
        </is>
      </c>
      <c r="D682" s="18" t="n">
        <v>4060</v>
      </c>
      <c r="E682" s="18" t="n">
        <v>3783</v>
      </c>
      <c r="F682" s="18" t="n">
        <v>4090</v>
      </c>
      <c r="G682" s="18" t="n">
        <v>5841</v>
      </c>
      <c r="H682" s="18" t="n">
        <v>4995</v>
      </c>
      <c r="I682" s="18" t="n">
        <v>6632</v>
      </c>
      <c r="J682" s="19" t="n">
        <v>8070.341475062149</v>
      </c>
      <c r="K682" s="35" t="n">
        <v>0.1031223830644608</v>
      </c>
    </row>
    <row r="683">
      <c r="A683" s="36" t="inlineStr">
        <is>
          <t>AGA SPK-tilskudd</t>
        </is>
      </c>
      <c r="B683" s="36" t="inlineStr">
        <is>
          <t>Region Nord</t>
        </is>
      </c>
      <c r="C683" s="36" t="inlineStr">
        <is>
          <t>Nye Kvæfjord ungdomssenter adm</t>
        </is>
      </c>
      <c r="D683" s="26" t="n"/>
      <c r="E683" s="26" t="n"/>
      <c r="F683" s="26" t="n"/>
      <c r="G683" s="26" t="n">
        <v>21881</v>
      </c>
      <c r="H683" s="26" t="n">
        <v>18693</v>
      </c>
      <c r="I683" s="26" t="n"/>
      <c r="J683" s="19" t="n">
        <v>0</v>
      </c>
      <c r="K683" s="37" t="n">
        <v>0.065</v>
      </c>
    </row>
    <row r="684">
      <c r="A684" s="34" t="inlineStr">
        <is>
          <t>AGA SPK-tilskudd</t>
        </is>
      </c>
      <c r="B684" s="34" t="inlineStr">
        <is>
          <t>Region Nord</t>
        </is>
      </c>
      <c r="C684" s="34" t="inlineStr">
        <is>
          <t>Nye Kvæfjord ungdomssenter adm</t>
        </is>
      </c>
      <c r="D684" s="18" t="n">
        <v>7355</v>
      </c>
      <c r="E684" s="18" t="n">
        <v>4208</v>
      </c>
      <c r="F684" s="18" t="n">
        <v>7029</v>
      </c>
      <c r="G684" s="18" t="n">
        <v>648</v>
      </c>
      <c r="H684" s="18" t="n">
        <v>4796</v>
      </c>
      <c r="I684" s="18" t="n">
        <v>6006</v>
      </c>
      <c r="J684" s="19" t="n">
        <v>5538.426392657628</v>
      </c>
      <c r="K684" s="35" t="n">
        <v>-0.0397141485336715</v>
      </c>
    </row>
    <row r="685">
      <c r="A685" s="36" t="inlineStr">
        <is>
          <t>AGA SPK-tilskudd</t>
        </is>
      </c>
      <c r="B685" s="36" t="inlineStr">
        <is>
          <t>Region Nord</t>
        </is>
      </c>
      <c r="C685" s="36" t="inlineStr">
        <is>
          <t>Nye Kvæfjord ungdomssenter adm</t>
        </is>
      </c>
      <c r="D685" s="26" t="n">
        <v>3218</v>
      </c>
      <c r="E685" s="26" t="n">
        <v>8865</v>
      </c>
      <c r="F685" s="26" t="n">
        <v>22203</v>
      </c>
      <c r="G685" s="26" t="n">
        <v>6233</v>
      </c>
      <c r="H685" s="26" t="n">
        <v>17270</v>
      </c>
      <c r="I685" s="26" t="n">
        <v>15048</v>
      </c>
      <c r="J685" s="19" t="n">
        <v>23512.5</v>
      </c>
      <c r="K685" s="37" t="n">
        <v>0.25</v>
      </c>
    </row>
    <row r="686">
      <c r="A686" s="34" t="inlineStr">
        <is>
          <t>AGA SPK-tilskudd</t>
        </is>
      </c>
      <c r="B686" s="34" t="inlineStr">
        <is>
          <t>Region Nord</t>
        </is>
      </c>
      <c r="C686" s="34" t="inlineStr">
        <is>
          <t>Nye Kvæfjord ungdomssenter adm</t>
        </is>
      </c>
      <c r="D686" s="18" t="n">
        <v>1001</v>
      </c>
      <c r="E686" s="18" t="n">
        <v>2291</v>
      </c>
      <c r="F686" s="18" t="n">
        <v>11673</v>
      </c>
      <c r="G686" s="18" t="n">
        <v>3314</v>
      </c>
      <c r="H686" s="18" t="n">
        <v>1433</v>
      </c>
      <c r="I686" s="18" t="n">
        <v>4469</v>
      </c>
      <c r="J686" s="19" t="n">
        <v>6982.8125</v>
      </c>
      <c r="K686" s="35" t="n">
        <v>0.25</v>
      </c>
    </row>
    <row r="687">
      <c r="A687" s="36" t="inlineStr">
        <is>
          <t>AGA SPK-tilskudd</t>
        </is>
      </c>
      <c r="B687" s="36" t="inlineStr">
        <is>
          <t>Region Nord</t>
        </is>
      </c>
      <c r="C687" s="36" t="inlineStr">
        <is>
          <t>Nye Kvæfjord ungdomssenter adm</t>
        </is>
      </c>
      <c r="D687" s="26" t="n">
        <v>5662</v>
      </c>
      <c r="E687" s="26" t="n">
        <v>6417</v>
      </c>
      <c r="F687" s="26" t="n">
        <v>7191</v>
      </c>
      <c r="G687" s="26" t="n">
        <v>8191</v>
      </c>
      <c r="H687" s="26" t="n">
        <v>11875</v>
      </c>
      <c r="I687" s="26" t="n">
        <v>6756</v>
      </c>
      <c r="J687" s="19" t="n">
        <v>7250.66017867031</v>
      </c>
      <c r="K687" s="37" t="n">
        <v>0.03596230956959667</v>
      </c>
    </row>
    <row r="688">
      <c r="A688" s="34" t="inlineStr">
        <is>
          <t>AGA SPK-tilskudd</t>
        </is>
      </c>
      <c r="B688" s="34" t="inlineStr">
        <is>
          <t>Region Nord</t>
        </is>
      </c>
      <c r="C688" s="34" t="inlineStr">
        <is>
          <t>Nye Kvæfjord ungdomssenter adm</t>
        </is>
      </c>
      <c r="D688" s="18" t="n">
        <v>2030</v>
      </c>
      <c r="E688" s="18" t="n">
        <v>2700</v>
      </c>
      <c r="F688" s="18" t="n">
        <v>7008</v>
      </c>
      <c r="G688" s="18" t="n">
        <v>3032</v>
      </c>
      <c r="H688" s="18" t="n">
        <v>7369</v>
      </c>
      <c r="I688" s="18" t="n">
        <v>13355</v>
      </c>
      <c r="J688" s="19" t="n">
        <v>20867.1875</v>
      </c>
      <c r="K688" s="35" t="n">
        <v>0.25</v>
      </c>
    </row>
    <row r="689">
      <c r="A689" s="36" t="inlineStr">
        <is>
          <t>AGA SPK-tilskudd</t>
        </is>
      </c>
      <c r="B689" s="36" t="inlineStr">
        <is>
          <t>Region Nord</t>
        </is>
      </c>
      <c r="C689" s="36" t="inlineStr">
        <is>
          <t>Nye Kvæfjord ungdomssenter adm</t>
        </is>
      </c>
      <c r="D689" s="26" t="n">
        <v>3615</v>
      </c>
      <c r="E689" s="26" t="n">
        <v>-467</v>
      </c>
      <c r="F689" s="26" t="n">
        <v>10900</v>
      </c>
      <c r="G689" s="26" t="n">
        <v>3380</v>
      </c>
      <c r="H689" s="26" t="n">
        <v>4617</v>
      </c>
      <c r="I689" s="26" t="n">
        <v>4168</v>
      </c>
      <c r="J689" s="19" t="n">
        <v>4412.202879877746</v>
      </c>
      <c r="K689" s="37" t="n">
        <v>0.02887800170335764</v>
      </c>
    </row>
    <row r="690">
      <c r="A690" s="34" t="inlineStr">
        <is>
          <t>AGA SPK-tilskudd</t>
        </is>
      </c>
      <c r="B690" s="34" t="inlineStr">
        <is>
          <t>Region Nord</t>
        </is>
      </c>
      <c r="C690" s="34" t="inlineStr">
        <is>
          <t>Nye Kvæfjord ungdomssenter adm</t>
        </is>
      </c>
      <c r="D690" s="18" t="n"/>
      <c r="E690" s="18" t="n"/>
      <c r="F690" s="18" t="n"/>
      <c r="G690" s="18" t="n"/>
      <c r="H690" s="18" t="n"/>
      <c r="I690" s="18" t="n">
        <v>-193410</v>
      </c>
      <c r="J690" s="19" t="n">
        <v>-219370.45725</v>
      </c>
      <c r="K690" s="35" t="n">
        <v>0.065</v>
      </c>
    </row>
    <row r="691">
      <c r="A691" s="36" t="inlineStr">
        <is>
          <t>AGA SPK-tilskudd</t>
        </is>
      </c>
      <c r="B691" s="36" t="inlineStr">
        <is>
          <t>Region Nord</t>
        </is>
      </c>
      <c r="C691" s="36" t="inlineStr">
        <is>
          <t>Nye Kvæfjord ungdomssenter adm</t>
        </is>
      </c>
      <c r="D691" s="26" t="n">
        <v>-23375</v>
      </c>
      <c r="E691" s="26" t="n">
        <v>-4255</v>
      </c>
      <c r="F691" s="26" t="n"/>
      <c r="G691" s="26" t="n"/>
      <c r="H691" s="26" t="n"/>
      <c r="I691" s="26" t="n">
        <v>-116344</v>
      </c>
      <c r="J691" s="19" t="n">
        <v>-131960.2734</v>
      </c>
      <c r="K691" s="37" t="n">
        <v>0.065</v>
      </c>
    </row>
    <row r="692">
      <c r="A692" s="34" t="inlineStr">
        <is>
          <t>AGA SPK-tilskudd</t>
        </is>
      </c>
      <c r="B692" s="34" t="inlineStr">
        <is>
          <t>Region Nord</t>
        </is>
      </c>
      <c r="C692" s="34" t="inlineStr">
        <is>
          <t>Regiondirektøren</t>
        </is>
      </c>
      <c r="D692" s="18" t="n">
        <v>25314</v>
      </c>
      <c r="E692" s="18" t="n">
        <v>2210</v>
      </c>
      <c r="F692" s="18" t="n">
        <v>4903</v>
      </c>
      <c r="G692" s="18" t="n"/>
      <c r="H692" s="18" t="n"/>
      <c r="I692" s="18" t="n"/>
      <c r="J692" s="19" t="n">
        <v>0</v>
      </c>
      <c r="K692" s="35" t="n">
        <v>0.065</v>
      </c>
    </row>
    <row r="693">
      <c r="A693" s="36" t="inlineStr">
        <is>
          <t>AGA SPK-tilskudd</t>
        </is>
      </c>
      <c r="B693" s="36" t="inlineStr">
        <is>
          <t>Region Nord</t>
        </is>
      </c>
      <c r="C693" s="36" t="inlineStr">
        <is>
          <t>Regiondirektøren</t>
        </is>
      </c>
      <c r="D693" s="26" t="n">
        <v>556</v>
      </c>
      <c r="E693" s="26" t="n"/>
      <c r="F693" s="26" t="n"/>
      <c r="G693" s="26" t="n"/>
      <c r="H693" s="26" t="n"/>
      <c r="I693" s="26" t="n"/>
      <c r="J693" s="19" t="n">
        <v>0</v>
      </c>
      <c r="K693" s="37" t="n">
        <v>0.065</v>
      </c>
    </row>
    <row r="694">
      <c r="A694" s="34" t="inlineStr">
        <is>
          <t>AGA SPK-tilskudd</t>
        </is>
      </c>
      <c r="B694" s="34" t="inlineStr">
        <is>
          <t>Region Nord</t>
        </is>
      </c>
      <c r="C694" s="34" t="inlineStr">
        <is>
          <t>Regionkontoret frikjøpte (tillitsvalgt osv)</t>
        </is>
      </c>
      <c r="D694" s="18" t="n"/>
      <c r="E694" s="18" t="n"/>
      <c r="F694" s="18" t="n"/>
      <c r="G694" s="18" t="n">
        <v>56</v>
      </c>
      <c r="H694" s="18" t="n">
        <v>5871</v>
      </c>
      <c r="I694" s="18" t="n">
        <v>29965</v>
      </c>
      <c r="J694" s="19" t="n">
        <v>33987.05212499999</v>
      </c>
      <c r="K694" s="35" t="n">
        <v>0.065</v>
      </c>
    </row>
    <row r="695">
      <c r="A695" s="36" t="inlineStr">
        <is>
          <t>AGA SPK-tilskudd</t>
        </is>
      </c>
      <c r="B695" s="36" t="inlineStr">
        <is>
          <t>Region Nord</t>
        </is>
      </c>
      <c r="C695" s="36" t="inlineStr">
        <is>
          <t>Røvika ungdomssenter Administrasjon</t>
        </is>
      </c>
      <c r="D695" s="26" t="n">
        <v>9736</v>
      </c>
      <c r="E695" s="26" t="n">
        <v>9130</v>
      </c>
      <c r="F695" s="26" t="n">
        <v>8493</v>
      </c>
      <c r="G695" s="26" t="n">
        <v>7053</v>
      </c>
      <c r="H695" s="26" t="n">
        <v>6996</v>
      </c>
      <c r="I695" s="26" t="n">
        <v>5228</v>
      </c>
      <c r="J695" s="19" t="n">
        <v>4076.78289719545</v>
      </c>
      <c r="K695" s="37" t="n">
        <v>-0.1169383941255309</v>
      </c>
    </row>
    <row r="696">
      <c r="A696" s="34" t="inlineStr">
        <is>
          <t>AGA SPK-tilskudd</t>
        </is>
      </c>
      <c r="B696" s="34" t="inlineStr">
        <is>
          <t>Region Nord</t>
        </is>
      </c>
      <c r="C696" s="34" t="inlineStr">
        <is>
          <t>Røvika ungdomssenter Administrasjon</t>
        </is>
      </c>
      <c r="D696" s="18" t="n">
        <v>11556</v>
      </c>
      <c r="E696" s="18" t="n">
        <v>22916</v>
      </c>
      <c r="F696" s="18" t="n">
        <v>67159</v>
      </c>
      <c r="G696" s="18" t="n">
        <v>28795</v>
      </c>
      <c r="H696" s="18" t="n">
        <v>87860</v>
      </c>
      <c r="I696" s="18" t="n">
        <v>39199</v>
      </c>
      <c r="J696" s="19" t="n">
        <v>61248.4375</v>
      </c>
      <c r="K696" s="35" t="n">
        <v>0.25</v>
      </c>
    </row>
    <row r="697">
      <c r="A697" s="36" t="inlineStr">
        <is>
          <t>AGA SPK-tilskudd</t>
        </is>
      </c>
      <c r="B697" s="36" t="inlineStr">
        <is>
          <t>Region Nord</t>
        </is>
      </c>
      <c r="C697" s="36" t="inlineStr">
        <is>
          <t>Røvika ungdomssenter Administrasjon</t>
        </is>
      </c>
      <c r="D697" s="26" t="n">
        <v>3200</v>
      </c>
      <c r="E697" s="26" t="n">
        <v>3988</v>
      </c>
      <c r="F697" s="26" t="n">
        <v>3477</v>
      </c>
      <c r="G697" s="26" t="n">
        <v>3186</v>
      </c>
      <c r="H697" s="26" t="n">
        <v>3330</v>
      </c>
      <c r="I697" s="26" t="n">
        <v>3460</v>
      </c>
      <c r="J697" s="19" t="n">
        <v>3569.821879235394</v>
      </c>
      <c r="K697" s="37" t="n">
        <v>0.0157462416985259</v>
      </c>
    </row>
    <row r="698">
      <c r="A698" s="34" t="inlineStr">
        <is>
          <t>AGA SPK-tilskudd</t>
        </is>
      </c>
      <c r="B698" s="34" t="inlineStr">
        <is>
          <t>Region Nord</t>
        </is>
      </c>
      <c r="C698" s="34" t="inlineStr">
        <is>
          <t>Røvika ungdomssenter Administrasjon</t>
        </is>
      </c>
      <c r="D698" s="18" t="n"/>
      <c r="E698" s="18" t="n"/>
      <c r="F698" s="18" t="n">
        <v>625</v>
      </c>
      <c r="G698" s="18" t="n"/>
      <c r="H698" s="18" t="n"/>
      <c r="I698" s="18" t="n"/>
      <c r="J698" s="19" t="n">
        <v>0</v>
      </c>
      <c r="K698" s="35" t="n">
        <v>0.065</v>
      </c>
    </row>
    <row r="699">
      <c r="A699" s="36" t="inlineStr">
        <is>
          <t>AGA SPK-tilskudd</t>
        </is>
      </c>
      <c r="B699" s="36" t="inlineStr">
        <is>
          <t>Region Nord</t>
        </is>
      </c>
      <c r="C699" s="36" t="inlineStr">
        <is>
          <t>Røvika ungdomssenter Administrasjon</t>
        </is>
      </c>
      <c r="D699" s="26" t="n">
        <v>1470</v>
      </c>
      <c r="E699" s="26" t="n">
        <v>3690</v>
      </c>
      <c r="F699" s="26" t="n">
        <v>3784</v>
      </c>
      <c r="G699" s="26" t="n">
        <v>2733</v>
      </c>
      <c r="H699" s="26" t="n">
        <v>4355</v>
      </c>
      <c r="I699" s="26" t="n">
        <v>2001</v>
      </c>
      <c r="J699" s="19" t="n">
        <v>2263.700622062658</v>
      </c>
      <c r="K699" s="37" t="n">
        <v>0.06361866695586937</v>
      </c>
    </row>
    <row r="700">
      <c r="A700" s="34" t="inlineStr">
        <is>
          <t>AGA SPK-tilskudd</t>
        </is>
      </c>
      <c r="B700" s="34" t="inlineStr">
        <is>
          <t>Region Nord</t>
        </is>
      </c>
      <c r="C700" s="34" t="inlineStr">
        <is>
          <t>Røvika ungdomssenter Administrasjon</t>
        </is>
      </c>
      <c r="D700" s="18" t="n">
        <v>588</v>
      </c>
      <c r="E700" s="18" t="n">
        <v>5270</v>
      </c>
      <c r="F700" s="18" t="n">
        <v>10697</v>
      </c>
      <c r="G700" s="18" t="n">
        <v>6503</v>
      </c>
      <c r="H700" s="18" t="n">
        <v>7420</v>
      </c>
      <c r="I700" s="18" t="n">
        <v>5303</v>
      </c>
      <c r="J700" s="19" t="n">
        <v>8285.9375</v>
      </c>
      <c r="K700" s="35" t="n">
        <v>0.25</v>
      </c>
    </row>
    <row r="701">
      <c r="A701" s="36" t="inlineStr">
        <is>
          <t>AGA SPK-tilskudd</t>
        </is>
      </c>
      <c r="B701" s="36" t="inlineStr">
        <is>
          <t>Region Nord</t>
        </is>
      </c>
      <c r="C701" s="36" t="inlineStr">
        <is>
          <t>Røvika ungdomssenter Administrasjon</t>
        </is>
      </c>
      <c r="D701" s="26" t="n">
        <v>908</v>
      </c>
      <c r="E701" s="26" t="n">
        <v>1516</v>
      </c>
      <c r="F701" s="26" t="n">
        <v>2728</v>
      </c>
      <c r="G701" s="26" t="n">
        <v>1347</v>
      </c>
      <c r="H701" s="26" t="n">
        <v>945</v>
      </c>
      <c r="I701" s="26" t="n">
        <v>905</v>
      </c>
      <c r="J701" s="19" t="n">
        <v>903.8027771667432</v>
      </c>
      <c r="K701" s="37" t="n">
        <v>-0.000661667981406211</v>
      </c>
    </row>
    <row r="702">
      <c r="A702" s="34" t="inlineStr">
        <is>
          <t>AGA SPK-tilskudd</t>
        </is>
      </c>
      <c r="B702" s="34" t="inlineStr">
        <is>
          <t>Region Nord</t>
        </is>
      </c>
      <c r="C702" s="34" t="inlineStr">
        <is>
          <t>Røvika ungdomssenter Administrasjon</t>
        </is>
      </c>
      <c r="D702" s="18" t="n">
        <v>1433</v>
      </c>
      <c r="E702" s="18" t="n">
        <v>1860</v>
      </c>
      <c r="F702" s="18" t="n">
        <v>4799</v>
      </c>
      <c r="G702" s="18" t="n">
        <v>1030</v>
      </c>
      <c r="H702" s="18" t="n">
        <v>782</v>
      </c>
      <c r="I702" s="18" t="n">
        <v>3306</v>
      </c>
      <c r="J702" s="19" t="n">
        <v>4618.761241615062</v>
      </c>
      <c r="K702" s="35" t="n">
        <v>0.181983276150016</v>
      </c>
    </row>
    <row r="703">
      <c r="A703" s="36" t="inlineStr">
        <is>
          <t>AGA SPK-tilskudd</t>
        </is>
      </c>
      <c r="B703" s="36" t="inlineStr">
        <is>
          <t>Region Nord</t>
        </is>
      </c>
      <c r="C703" s="36" t="inlineStr">
        <is>
          <t>Røvika ungdomssenter Administrasjon</t>
        </is>
      </c>
      <c r="D703" s="26" t="n">
        <v>426</v>
      </c>
      <c r="E703" s="26" t="n">
        <v>1706</v>
      </c>
      <c r="F703" s="26" t="n">
        <v>3801</v>
      </c>
      <c r="G703" s="26" t="n">
        <v>2521</v>
      </c>
      <c r="H703" s="26" t="n">
        <v>4012</v>
      </c>
      <c r="I703" s="26" t="n">
        <v>2612</v>
      </c>
      <c r="J703" s="19" t="n">
        <v>4081.25</v>
      </c>
      <c r="K703" s="37" t="n">
        <v>0.25</v>
      </c>
    </row>
    <row r="704">
      <c r="A704" s="34" t="inlineStr">
        <is>
          <t>AGA SPK-tilskudd</t>
        </is>
      </c>
      <c r="B704" s="34" t="inlineStr">
        <is>
          <t>Region Nord</t>
        </is>
      </c>
      <c r="C704" s="34" t="inlineStr">
        <is>
          <t>Røvika ungdomssenter Administrasjon</t>
        </is>
      </c>
      <c r="D704" s="18" t="n"/>
      <c r="E704" s="18" t="n">
        <v>6766</v>
      </c>
      <c r="F704" s="18" t="n"/>
      <c r="G704" s="18" t="n">
        <v>7889</v>
      </c>
      <c r="H704" s="18" t="n"/>
      <c r="I704" s="18" t="n">
        <v>9979</v>
      </c>
      <c r="J704" s="19" t="n">
        <v>12118.93726237358</v>
      </c>
      <c r="K704" s="35" t="n">
        <v>0.1020181753314031</v>
      </c>
    </row>
    <row r="705">
      <c r="A705" s="36" t="inlineStr">
        <is>
          <t>AGA SPK-tilskudd</t>
        </is>
      </c>
      <c r="B705" s="36" t="inlineStr">
        <is>
          <t>Region Nord</t>
        </is>
      </c>
      <c r="C705" s="36" t="inlineStr">
        <is>
          <t>Røvika ungdomssenter Administrasjon</t>
        </is>
      </c>
      <c r="D705" s="26" t="n">
        <v>600</v>
      </c>
      <c r="E705" s="26" t="n"/>
      <c r="F705" s="26" t="n"/>
      <c r="G705" s="26" t="n"/>
      <c r="H705" s="26" t="n"/>
      <c r="I705" s="26" t="n"/>
      <c r="J705" s="19" t="n">
        <v>0</v>
      </c>
      <c r="K705" s="37" t="n">
        <v>0.065</v>
      </c>
    </row>
    <row r="706">
      <c r="A706" s="34" t="inlineStr">
        <is>
          <t>AGA SPK-tilskudd</t>
        </is>
      </c>
      <c r="B706" s="34" t="inlineStr">
        <is>
          <t>Region Nord</t>
        </is>
      </c>
      <c r="C706" s="34" t="inlineStr">
        <is>
          <t>Røvika ungdomssenter Administrasjon</t>
        </is>
      </c>
      <c r="D706" s="18" t="n"/>
      <c r="E706" s="18" t="n"/>
      <c r="F706" s="18" t="n"/>
      <c r="G706" s="18" t="n">
        <v>-17000</v>
      </c>
      <c r="H706" s="18" t="n"/>
      <c r="I706" s="18" t="n"/>
      <c r="J706" s="19" t="n">
        <v>0</v>
      </c>
      <c r="K706" s="35" t="n">
        <v>0.065</v>
      </c>
    </row>
    <row r="707">
      <c r="A707" s="36" t="inlineStr">
        <is>
          <t>AGA SPK-tilskudd</t>
        </is>
      </c>
      <c r="B707" s="36" t="inlineStr">
        <is>
          <t>Region Nord</t>
        </is>
      </c>
      <c r="C707" s="36" t="inlineStr">
        <is>
          <t>Røvika ungdomssenter Administrasjon</t>
        </is>
      </c>
      <c r="D707" s="26" t="n">
        <v>7504</v>
      </c>
      <c r="E707" s="26" t="n">
        <v>3397</v>
      </c>
      <c r="F707" s="26" t="n">
        <v>1917</v>
      </c>
      <c r="G707" s="26" t="n">
        <v>5223</v>
      </c>
      <c r="H707" s="26" t="n">
        <v>2864</v>
      </c>
      <c r="I707" s="26" t="n">
        <v>2487</v>
      </c>
      <c r="J707" s="19" t="n">
        <v>1598.928226044903</v>
      </c>
      <c r="K707" s="37" t="n">
        <v>-0.1981805405611922</v>
      </c>
    </row>
    <row r="708">
      <c r="A708" s="34" t="inlineStr">
        <is>
          <t>AGA SPK-tilskudd</t>
        </is>
      </c>
      <c r="B708" s="34" t="inlineStr">
        <is>
          <t>Region Nord</t>
        </is>
      </c>
      <c r="C708" s="34" t="inlineStr">
        <is>
          <t>Røvika ungdomssenter Administrasjon</t>
        </is>
      </c>
      <c r="D708" s="18" t="n">
        <v>-641</v>
      </c>
      <c r="E708" s="18" t="n">
        <v>-9240</v>
      </c>
      <c r="F708" s="18" t="n">
        <v>-81637</v>
      </c>
      <c r="G708" s="18" t="n">
        <v>-10087</v>
      </c>
      <c r="H708" s="18" t="n">
        <v>-100789</v>
      </c>
      <c r="I708" s="18" t="n">
        <v>-161203</v>
      </c>
      <c r="J708" s="19" t="n">
        <v>-182840.472675</v>
      </c>
      <c r="K708" s="35" t="n">
        <v>0.065</v>
      </c>
    </row>
    <row r="709">
      <c r="A709" s="36" t="inlineStr">
        <is>
          <t>AGA SPK-tilskudd</t>
        </is>
      </c>
      <c r="B709" s="36" t="inlineStr">
        <is>
          <t>Region Nord</t>
        </is>
      </c>
      <c r="C709" s="36" t="inlineStr">
        <is>
          <t>Røvika ungdomssenter Skogly</t>
        </is>
      </c>
      <c r="D709" s="26" t="n">
        <v>55505</v>
      </c>
      <c r="E709" s="26" t="n">
        <v>54325</v>
      </c>
      <c r="F709" s="26" t="n">
        <v>52880</v>
      </c>
      <c r="G709" s="26" t="n">
        <v>60093</v>
      </c>
      <c r="H709" s="26" t="n">
        <v>52430</v>
      </c>
      <c r="I709" s="26" t="n">
        <v>51468</v>
      </c>
      <c r="J709" s="19" t="n">
        <v>49936.64563718304</v>
      </c>
      <c r="K709" s="37" t="n">
        <v>-0.01498909843476381</v>
      </c>
    </row>
    <row r="710">
      <c r="A710" s="34" t="inlineStr">
        <is>
          <t>AGA SPK-tilskudd</t>
        </is>
      </c>
      <c r="B710" s="34" t="inlineStr">
        <is>
          <t>Region Nord</t>
        </is>
      </c>
      <c r="C710" s="34" t="inlineStr">
        <is>
          <t>Røvika ungdomssenter Skogly</t>
        </is>
      </c>
      <c r="D710" s="18" t="n">
        <v>105909</v>
      </c>
      <c r="E710" s="18" t="n">
        <v>65594</v>
      </c>
      <c r="F710" s="18" t="n">
        <v>351300</v>
      </c>
      <c r="G710" s="18" t="n">
        <v>712927</v>
      </c>
      <c r="H710" s="18" t="n">
        <v>668541</v>
      </c>
      <c r="I710" s="18" t="n">
        <v>21889</v>
      </c>
      <c r="J710" s="19" t="n">
        <v>12312.5625</v>
      </c>
      <c r="K710" s="35" t="n">
        <v>-0.25</v>
      </c>
    </row>
    <row r="711">
      <c r="A711" s="36" t="inlineStr">
        <is>
          <t>AGA SPK-tilskudd</t>
        </is>
      </c>
      <c r="B711" s="36" t="inlineStr">
        <is>
          <t>Region Nord</t>
        </is>
      </c>
      <c r="C711" s="36" t="inlineStr">
        <is>
          <t>Røvika ungdomssenter Skogly</t>
        </is>
      </c>
      <c r="D711" s="26" t="n">
        <v>68647</v>
      </c>
      <c r="E711" s="26" t="n">
        <v>24314</v>
      </c>
      <c r="F711" s="26" t="n">
        <v>119429</v>
      </c>
      <c r="G711" s="26" t="n">
        <v>127150</v>
      </c>
      <c r="H711" s="26" t="n">
        <v>124422</v>
      </c>
      <c r="I711" s="26" t="n">
        <v>58364</v>
      </c>
      <c r="J711" s="19" t="n">
        <v>54695.85849168821</v>
      </c>
      <c r="K711" s="37" t="n">
        <v>-0.03193460191845054</v>
      </c>
    </row>
    <row r="712">
      <c r="A712" s="34" t="inlineStr">
        <is>
          <t>AGA SPK-tilskudd</t>
        </is>
      </c>
      <c r="B712" s="34" t="inlineStr">
        <is>
          <t>Region Nord</t>
        </is>
      </c>
      <c r="C712" s="34" t="inlineStr">
        <is>
          <t>Røvika ungdomssenter Skogly</t>
        </is>
      </c>
      <c r="D712" s="18" t="n">
        <v>45800</v>
      </c>
      <c r="E712" s="18" t="n">
        <v>39266</v>
      </c>
      <c r="F712" s="18" t="n">
        <v>45092</v>
      </c>
      <c r="G712" s="18" t="n">
        <v>67712</v>
      </c>
      <c r="H712" s="18" t="n">
        <v>72422</v>
      </c>
      <c r="I712" s="18" t="n">
        <v>70638</v>
      </c>
      <c r="J712" s="19" t="n">
        <v>84005.46902847047</v>
      </c>
      <c r="K712" s="35" t="n">
        <v>0.09052238141312619</v>
      </c>
    </row>
    <row r="713">
      <c r="A713" s="36" t="inlineStr">
        <is>
          <t>AGA SPK-tilskudd</t>
        </is>
      </c>
      <c r="B713" s="36" t="inlineStr">
        <is>
          <t>Region Nord</t>
        </is>
      </c>
      <c r="C713" s="36" t="inlineStr">
        <is>
          <t>Røvika ungdomssenter Skogly</t>
        </is>
      </c>
      <c r="D713" s="26" t="n"/>
      <c r="E713" s="26" t="n"/>
      <c r="F713" s="26" t="n">
        <v>3125</v>
      </c>
      <c r="G713" s="26" t="n"/>
      <c r="H713" s="26" t="n"/>
      <c r="I713" s="26" t="n"/>
      <c r="J713" s="19" t="n">
        <v>0</v>
      </c>
      <c r="K713" s="37" t="n">
        <v>0.065</v>
      </c>
    </row>
    <row r="714">
      <c r="A714" s="34" t="inlineStr">
        <is>
          <t>AGA SPK-tilskudd</t>
        </is>
      </c>
      <c r="B714" s="34" t="inlineStr">
        <is>
          <t>Region Nord</t>
        </is>
      </c>
      <c r="C714" s="34" t="inlineStr">
        <is>
          <t>Røvika ungdomssenter Skogly</t>
        </is>
      </c>
      <c r="D714" s="18" t="n">
        <v>788</v>
      </c>
      <c r="E714" s="18" t="n">
        <v>1378</v>
      </c>
      <c r="F714" s="18" t="n">
        <v>2067</v>
      </c>
      <c r="G714" s="18" t="n">
        <v>5594</v>
      </c>
      <c r="H714" s="18" t="n">
        <v>4998</v>
      </c>
      <c r="I714" s="18" t="n">
        <v>1710</v>
      </c>
      <c r="J714" s="19" t="n">
        <v>2331.224332985806</v>
      </c>
      <c r="K714" s="35" t="n">
        <v>0.167599710353437</v>
      </c>
    </row>
    <row r="715">
      <c r="A715" s="36" t="inlineStr">
        <is>
          <t>AGA SPK-tilskudd</t>
        </is>
      </c>
      <c r="B715" s="36" t="inlineStr">
        <is>
          <t>Region Nord</t>
        </is>
      </c>
      <c r="C715" s="36" t="inlineStr">
        <is>
          <t>Røvika ungdomssenter Skogly</t>
        </is>
      </c>
      <c r="D715" s="26" t="n">
        <v>4829</v>
      </c>
      <c r="E715" s="26" t="n">
        <v>769</v>
      </c>
      <c r="F715" s="26" t="n">
        <v>9446</v>
      </c>
      <c r="G715" s="26" t="n">
        <v>19078</v>
      </c>
      <c r="H715" s="26" t="n">
        <v>3022</v>
      </c>
      <c r="I715" s="26" t="n">
        <v>9661</v>
      </c>
      <c r="J715" s="19" t="n">
        <v>12749.34967973921</v>
      </c>
      <c r="K715" s="37" t="n">
        <v>0.148769708630702</v>
      </c>
    </row>
    <row r="716">
      <c r="A716" s="34" t="inlineStr">
        <is>
          <t>AGA SPK-tilskudd</t>
        </is>
      </c>
      <c r="B716" s="34" t="inlineStr">
        <is>
          <t>Region Nord</t>
        </is>
      </c>
      <c r="C716" s="34" t="inlineStr">
        <is>
          <t>Røvika ungdomssenter Skogly</t>
        </is>
      </c>
      <c r="D716" s="18" t="n">
        <v>2033</v>
      </c>
      <c r="E716" s="18" t="n">
        <v>1351</v>
      </c>
      <c r="F716" s="18" t="n">
        <v>12286</v>
      </c>
      <c r="G716" s="18" t="n">
        <v>21781</v>
      </c>
      <c r="H716" s="18" t="n">
        <v>8809</v>
      </c>
      <c r="I716" s="18" t="n">
        <v>8300</v>
      </c>
      <c r="J716" s="19" t="n">
        <v>12968.75</v>
      </c>
      <c r="K716" s="35" t="n">
        <v>0.25</v>
      </c>
    </row>
    <row r="717">
      <c r="A717" s="36" t="inlineStr">
        <is>
          <t>AGA SPK-tilskudd</t>
        </is>
      </c>
      <c r="B717" s="36" t="inlineStr">
        <is>
          <t>Region Nord</t>
        </is>
      </c>
      <c r="C717" s="36" t="inlineStr">
        <is>
          <t>Røvika ungdomssenter Skogly</t>
        </is>
      </c>
      <c r="D717" s="26" t="n">
        <v>2661</v>
      </c>
      <c r="E717" s="26" t="n">
        <v>5145</v>
      </c>
      <c r="F717" s="26" t="n">
        <v>14147</v>
      </c>
      <c r="G717" s="26" t="n">
        <v>9360</v>
      </c>
      <c r="H717" s="26" t="n">
        <v>7838</v>
      </c>
      <c r="I717" s="26" t="n">
        <v>3891</v>
      </c>
      <c r="J717" s="19" t="n">
        <v>4529.682618074057</v>
      </c>
      <c r="K717" s="37" t="n">
        <v>0.07895484924597285</v>
      </c>
    </row>
    <row r="718">
      <c r="A718" s="34" t="inlineStr">
        <is>
          <t>AGA SPK-tilskudd</t>
        </is>
      </c>
      <c r="B718" s="34" t="inlineStr">
        <is>
          <t>Region Nord</t>
        </is>
      </c>
      <c r="C718" s="34" t="inlineStr">
        <is>
          <t>Røvika ungdomssenter Skogly</t>
        </is>
      </c>
      <c r="D718" s="18" t="n">
        <v>1367</v>
      </c>
      <c r="E718" s="18" t="n">
        <v>1513</v>
      </c>
      <c r="F718" s="18" t="n">
        <v>3527</v>
      </c>
      <c r="G718" s="18" t="n">
        <v>6958</v>
      </c>
      <c r="H718" s="18" t="n">
        <v>2559</v>
      </c>
      <c r="I718" s="18" t="n">
        <v>6080</v>
      </c>
      <c r="J718" s="19" t="n">
        <v>9500</v>
      </c>
      <c r="K718" s="35" t="n">
        <v>0.25</v>
      </c>
    </row>
    <row r="719">
      <c r="A719" s="36" t="inlineStr">
        <is>
          <t>AGA SPK-tilskudd</t>
        </is>
      </c>
      <c r="B719" s="36" t="inlineStr">
        <is>
          <t>Region Nord</t>
        </is>
      </c>
      <c r="C719" s="36" t="inlineStr">
        <is>
          <t>Røvika ungdomssenter Skogly</t>
        </is>
      </c>
      <c r="D719" s="26" t="n">
        <v>4240</v>
      </c>
      <c r="E719" s="26" t="n"/>
      <c r="F719" s="26" t="n">
        <v>3680</v>
      </c>
      <c r="G719" s="26" t="n"/>
      <c r="H719" s="26" t="n"/>
      <c r="I719" s="26" t="n"/>
      <c r="J719" s="19" t="n">
        <v>0</v>
      </c>
      <c r="K719" s="37" t="n">
        <v>0.065</v>
      </c>
    </row>
    <row r="720">
      <c r="A720" s="34" t="inlineStr">
        <is>
          <t>AGA SPK-tilskudd</t>
        </is>
      </c>
      <c r="B720" s="34" t="inlineStr">
        <is>
          <t>Region Nord</t>
        </is>
      </c>
      <c r="C720" s="34" t="inlineStr">
        <is>
          <t>Røvika ungdomssenter Skogly</t>
        </is>
      </c>
      <c r="D720" s="18" t="n">
        <v>2800</v>
      </c>
      <c r="E720" s="18" t="n"/>
      <c r="F720" s="18" t="n"/>
      <c r="G720" s="18" t="n"/>
      <c r="H720" s="18" t="n"/>
      <c r="I720" s="18" t="n"/>
      <c r="J720" s="19" t="n">
        <v>0</v>
      </c>
      <c r="K720" s="35" t="n">
        <v>0.065</v>
      </c>
    </row>
    <row r="721">
      <c r="A721" s="36" t="inlineStr">
        <is>
          <t>AGA SPK-tilskudd</t>
        </is>
      </c>
      <c r="B721" s="36" t="inlineStr">
        <is>
          <t>Region Nord</t>
        </is>
      </c>
      <c r="C721" s="36" t="inlineStr">
        <is>
          <t>Røvika ungdomssenter Skogly</t>
        </is>
      </c>
      <c r="D721" s="26" t="n">
        <v>-14837</v>
      </c>
      <c r="E721" s="26" t="n">
        <v>-15261</v>
      </c>
      <c r="F721" s="26" t="n">
        <v>-2006</v>
      </c>
      <c r="G721" s="26" t="n">
        <v>11266</v>
      </c>
      <c r="H721" s="26" t="n">
        <v>1182</v>
      </c>
      <c r="I721" s="26" t="n">
        <v>-187</v>
      </c>
      <c r="J721" s="19" t="n">
        <v>-212.100075</v>
      </c>
      <c r="K721" s="37" t="n">
        <v>0.065</v>
      </c>
    </row>
    <row r="722">
      <c r="A722" s="34" t="inlineStr">
        <is>
          <t>AGA SPK-tilskudd</t>
        </is>
      </c>
      <c r="B722" s="34" t="inlineStr">
        <is>
          <t>Region Nord</t>
        </is>
      </c>
      <c r="C722" s="34" t="inlineStr">
        <is>
          <t>Røvika ungdomssenter Skogly</t>
        </is>
      </c>
      <c r="D722" s="18" t="n"/>
      <c r="E722" s="18" t="n"/>
      <c r="F722" s="18" t="n"/>
      <c r="G722" s="18" t="n"/>
      <c r="H722" s="18" t="n"/>
      <c r="I722" s="18" t="n">
        <v>-56247</v>
      </c>
      <c r="J722" s="19" t="n">
        <v>-63796.75357499999</v>
      </c>
      <c r="K722" s="35" t="n">
        <v>0.065</v>
      </c>
    </row>
    <row r="723">
      <c r="A723" s="36" t="inlineStr">
        <is>
          <t>AGA SPK-tilskudd</t>
        </is>
      </c>
      <c r="B723" s="36" t="inlineStr">
        <is>
          <t>Region Nord</t>
        </is>
      </c>
      <c r="C723" s="36" t="inlineStr">
        <is>
          <t>Røvika ungdomssenter Skogly</t>
        </is>
      </c>
      <c r="D723" s="26" t="n">
        <v>-66633</v>
      </c>
      <c r="E723" s="26" t="n">
        <v>-287927</v>
      </c>
      <c r="F723" s="26" t="n">
        <v>-289758</v>
      </c>
      <c r="G723" s="26" t="n">
        <v>-868626</v>
      </c>
      <c r="H723" s="26" t="n">
        <v>-274503</v>
      </c>
      <c r="I723" s="26" t="n">
        <v>-278055</v>
      </c>
      <c r="J723" s="19" t="n">
        <v>-315376.932375</v>
      </c>
      <c r="K723" s="37" t="n">
        <v>0.065</v>
      </c>
    </row>
    <row r="724">
      <c r="A724" s="34" t="inlineStr">
        <is>
          <t>AGA SPK-tilskudd</t>
        </is>
      </c>
      <c r="B724" s="34" t="inlineStr">
        <is>
          <t>Region Nord</t>
        </is>
      </c>
      <c r="C724" s="34" t="inlineStr">
        <is>
          <t>Røvika ungdomssenter Skogly</t>
        </is>
      </c>
      <c r="D724" s="18" t="n">
        <v>-353801</v>
      </c>
      <c r="E724" s="18" t="n">
        <v>-962533</v>
      </c>
      <c r="F724" s="18" t="n">
        <v>-979054</v>
      </c>
      <c r="G724" s="18" t="n">
        <v>-779446</v>
      </c>
      <c r="H724" s="18" t="n">
        <v>-644960</v>
      </c>
      <c r="I724" s="18" t="n">
        <v>-1007053</v>
      </c>
      <c r="J724" s="19" t="n">
        <v>-1142224.688925</v>
      </c>
      <c r="K724" s="35" t="n">
        <v>0.065</v>
      </c>
    </row>
    <row r="725">
      <c r="A725" s="36" t="inlineStr">
        <is>
          <t>AGA SPK-tilskudd</t>
        </is>
      </c>
      <c r="B725" s="36" t="inlineStr">
        <is>
          <t>Region Nord</t>
        </is>
      </c>
      <c r="C725" s="36" t="inlineStr">
        <is>
          <t>Røvika ungdomssenter beredskapshjem</t>
        </is>
      </c>
      <c r="D725" s="26" t="n"/>
      <c r="E725" s="26" t="n"/>
      <c r="F725" s="26" t="n">
        <v>366</v>
      </c>
      <c r="G725" s="26" t="n">
        <v>1333</v>
      </c>
      <c r="H725" s="26" t="n">
        <v>-1094</v>
      </c>
      <c r="I725" s="26" t="n"/>
      <c r="J725" s="19" t="n">
        <v>0</v>
      </c>
      <c r="K725" s="37" t="n">
        <v>0.065</v>
      </c>
    </row>
    <row r="726">
      <c r="A726" s="34" t="inlineStr">
        <is>
          <t>AGA SPK-tilskudd</t>
        </is>
      </c>
      <c r="B726" s="34" t="inlineStr">
        <is>
          <t>Region Nord</t>
        </is>
      </c>
      <c r="C726" s="34" t="inlineStr">
        <is>
          <t>Røvika ungdomssenter beredskapshjem</t>
        </is>
      </c>
      <c r="D726" s="18" t="n"/>
      <c r="E726" s="18" t="n"/>
      <c r="F726" s="18" t="n">
        <v>-3503</v>
      </c>
      <c r="G726" s="18" t="n">
        <v>769</v>
      </c>
      <c r="H726" s="18" t="n">
        <v>1634</v>
      </c>
      <c r="I726" s="18" t="n"/>
      <c r="J726" s="19" t="n">
        <v>0</v>
      </c>
      <c r="K726" s="35" t="n">
        <v>0.065</v>
      </c>
    </row>
    <row r="727">
      <c r="A727" s="36" t="inlineStr">
        <is>
          <t>AGA SPK-tilskudd</t>
        </is>
      </c>
      <c r="B727" s="36" t="inlineStr">
        <is>
          <t>Region Nord</t>
        </is>
      </c>
      <c r="C727" s="36" t="inlineStr">
        <is>
          <t>Røvika ungdomssenter beredskapshjem</t>
        </is>
      </c>
      <c r="D727" s="26" t="n"/>
      <c r="E727" s="26" t="n"/>
      <c r="F727" s="26" t="n">
        <v>205</v>
      </c>
      <c r="G727" s="26" t="n">
        <v>102</v>
      </c>
      <c r="H727" s="26" t="n"/>
      <c r="I727" s="26" t="n"/>
      <c r="J727" s="19" t="n">
        <v>0</v>
      </c>
      <c r="K727" s="37" t="n">
        <v>0.065</v>
      </c>
    </row>
    <row r="728">
      <c r="A728" s="34" t="inlineStr">
        <is>
          <t>AGA SPK-tilskudd</t>
        </is>
      </c>
      <c r="B728" s="34" t="inlineStr">
        <is>
          <t>Region Nord</t>
        </is>
      </c>
      <c r="C728" s="34" t="inlineStr">
        <is>
          <t>Røvika ungdomssenter beredskapshjem</t>
        </is>
      </c>
      <c r="D728" s="18" t="n"/>
      <c r="E728" s="18" t="n"/>
      <c r="F728" s="18" t="n"/>
      <c r="G728" s="18" t="n">
        <v>318058</v>
      </c>
      <c r="H728" s="18" t="n">
        <v>-318058</v>
      </c>
      <c r="I728" s="18" t="n"/>
      <c r="J728" s="19" t="n">
        <v>0</v>
      </c>
      <c r="K728" s="35" t="n">
        <v>0.065</v>
      </c>
    </row>
    <row r="729">
      <c r="A729" s="36" t="inlineStr">
        <is>
          <t>AGA SPK-tilskudd</t>
        </is>
      </c>
      <c r="B729" s="36" t="inlineStr">
        <is>
          <t>Region Nord</t>
        </is>
      </c>
      <c r="C729" s="36" t="inlineStr">
        <is>
          <t>Røvika ungdomssenter beredskapshjem</t>
        </is>
      </c>
      <c r="D729" s="26" t="n"/>
      <c r="E729" s="26" t="n"/>
      <c r="F729" s="26" t="n"/>
      <c r="G729" s="26" t="n">
        <v>1928</v>
      </c>
      <c r="H729" s="26" t="n"/>
      <c r="I729" s="26" t="n"/>
      <c r="J729" s="19" t="n">
        <v>0</v>
      </c>
      <c r="K729" s="37" t="n">
        <v>0.065</v>
      </c>
    </row>
    <row r="730">
      <c r="A730" s="34" t="inlineStr">
        <is>
          <t>AGA SPK-tilskudd</t>
        </is>
      </c>
      <c r="B730" s="34" t="inlineStr">
        <is>
          <t>Region Nord</t>
        </is>
      </c>
      <c r="C730" s="34" t="inlineStr">
        <is>
          <t>Røvika ungdomssenter beredskapshjem</t>
        </is>
      </c>
      <c r="D730" s="18" t="n"/>
      <c r="E730" s="18" t="n"/>
      <c r="F730" s="18" t="n"/>
      <c r="G730" s="18" t="n">
        <v>140</v>
      </c>
      <c r="H730" s="18" t="n"/>
      <c r="I730" s="18" t="n"/>
      <c r="J730" s="19" t="n">
        <v>0</v>
      </c>
      <c r="K730" s="35" t="n">
        <v>0.065</v>
      </c>
    </row>
    <row r="731">
      <c r="A731" s="36" t="inlineStr">
        <is>
          <t>AGA SPK-tilskudd</t>
        </is>
      </c>
      <c r="B731" s="36" t="inlineStr">
        <is>
          <t>Region Nord</t>
        </is>
      </c>
      <c r="C731" s="36" t="inlineStr">
        <is>
          <t>Røvika ungdomssenter beredskapshjem</t>
        </is>
      </c>
      <c r="D731" s="26" t="n"/>
      <c r="E731" s="26" t="n"/>
      <c r="F731" s="26" t="n"/>
      <c r="G731" s="26" t="n">
        <v>577</v>
      </c>
      <c r="H731" s="26" t="n"/>
      <c r="I731" s="26" t="n"/>
      <c r="J731" s="19" t="n">
        <v>0</v>
      </c>
      <c r="K731" s="37" t="n">
        <v>0.065</v>
      </c>
    </row>
    <row r="732">
      <c r="A732" s="34" t="inlineStr">
        <is>
          <t>AGA SPK-tilskudd</t>
        </is>
      </c>
      <c r="B732" s="34" t="inlineStr">
        <is>
          <t>Region Nord</t>
        </is>
      </c>
      <c r="C732" s="34" t="inlineStr">
        <is>
          <t>Røvika ungdomssenter beredskapshjem</t>
        </is>
      </c>
      <c r="D732" s="18" t="n"/>
      <c r="E732" s="18" t="n"/>
      <c r="F732" s="18" t="n"/>
      <c r="G732" s="18" t="n">
        <v>53967</v>
      </c>
      <c r="H732" s="18" t="n">
        <v>-53967</v>
      </c>
      <c r="I732" s="18" t="n"/>
      <c r="J732" s="19" t="n">
        <v>0</v>
      </c>
      <c r="K732" s="35" t="n">
        <v>0.065</v>
      </c>
    </row>
    <row r="733">
      <c r="A733" s="36" t="inlineStr">
        <is>
          <t>AGA SPK-tilskudd</t>
        </is>
      </c>
      <c r="B733" s="36" t="inlineStr">
        <is>
          <t>Region Nord</t>
        </is>
      </c>
      <c r="C733" s="36" t="inlineStr">
        <is>
          <t>Røvika ungdomssenter beredskapshjem</t>
        </is>
      </c>
      <c r="D733" s="26" t="n">
        <v>342</v>
      </c>
      <c r="E733" s="26" t="n"/>
      <c r="F733" s="26" t="n">
        <v>-100</v>
      </c>
      <c r="G733" s="26" t="n"/>
      <c r="H733" s="26" t="n"/>
      <c r="I733" s="26" t="n">
        <v>181</v>
      </c>
      <c r="J733" s="19" t="n">
        <v>140.3264577203492</v>
      </c>
      <c r="K733" s="37" t="n">
        <v>-0.1194977019919201</v>
      </c>
    </row>
    <row r="734">
      <c r="A734" s="34" t="inlineStr">
        <is>
          <t>AGA SPK-tilskudd</t>
        </is>
      </c>
      <c r="B734" s="34" t="inlineStr">
        <is>
          <t>Region Nord</t>
        </is>
      </c>
      <c r="C734" s="34" t="inlineStr">
        <is>
          <t>Røvika ungdomssenter beredskapshjem</t>
        </is>
      </c>
      <c r="D734" s="18" t="n"/>
      <c r="E734" s="18" t="n"/>
      <c r="F734" s="18" t="n"/>
      <c r="G734" s="18" t="n">
        <v>-7740</v>
      </c>
      <c r="H734" s="18" t="n"/>
      <c r="I734" s="18" t="n"/>
      <c r="J734" s="19" t="n">
        <v>0</v>
      </c>
      <c r="K734" s="35" t="n">
        <v>0.065</v>
      </c>
    </row>
    <row r="735">
      <c r="A735" s="36" t="inlineStr">
        <is>
          <t>AGA SPK-tilskudd</t>
        </is>
      </c>
      <c r="B735" s="36" t="inlineStr">
        <is>
          <t>Region Nord</t>
        </is>
      </c>
      <c r="C735" s="36" t="inlineStr">
        <is>
          <t>Røvika ungdomssenter Åsheim akutt</t>
        </is>
      </c>
      <c r="D735" s="26" t="n"/>
      <c r="E735" s="26" t="n"/>
      <c r="F735" s="26" t="n"/>
      <c r="G735" s="26" t="n"/>
      <c r="H735" s="26" t="n">
        <v>12587</v>
      </c>
      <c r="I735" s="26" t="n">
        <v>32649</v>
      </c>
      <c r="J735" s="19" t="n">
        <v>37031.31202499999</v>
      </c>
      <c r="K735" s="37" t="n">
        <v>0.065</v>
      </c>
    </row>
    <row r="736">
      <c r="A736" s="34" t="inlineStr">
        <is>
          <t>AGA SPK-tilskudd</t>
        </is>
      </c>
      <c r="B736" s="34" t="inlineStr">
        <is>
          <t>Region Nord</t>
        </is>
      </c>
      <c r="C736" s="34" t="inlineStr">
        <is>
          <t>Røvika ungdomssenter Åsheim akutt</t>
        </is>
      </c>
      <c r="D736" s="18" t="n"/>
      <c r="E736" s="18" t="n"/>
      <c r="F736" s="18" t="n"/>
      <c r="G736" s="18" t="n"/>
      <c r="H736" s="18" t="n">
        <v>37466</v>
      </c>
      <c r="I736" s="18" t="n">
        <v>150</v>
      </c>
      <c r="J736" s="19" t="n">
        <v>170.13375</v>
      </c>
      <c r="K736" s="35" t="n">
        <v>0.065</v>
      </c>
    </row>
    <row r="737">
      <c r="A737" s="36" t="inlineStr">
        <is>
          <t>AGA SPK-tilskudd</t>
        </is>
      </c>
      <c r="B737" s="36" t="inlineStr">
        <is>
          <t>Region Nord</t>
        </is>
      </c>
      <c r="C737" s="36" t="inlineStr">
        <is>
          <t>Røvika ungdomssenter Åsheim akutt</t>
        </is>
      </c>
      <c r="D737" s="26" t="n"/>
      <c r="E737" s="26" t="n"/>
      <c r="F737" s="26" t="n"/>
      <c r="G737" s="26" t="n"/>
      <c r="H737" s="26" t="n">
        <v>63601</v>
      </c>
      <c r="I737" s="26" t="n">
        <v>36823</v>
      </c>
      <c r="J737" s="19" t="n">
        <v>41765.567175</v>
      </c>
      <c r="K737" s="37" t="n">
        <v>0.065</v>
      </c>
    </row>
    <row r="738">
      <c r="A738" s="34" t="inlineStr">
        <is>
          <t>AGA SPK-tilskudd</t>
        </is>
      </c>
      <c r="B738" s="34" t="inlineStr">
        <is>
          <t>Region Nord</t>
        </is>
      </c>
      <c r="C738" s="34" t="inlineStr">
        <is>
          <t>Røvika ungdomssenter Åsheim akutt</t>
        </is>
      </c>
      <c r="D738" s="18" t="n"/>
      <c r="E738" s="18" t="n"/>
      <c r="F738" s="18" t="n"/>
      <c r="G738" s="18" t="n"/>
      <c r="H738" s="18" t="n">
        <v>16650</v>
      </c>
      <c r="I738" s="18" t="n">
        <v>41521</v>
      </c>
      <c r="J738" s="19" t="n">
        <v>47094.15622499999</v>
      </c>
      <c r="K738" s="35" t="n">
        <v>0.065</v>
      </c>
    </row>
    <row r="739">
      <c r="A739" s="36" t="inlineStr">
        <is>
          <t>AGA SPK-tilskudd</t>
        </is>
      </c>
      <c r="B739" s="36" t="inlineStr">
        <is>
          <t>Region Nord</t>
        </is>
      </c>
      <c r="C739" s="36" t="inlineStr">
        <is>
          <t>Røvika ungdomssenter Åsheim akutt</t>
        </is>
      </c>
      <c r="D739" s="26" t="n"/>
      <c r="E739" s="26" t="n"/>
      <c r="F739" s="26" t="n"/>
      <c r="G739" s="26" t="n"/>
      <c r="H739" s="26" t="n">
        <v>677</v>
      </c>
      <c r="I739" s="26" t="n">
        <v>1365</v>
      </c>
      <c r="J739" s="19" t="n">
        <v>1548.217125</v>
      </c>
      <c r="K739" s="37" t="n">
        <v>0.065</v>
      </c>
    </row>
    <row r="740">
      <c r="A740" s="34" t="inlineStr">
        <is>
          <t>AGA SPK-tilskudd</t>
        </is>
      </c>
      <c r="B740" s="34" t="inlineStr">
        <is>
          <t>Region Nord</t>
        </is>
      </c>
      <c r="C740" s="34" t="inlineStr">
        <is>
          <t>Røvika ungdomssenter Åsheim akutt</t>
        </is>
      </c>
      <c r="D740" s="18" t="n"/>
      <c r="E740" s="18" t="n"/>
      <c r="F740" s="18" t="n"/>
      <c r="G740" s="18" t="n"/>
      <c r="H740" s="18" t="n">
        <v>2668</v>
      </c>
      <c r="I740" s="18" t="n">
        <v>6832</v>
      </c>
      <c r="J740" s="19" t="n">
        <v>7749.025199999999</v>
      </c>
      <c r="K740" s="35" t="n">
        <v>0.065</v>
      </c>
    </row>
    <row r="741">
      <c r="A741" s="36" t="inlineStr">
        <is>
          <t>AGA SPK-tilskudd</t>
        </is>
      </c>
      <c r="B741" s="36" t="inlineStr">
        <is>
          <t>Region Nord</t>
        </is>
      </c>
      <c r="C741" s="36" t="inlineStr">
        <is>
          <t>Røvika ungdomssenter Åsheim akutt</t>
        </is>
      </c>
      <c r="D741" s="26" t="n"/>
      <c r="E741" s="26" t="n"/>
      <c r="F741" s="26" t="n"/>
      <c r="G741" s="26" t="n"/>
      <c r="H741" s="26" t="n">
        <v>3569</v>
      </c>
      <c r="I741" s="26" t="n">
        <v>7766</v>
      </c>
      <c r="J741" s="19" t="n">
        <v>8808.391349999998</v>
      </c>
      <c r="K741" s="37" t="n">
        <v>0.065</v>
      </c>
    </row>
    <row r="742">
      <c r="A742" s="34" t="inlineStr">
        <is>
          <t>AGA SPK-tilskudd</t>
        </is>
      </c>
      <c r="B742" s="34" t="inlineStr">
        <is>
          <t>Region Nord</t>
        </is>
      </c>
      <c r="C742" s="34" t="inlineStr">
        <is>
          <t>Røvika ungdomssenter Åsheim akutt</t>
        </is>
      </c>
      <c r="D742" s="18" t="n"/>
      <c r="E742" s="18" t="n"/>
      <c r="F742" s="18" t="n"/>
      <c r="G742" s="18" t="n"/>
      <c r="H742" s="18" t="n">
        <v>4162</v>
      </c>
      <c r="I742" s="18" t="n">
        <v>5577</v>
      </c>
      <c r="J742" s="19" t="n">
        <v>6325.572824999999</v>
      </c>
      <c r="K742" s="35" t="n">
        <v>0.065</v>
      </c>
    </row>
    <row r="743">
      <c r="A743" s="36" t="inlineStr">
        <is>
          <t>AGA SPK-tilskudd</t>
        </is>
      </c>
      <c r="B743" s="36" t="inlineStr">
        <is>
          <t>Region Nord</t>
        </is>
      </c>
      <c r="C743" s="36" t="inlineStr">
        <is>
          <t>Røvika ungdomssenter Åsheim akutt</t>
        </is>
      </c>
      <c r="D743" s="26" t="n"/>
      <c r="E743" s="26" t="n"/>
      <c r="F743" s="26" t="n"/>
      <c r="G743" s="26" t="n"/>
      <c r="H743" s="26" t="n">
        <v>927</v>
      </c>
      <c r="I743" s="26" t="n">
        <v>5344</v>
      </c>
      <c r="J743" s="19" t="n">
        <v>6061.298399999999</v>
      </c>
      <c r="K743" s="37" t="n">
        <v>0.065</v>
      </c>
    </row>
    <row r="744">
      <c r="A744" s="34" t="inlineStr">
        <is>
          <t>AGA SPK-tilskudd</t>
        </is>
      </c>
      <c r="B744" s="34" t="inlineStr">
        <is>
          <t>Region Nord</t>
        </is>
      </c>
      <c r="C744" s="34" t="inlineStr">
        <is>
          <t>Røvika ungdomssenter Åsheim akutt</t>
        </is>
      </c>
      <c r="D744" s="18" t="n"/>
      <c r="E744" s="18" t="n"/>
      <c r="F744" s="18" t="n"/>
      <c r="G744" s="18" t="n"/>
      <c r="H744" s="18" t="n">
        <v>-1433</v>
      </c>
      <c r="I744" s="18" t="n">
        <v>880</v>
      </c>
      <c r="J744" s="19" t="n">
        <v>998.1179999999998</v>
      </c>
      <c r="K744" s="35" t="n">
        <v>0.065</v>
      </c>
    </row>
    <row r="745">
      <c r="A745" s="36" t="inlineStr">
        <is>
          <t>AGA SPK-tilskudd</t>
        </is>
      </c>
      <c r="B745" s="36" t="inlineStr">
        <is>
          <t>Region Nord</t>
        </is>
      </c>
      <c r="C745" s="36" t="inlineStr">
        <is>
          <t>Røvika ungdomssenter Åsheim akutt</t>
        </is>
      </c>
      <c r="D745" s="26" t="n"/>
      <c r="E745" s="26" t="n"/>
      <c r="F745" s="26" t="n"/>
      <c r="G745" s="26" t="n"/>
      <c r="H745" s="26" t="n">
        <v>-203055</v>
      </c>
      <c r="I745" s="26" t="n">
        <v>-457171</v>
      </c>
      <c r="J745" s="19" t="n">
        <v>-518534.7774749999</v>
      </c>
      <c r="K745" s="37" t="n">
        <v>0.065</v>
      </c>
    </row>
    <row r="746">
      <c r="A746" s="34" t="inlineStr">
        <is>
          <t>AGA SPK-tilskudd</t>
        </is>
      </c>
      <c r="B746" s="34" t="inlineStr">
        <is>
          <t>Region Nord</t>
        </is>
      </c>
      <c r="C746" s="34" t="inlineStr">
        <is>
          <t>Røvika ungdomssenter Åsheim akutt</t>
        </is>
      </c>
      <c r="D746" s="18" t="n"/>
      <c r="E746" s="18" t="n"/>
      <c r="F746" s="18" t="n"/>
      <c r="G746" s="18" t="n"/>
      <c r="H746" s="18" t="n">
        <v>-272481</v>
      </c>
      <c r="I746" s="18" t="n">
        <v>-387847</v>
      </c>
      <c r="J746" s="19" t="n">
        <v>-439905.7635749999</v>
      </c>
      <c r="K746" s="35" t="n">
        <v>0.065</v>
      </c>
    </row>
    <row r="747">
      <c r="A747" s="36" t="inlineStr">
        <is>
          <t>AGA SPK-tilskudd</t>
        </is>
      </c>
      <c r="B747" s="36" t="inlineStr">
        <is>
          <t>Region Nord</t>
        </is>
      </c>
      <c r="C747" s="36" t="inlineStr">
        <is>
          <t>Røvika Åsheim</t>
        </is>
      </c>
      <c r="D747" s="26" t="n">
        <v>39638</v>
      </c>
      <c r="E747" s="26" t="n">
        <v>47234</v>
      </c>
      <c r="F747" s="26" t="n">
        <v>43272</v>
      </c>
      <c r="G747" s="26" t="n">
        <v>38283</v>
      </c>
      <c r="H747" s="26" t="n">
        <v>25180</v>
      </c>
      <c r="I747" s="26" t="n">
        <v>289</v>
      </c>
      <c r="J747" s="19" t="n">
        <v>162.5625</v>
      </c>
      <c r="K747" s="37" t="n">
        <v>-0.25</v>
      </c>
    </row>
    <row r="748">
      <c r="A748" s="34" t="inlineStr">
        <is>
          <t>AGA SPK-tilskudd</t>
        </is>
      </c>
      <c r="B748" s="34" t="inlineStr">
        <is>
          <t>Region Nord</t>
        </is>
      </c>
      <c r="C748" s="34" t="inlineStr">
        <is>
          <t>Røvika Åsheim</t>
        </is>
      </c>
      <c r="D748" s="18" t="n">
        <v>73355</v>
      </c>
      <c r="E748" s="18" t="n">
        <v>397870</v>
      </c>
      <c r="F748" s="18" t="n">
        <v>814458</v>
      </c>
      <c r="G748" s="18" t="n">
        <v>57552</v>
      </c>
      <c r="H748" s="18" t="n">
        <v>127356</v>
      </c>
      <c r="I748" s="18" t="n">
        <v>380</v>
      </c>
      <c r="J748" s="19" t="n">
        <v>213.75</v>
      </c>
      <c r="K748" s="35" t="n">
        <v>-0.25</v>
      </c>
    </row>
    <row r="749">
      <c r="A749" s="36" t="inlineStr">
        <is>
          <t>AGA SPK-tilskudd</t>
        </is>
      </c>
      <c r="B749" s="36" t="inlineStr">
        <is>
          <t>Region Nord</t>
        </is>
      </c>
      <c r="C749" s="36" t="inlineStr">
        <is>
          <t>Røvika Åsheim</t>
        </is>
      </c>
      <c r="D749" s="26" t="n">
        <v>31217</v>
      </c>
      <c r="E749" s="26" t="n">
        <v>65769</v>
      </c>
      <c r="F749" s="26" t="n">
        <v>90546</v>
      </c>
      <c r="G749" s="26" t="n">
        <v>49475</v>
      </c>
      <c r="H749" s="26" t="n">
        <v>23799</v>
      </c>
      <c r="I749" s="26" t="n"/>
      <c r="J749" s="19" t="n">
        <v>0</v>
      </c>
      <c r="K749" s="37" t="n">
        <v>0.065</v>
      </c>
    </row>
    <row r="750">
      <c r="A750" s="34" t="inlineStr">
        <is>
          <t>AGA SPK-tilskudd</t>
        </is>
      </c>
      <c r="B750" s="34" t="inlineStr">
        <is>
          <t>Region Nord</t>
        </is>
      </c>
      <c r="C750" s="34" t="inlineStr">
        <is>
          <t>Røvika Åsheim</t>
        </is>
      </c>
      <c r="D750" s="18" t="n">
        <v>26800</v>
      </c>
      <c r="E750" s="18" t="n">
        <v>44374</v>
      </c>
      <c r="F750" s="18" t="n">
        <v>43661</v>
      </c>
      <c r="G750" s="18" t="n">
        <v>48371</v>
      </c>
      <c r="H750" s="18" t="n">
        <v>31080</v>
      </c>
      <c r="I750" s="18" t="n"/>
      <c r="J750" s="19" t="n">
        <v>0</v>
      </c>
      <c r="K750" s="35" t="n">
        <v>0.065</v>
      </c>
    </row>
    <row r="751">
      <c r="A751" s="36" t="inlineStr">
        <is>
          <t>AGA SPK-tilskudd</t>
        </is>
      </c>
      <c r="B751" s="36" t="inlineStr">
        <is>
          <t>Region Nord</t>
        </is>
      </c>
      <c r="C751" s="36" t="inlineStr">
        <is>
          <t>Røvika Åsheim</t>
        </is>
      </c>
      <c r="D751" s="26" t="n"/>
      <c r="E751" s="26" t="n"/>
      <c r="F751" s="26" t="n">
        <v>1875</v>
      </c>
      <c r="G751" s="26" t="n"/>
      <c r="H751" s="26" t="n"/>
      <c r="I751" s="26" t="n"/>
      <c r="J751" s="19" t="n">
        <v>0</v>
      </c>
      <c r="K751" s="37" t="n">
        <v>0.065</v>
      </c>
    </row>
    <row r="752">
      <c r="A752" s="34" t="inlineStr">
        <is>
          <t>AGA SPK-tilskudd</t>
        </is>
      </c>
      <c r="B752" s="34" t="inlineStr">
        <is>
          <t>Region Nord</t>
        </is>
      </c>
      <c r="C752" s="34" t="inlineStr">
        <is>
          <t>Røvika Åsheim</t>
        </is>
      </c>
      <c r="D752" s="18" t="n">
        <v>501</v>
      </c>
      <c r="E752" s="18" t="n">
        <v>2092</v>
      </c>
      <c r="F752" s="18" t="n">
        <v>9235</v>
      </c>
      <c r="G752" s="18" t="n">
        <v>3074</v>
      </c>
      <c r="H752" s="18" t="n">
        <v>2275</v>
      </c>
      <c r="I752" s="18" t="n"/>
      <c r="J752" s="19" t="n">
        <v>0</v>
      </c>
      <c r="K752" s="35" t="n">
        <v>0.065</v>
      </c>
    </row>
    <row r="753">
      <c r="A753" s="36" t="inlineStr">
        <is>
          <t>AGA SPK-tilskudd</t>
        </is>
      </c>
      <c r="B753" s="36" t="inlineStr">
        <is>
          <t>Region Nord</t>
        </is>
      </c>
      <c r="C753" s="36" t="inlineStr">
        <is>
          <t>Røvika Åsheim</t>
        </is>
      </c>
      <c r="D753" s="26" t="n">
        <v>1460</v>
      </c>
      <c r="E753" s="26" t="n">
        <v>12180</v>
      </c>
      <c r="F753" s="26" t="n">
        <v>23460</v>
      </c>
      <c r="G753" s="26" t="n">
        <v>11584</v>
      </c>
      <c r="H753" s="26" t="n">
        <v>8371</v>
      </c>
      <c r="I753" s="26" t="n"/>
      <c r="J753" s="19" t="n">
        <v>0</v>
      </c>
      <c r="K753" s="37" t="n">
        <v>0.065</v>
      </c>
    </row>
    <row r="754">
      <c r="A754" s="34" t="inlineStr">
        <is>
          <t>AGA SPK-tilskudd</t>
        </is>
      </c>
      <c r="B754" s="34" t="inlineStr">
        <is>
          <t>Region Nord</t>
        </is>
      </c>
      <c r="C754" s="34" t="inlineStr">
        <is>
          <t>Røvika Åsheim</t>
        </is>
      </c>
      <c r="D754" s="18" t="n">
        <v>1233</v>
      </c>
      <c r="E754" s="18" t="n">
        <v>1351</v>
      </c>
      <c r="F754" s="18" t="n">
        <v>7881</v>
      </c>
      <c r="G754" s="18" t="n">
        <v>14811</v>
      </c>
      <c r="H754" s="18" t="n">
        <v>2037</v>
      </c>
      <c r="I754" s="18" t="n"/>
      <c r="J754" s="19" t="n">
        <v>0</v>
      </c>
      <c r="K754" s="35" t="n">
        <v>0.065</v>
      </c>
    </row>
    <row r="755">
      <c r="A755" s="36" t="inlineStr">
        <is>
          <t>AGA SPK-tilskudd</t>
        </is>
      </c>
      <c r="B755" s="36" t="inlineStr">
        <is>
          <t>Region Nord</t>
        </is>
      </c>
      <c r="C755" s="36" t="inlineStr">
        <is>
          <t>Røvika Åsheim</t>
        </is>
      </c>
      <c r="D755" s="26" t="n">
        <v>3071</v>
      </c>
      <c r="E755" s="26" t="n">
        <v>4208</v>
      </c>
      <c r="F755" s="26" t="n">
        <v>15376</v>
      </c>
      <c r="G755" s="26" t="n">
        <v>3352</v>
      </c>
      <c r="H755" s="26" t="n">
        <v>3672</v>
      </c>
      <c r="I755" s="26" t="n"/>
      <c r="J755" s="19" t="n">
        <v>0</v>
      </c>
      <c r="K755" s="37" t="n">
        <v>0.065</v>
      </c>
    </row>
    <row r="756">
      <c r="A756" s="34" t="inlineStr">
        <is>
          <t>AGA SPK-tilskudd</t>
        </is>
      </c>
      <c r="B756" s="34" t="inlineStr">
        <is>
          <t>Region Nord</t>
        </is>
      </c>
      <c r="C756" s="34" t="inlineStr">
        <is>
          <t>Røvika Åsheim</t>
        </is>
      </c>
      <c r="D756" s="18" t="n">
        <v>643</v>
      </c>
      <c r="E756" s="18" t="n">
        <v>4419</v>
      </c>
      <c r="F756" s="18" t="n">
        <v>9270</v>
      </c>
      <c r="G756" s="18" t="n">
        <v>9737</v>
      </c>
      <c r="H756" s="18" t="n">
        <v>8427</v>
      </c>
      <c r="I756" s="18" t="n"/>
      <c r="J756" s="19" t="n">
        <v>0</v>
      </c>
      <c r="K756" s="35" t="n">
        <v>0.065</v>
      </c>
    </row>
    <row r="757">
      <c r="A757" s="36" t="inlineStr">
        <is>
          <t>AGA SPK-tilskudd</t>
        </is>
      </c>
      <c r="B757" s="36" t="inlineStr">
        <is>
          <t>Region Nord</t>
        </is>
      </c>
      <c r="C757" s="36" t="inlineStr">
        <is>
          <t>Røvika Åsheim</t>
        </is>
      </c>
      <c r="D757" s="26" t="n"/>
      <c r="E757" s="26" t="n">
        <v>6396</v>
      </c>
      <c r="F757" s="26" t="n"/>
      <c r="G757" s="26" t="n"/>
      <c r="H757" s="26" t="n"/>
      <c r="I757" s="26" t="n"/>
      <c r="J757" s="19" t="n">
        <v>0</v>
      </c>
      <c r="K757" s="37" t="n">
        <v>0.065</v>
      </c>
    </row>
    <row r="758">
      <c r="A758" s="34" t="inlineStr">
        <is>
          <t>AGA SPK-tilskudd</t>
        </is>
      </c>
      <c r="B758" s="34" t="inlineStr">
        <is>
          <t>Region Nord</t>
        </is>
      </c>
      <c r="C758" s="34" t="inlineStr">
        <is>
          <t>Røvika Åsheim</t>
        </is>
      </c>
      <c r="D758" s="18" t="n">
        <v>2600</v>
      </c>
      <c r="E758" s="18" t="n"/>
      <c r="F758" s="18" t="n"/>
      <c r="G758" s="18" t="n"/>
      <c r="H758" s="18" t="n"/>
      <c r="I758" s="18" t="n"/>
      <c r="J758" s="19" t="n">
        <v>0</v>
      </c>
      <c r="K758" s="35" t="n">
        <v>0.065</v>
      </c>
    </row>
    <row r="759">
      <c r="A759" s="36" t="inlineStr">
        <is>
          <t>AGA SPK-tilskudd</t>
        </is>
      </c>
      <c r="B759" s="36" t="inlineStr">
        <is>
          <t>Region Nord</t>
        </is>
      </c>
      <c r="C759" s="36" t="inlineStr">
        <is>
          <t>Røvika Åsheim</t>
        </is>
      </c>
      <c r="D759" s="26" t="n">
        <v>-7094</v>
      </c>
      <c r="E759" s="26" t="n">
        <v>-13125</v>
      </c>
      <c r="F759" s="26" t="n">
        <v>-3452</v>
      </c>
      <c r="G759" s="26" t="n">
        <v>2790</v>
      </c>
      <c r="H759" s="26" t="n">
        <v>444</v>
      </c>
      <c r="I759" s="26" t="n">
        <v>350</v>
      </c>
      <c r="J759" s="19" t="n">
        <v>396.9787499999999</v>
      </c>
      <c r="K759" s="37" t="n">
        <v>0.065</v>
      </c>
    </row>
    <row r="760">
      <c r="A760" s="34" t="inlineStr">
        <is>
          <t>AGA SPK-tilskudd</t>
        </is>
      </c>
      <c r="B760" s="34" t="inlineStr">
        <is>
          <t>Region Nord</t>
        </is>
      </c>
      <c r="C760" s="34" t="inlineStr">
        <is>
          <t>Røvika Åsheim</t>
        </is>
      </c>
      <c r="D760" s="18" t="n"/>
      <c r="E760" s="18" t="n"/>
      <c r="F760" s="18" t="n"/>
      <c r="G760" s="18" t="n">
        <v>-17156</v>
      </c>
      <c r="H760" s="18" t="n"/>
      <c r="I760" s="18" t="n"/>
      <c r="J760" s="19" t="n">
        <v>0</v>
      </c>
      <c r="K760" s="35" t="n">
        <v>0.065</v>
      </c>
    </row>
    <row r="761">
      <c r="A761" s="36" t="inlineStr">
        <is>
          <t>AGA SPK-tilskudd</t>
        </is>
      </c>
      <c r="B761" s="36" t="inlineStr">
        <is>
          <t>Region Nord</t>
        </is>
      </c>
      <c r="C761" s="36" t="inlineStr">
        <is>
          <t>Røvika Åsheim</t>
        </is>
      </c>
      <c r="D761" s="26" t="n">
        <v>-599163</v>
      </c>
      <c r="E761" s="26" t="n">
        <v>-229321</v>
      </c>
      <c r="F761" s="26" t="n"/>
      <c r="G761" s="26" t="n">
        <v>-32022</v>
      </c>
      <c r="H761" s="26" t="n">
        <v>-366132</v>
      </c>
      <c r="I761" s="26" t="n">
        <v>-2129</v>
      </c>
      <c r="J761" s="19" t="n">
        <v>-2414.765025</v>
      </c>
      <c r="K761" s="37" t="n">
        <v>0.065</v>
      </c>
    </row>
    <row r="762">
      <c r="A762" s="34" t="inlineStr">
        <is>
          <t>AGA SPK-tilskudd</t>
        </is>
      </c>
      <c r="B762" s="34" t="inlineStr">
        <is>
          <t>Region Nord</t>
        </is>
      </c>
      <c r="C762" s="34" t="inlineStr">
        <is>
          <t>Røvika Åsheim</t>
        </is>
      </c>
      <c r="D762" s="18" t="n">
        <v>-452817</v>
      </c>
      <c r="E762" s="18" t="n">
        <v>-513722</v>
      </c>
      <c r="F762" s="18" t="n">
        <v>-414660</v>
      </c>
      <c r="G762" s="18" t="n">
        <v>-884986</v>
      </c>
      <c r="H762" s="18" t="n">
        <v>-1128623</v>
      </c>
      <c r="I762" s="18" t="n">
        <v>-595</v>
      </c>
      <c r="J762" s="19" t="n">
        <v>-674.8638749999999</v>
      </c>
      <c r="K762" s="35" t="n">
        <v>0.065</v>
      </c>
    </row>
    <row r="763">
      <c r="A763" s="36" t="inlineStr">
        <is>
          <t>AGA SPK-tilskudd</t>
        </is>
      </c>
      <c r="B763" s="36" t="inlineStr">
        <is>
          <t>Region Nord</t>
        </is>
      </c>
      <c r="C763" s="36" t="inlineStr">
        <is>
          <t>Seksjon HR</t>
        </is>
      </c>
      <c r="D763" s="26" t="n"/>
      <c r="E763" s="26" t="n"/>
      <c r="F763" s="26" t="n"/>
      <c r="G763" s="26" t="n">
        <v>6106</v>
      </c>
      <c r="H763" s="26" t="n">
        <v>2624</v>
      </c>
      <c r="I763" s="26" t="n">
        <v>5058</v>
      </c>
      <c r="J763" s="19" t="n">
        <v>5736.91005</v>
      </c>
      <c r="K763" s="37" t="n">
        <v>0.065</v>
      </c>
    </row>
    <row r="764">
      <c r="A764" s="34" t="inlineStr">
        <is>
          <t>AGA SPK-tilskudd</t>
        </is>
      </c>
      <c r="B764" s="34" t="inlineStr">
        <is>
          <t>Region Nord</t>
        </is>
      </c>
      <c r="C764" s="34" t="inlineStr">
        <is>
          <t>Seksjon HR</t>
        </is>
      </c>
      <c r="D764" s="18" t="n"/>
      <c r="E764" s="18" t="n"/>
      <c r="F764" s="18" t="n">
        <v>57509</v>
      </c>
      <c r="G764" s="18" t="n">
        <v>136902</v>
      </c>
      <c r="H764" s="18" t="n">
        <v>90275</v>
      </c>
      <c r="I764" s="18" t="n"/>
      <c r="J764" s="19" t="n">
        <v>0</v>
      </c>
      <c r="K764" s="35" t="n">
        <v>0.065</v>
      </c>
    </row>
    <row r="765">
      <c r="A765" s="36" t="inlineStr">
        <is>
          <t>AGA SPK-tilskudd</t>
        </is>
      </c>
      <c r="B765" s="36" t="inlineStr">
        <is>
          <t>Region Nord</t>
        </is>
      </c>
      <c r="C765" s="36" t="inlineStr">
        <is>
          <t>Seksjon faglig støtte</t>
        </is>
      </c>
      <c r="D765" s="26" t="n"/>
      <c r="E765" s="26" t="n"/>
      <c r="F765" s="26" t="n"/>
      <c r="G765" s="26" t="n">
        <v>3325</v>
      </c>
      <c r="H765" s="26" t="n">
        <v>4872</v>
      </c>
      <c r="I765" s="26" t="n">
        <v>10011</v>
      </c>
      <c r="J765" s="19" t="n">
        <v>11354.726475</v>
      </c>
      <c r="K765" s="37" t="n">
        <v>0.065</v>
      </c>
    </row>
    <row r="766">
      <c r="A766" s="34" t="inlineStr">
        <is>
          <t>AGA SPK-tilskudd</t>
        </is>
      </c>
      <c r="B766" s="34" t="inlineStr">
        <is>
          <t>Region Nord</t>
        </is>
      </c>
      <c r="C766" s="34" t="inlineStr">
        <is>
          <t>Seksjon faglig støtte</t>
        </is>
      </c>
      <c r="D766" s="18" t="n"/>
      <c r="E766" s="18" t="n">
        <v>53</v>
      </c>
      <c r="F766" s="18" t="n"/>
      <c r="G766" s="18" t="n">
        <v>151729</v>
      </c>
      <c r="H766" s="18" t="n">
        <v>169823</v>
      </c>
      <c r="I766" s="18" t="n">
        <v>60832</v>
      </c>
      <c r="J766" s="19" t="n">
        <v>95050</v>
      </c>
      <c r="K766" s="35" t="n">
        <v>0.25</v>
      </c>
    </row>
    <row r="767">
      <c r="A767" s="36" t="inlineStr">
        <is>
          <t>AGA SPK-tilskudd</t>
        </is>
      </c>
      <c r="B767" s="36" t="inlineStr">
        <is>
          <t>Region Nord</t>
        </is>
      </c>
      <c r="C767" s="36" t="inlineStr">
        <is>
          <t>Seksjon faglig støtte</t>
        </is>
      </c>
      <c r="D767" s="26" t="n"/>
      <c r="E767" s="26" t="n"/>
      <c r="F767" s="26" t="n"/>
      <c r="G767" s="26" t="n">
        <v>2788</v>
      </c>
      <c r="H767" s="26" t="n">
        <v>3330</v>
      </c>
      <c r="I767" s="26" t="n">
        <v>3460</v>
      </c>
      <c r="J767" s="19" t="n">
        <v>3924.418499999999</v>
      </c>
      <c r="K767" s="37" t="n">
        <v>0.065</v>
      </c>
    </row>
    <row r="768">
      <c r="A768" s="34" t="inlineStr">
        <is>
          <t>AGA SPK-tilskudd</t>
        </is>
      </c>
      <c r="B768" s="34" t="inlineStr">
        <is>
          <t>Region Nord</t>
        </is>
      </c>
      <c r="C768" s="34" t="inlineStr">
        <is>
          <t>Seksjon faglig støtte</t>
        </is>
      </c>
      <c r="D768" s="18" t="n"/>
      <c r="E768" s="18" t="n"/>
      <c r="F768" s="18" t="n"/>
      <c r="G768" s="18" t="n">
        <v>407</v>
      </c>
      <c r="H768" s="18" t="n">
        <v>781</v>
      </c>
      <c r="I768" s="18" t="n">
        <v>891</v>
      </c>
      <c r="J768" s="19" t="n">
        <v>1010.594475</v>
      </c>
      <c r="K768" s="35" t="n">
        <v>0.065</v>
      </c>
    </row>
    <row r="769">
      <c r="A769" s="36" t="inlineStr">
        <is>
          <t>AGA SPK-tilskudd</t>
        </is>
      </c>
      <c r="B769" s="36" t="inlineStr">
        <is>
          <t>Region Nord</t>
        </is>
      </c>
      <c r="C769" s="36" t="inlineStr">
        <is>
          <t>Seksjon faglig støtte</t>
        </is>
      </c>
      <c r="D769" s="26" t="n"/>
      <c r="E769" s="26" t="n"/>
      <c r="F769" s="26" t="n"/>
      <c r="G769" s="26" t="n">
        <v>20001</v>
      </c>
      <c r="H769" s="26" t="n">
        <v>15816</v>
      </c>
      <c r="I769" s="26" t="n">
        <v>8682</v>
      </c>
      <c r="J769" s="19" t="n">
        <v>9847.341449999998</v>
      </c>
      <c r="K769" s="37" t="n">
        <v>0.065</v>
      </c>
    </row>
    <row r="770">
      <c r="A770" s="34" t="inlineStr">
        <is>
          <t>AGA SPK-tilskudd</t>
        </is>
      </c>
      <c r="B770" s="34" t="inlineStr">
        <is>
          <t>Region Nord</t>
        </is>
      </c>
      <c r="C770" s="34" t="inlineStr">
        <is>
          <t>Seksjon faglig støtte</t>
        </is>
      </c>
      <c r="D770" s="18" t="n"/>
      <c r="E770" s="18" t="n"/>
      <c r="F770" s="18" t="n">
        <v>1055</v>
      </c>
      <c r="G770" s="18" t="n">
        <v>-600</v>
      </c>
      <c r="H770" s="18" t="n">
        <v>104</v>
      </c>
      <c r="I770" s="18" t="n"/>
      <c r="J770" s="19" t="n">
        <v>0</v>
      </c>
      <c r="K770" s="35" t="n">
        <v>0.065</v>
      </c>
    </row>
    <row r="771">
      <c r="A771" s="36" t="inlineStr">
        <is>
          <t>AGA SPK-tilskudd</t>
        </is>
      </c>
      <c r="B771" s="36" t="inlineStr">
        <is>
          <t>Region Nord</t>
        </is>
      </c>
      <c r="C771" s="36" t="inlineStr">
        <is>
          <t>Seksjon faglig støtte</t>
        </is>
      </c>
      <c r="D771" s="26" t="n"/>
      <c r="E771" s="26" t="n"/>
      <c r="F771" s="26" t="n"/>
      <c r="G771" s="26" t="n">
        <v>280</v>
      </c>
      <c r="H771" s="26" t="n">
        <v>1059</v>
      </c>
      <c r="I771" s="26" t="n"/>
      <c r="J771" s="19" t="n">
        <v>0</v>
      </c>
      <c r="K771" s="37" t="n">
        <v>0.065</v>
      </c>
    </row>
    <row r="772">
      <c r="A772" s="34" t="inlineStr">
        <is>
          <t>AGA SPK-tilskudd</t>
        </is>
      </c>
      <c r="B772" s="34" t="inlineStr">
        <is>
          <t>Region Nord</t>
        </is>
      </c>
      <c r="C772" s="34" t="inlineStr">
        <is>
          <t>Seksjon faglig støtte</t>
        </is>
      </c>
      <c r="D772" s="18" t="n"/>
      <c r="E772" s="18" t="n"/>
      <c r="F772" s="18" t="n"/>
      <c r="G772" s="18" t="n">
        <v>5351</v>
      </c>
      <c r="H772" s="18" t="n">
        <v>5680</v>
      </c>
      <c r="I772" s="18" t="n">
        <v>3341</v>
      </c>
      <c r="J772" s="19" t="n">
        <v>3789.445725</v>
      </c>
      <c r="K772" s="35" t="n">
        <v>0.065</v>
      </c>
    </row>
    <row r="773">
      <c r="A773" s="36" t="inlineStr">
        <is>
          <t>AGA SPK-tilskudd</t>
        </is>
      </c>
      <c r="B773" s="36" t="inlineStr">
        <is>
          <t>Region Nord</t>
        </is>
      </c>
      <c r="C773" s="36" t="inlineStr">
        <is>
          <t>Seksjon økonomi og virksomhetsstyring</t>
        </is>
      </c>
      <c r="D773" s="26" t="n">
        <v>1527</v>
      </c>
      <c r="E773" s="26" t="n"/>
      <c r="F773" s="26" t="n"/>
      <c r="G773" s="26" t="n"/>
      <c r="H773" s="26" t="n"/>
      <c r="I773" s="26" t="n"/>
      <c r="J773" s="19" t="n">
        <v>0</v>
      </c>
      <c r="K773" s="37" t="n">
        <v>0.065</v>
      </c>
    </row>
    <row r="774">
      <c r="A774" s="34" t="inlineStr">
        <is>
          <t>AGA SPK-tilskudd</t>
        </is>
      </c>
      <c r="B774" s="34" t="inlineStr">
        <is>
          <t>Region Nord</t>
        </is>
      </c>
      <c r="C774" s="34" t="inlineStr">
        <is>
          <t>Silsand ungdomssenter Administrasjon F4</t>
        </is>
      </c>
      <c r="D774" s="18" t="n"/>
      <c r="E774" s="18" t="n"/>
      <c r="F774" s="18" t="n"/>
      <c r="G774" s="18" t="n"/>
      <c r="H774" s="18" t="n">
        <v>6478</v>
      </c>
      <c r="I774" s="18" t="n">
        <v>6520</v>
      </c>
      <c r="J774" s="19" t="n">
        <v>7395.146999999999</v>
      </c>
      <c r="K774" s="35" t="n">
        <v>0.065</v>
      </c>
    </row>
    <row r="775">
      <c r="A775" s="36" t="inlineStr">
        <is>
          <t>AGA SPK-tilskudd</t>
        </is>
      </c>
      <c r="B775" s="36" t="inlineStr">
        <is>
          <t>Region Nord</t>
        </is>
      </c>
      <c r="C775" s="36" t="inlineStr">
        <is>
          <t>Silsand ungdomssenter Administrasjon F4</t>
        </is>
      </c>
      <c r="D775" s="26" t="n"/>
      <c r="E775" s="26" t="n"/>
      <c r="F775" s="26" t="n"/>
      <c r="G775" s="26" t="n"/>
      <c r="H775" s="26" t="n">
        <v>15532</v>
      </c>
      <c r="I775" s="26" t="n">
        <v>21262</v>
      </c>
      <c r="J775" s="19" t="n">
        <v>24115.89195</v>
      </c>
      <c r="K775" s="37" t="n">
        <v>0.065</v>
      </c>
    </row>
    <row r="776">
      <c r="A776" s="34" t="inlineStr">
        <is>
          <t>AGA SPK-tilskudd</t>
        </is>
      </c>
      <c r="B776" s="34" t="inlineStr">
        <is>
          <t>Region Nord</t>
        </is>
      </c>
      <c r="C776" s="34" t="inlineStr">
        <is>
          <t>Silsand ungdomssenter Administrasjon F4</t>
        </is>
      </c>
      <c r="D776" s="18" t="n"/>
      <c r="E776" s="18" t="n"/>
      <c r="F776" s="18" t="n"/>
      <c r="G776" s="18" t="n"/>
      <c r="H776" s="18" t="n">
        <v>1388</v>
      </c>
      <c r="I776" s="18" t="n">
        <v>3460</v>
      </c>
      <c r="J776" s="19" t="n">
        <v>3924.418499999999</v>
      </c>
      <c r="K776" s="35" t="n">
        <v>0.065</v>
      </c>
    </row>
    <row r="777">
      <c r="A777" s="36" t="inlineStr">
        <is>
          <t>AGA SPK-tilskudd</t>
        </is>
      </c>
      <c r="B777" s="36" t="inlineStr">
        <is>
          <t>Region Nord</t>
        </is>
      </c>
      <c r="C777" s="36" t="inlineStr">
        <is>
          <t>Silsand ungdomssenter Administrasjon F4</t>
        </is>
      </c>
      <c r="D777" s="26" t="n"/>
      <c r="E777" s="26" t="n"/>
      <c r="F777" s="26" t="n"/>
      <c r="G777" s="26" t="n"/>
      <c r="H777" s="26" t="n">
        <v>2171</v>
      </c>
      <c r="I777" s="26" t="n">
        <v>2436</v>
      </c>
      <c r="J777" s="19" t="n">
        <v>2762.9721</v>
      </c>
      <c r="K777" s="37" t="n">
        <v>0.065</v>
      </c>
    </row>
    <row r="778">
      <c r="A778" s="34" t="inlineStr">
        <is>
          <t>AGA SPK-tilskudd</t>
        </is>
      </c>
      <c r="B778" s="34" t="inlineStr">
        <is>
          <t>Region Nord</t>
        </is>
      </c>
      <c r="C778" s="34" t="inlineStr">
        <is>
          <t>Silsand ungdomssenter Administrasjon F4</t>
        </is>
      </c>
      <c r="D778" s="18" t="n"/>
      <c r="E778" s="18" t="n"/>
      <c r="F778" s="18" t="n"/>
      <c r="G778" s="18" t="n"/>
      <c r="H778" s="18" t="n"/>
      <c r="I778" s="18" t="n">
        <v>1183</v>
      </c>
      <c r="J778" s="19" t="n">
        <v>1341.788175</v>
      </c>
      <c r="K778" s="35" t="n">
        <v>0.065</v>
      </c>
    </row>
    <row r="779">
      <c r="A779" s="36" t="inlineStr">
        <is>
          <t>AGA SPK-tilskudd</t>
        </is>
      </c>
      <c r="B779" s="36" t="inlineStr">
        <is>
          <t>Region Nord</t>
        </is>
      </c>
      <c r="C779" s="36" t="inlineStr">
        <is>
          <t>Silsand ungdomssenter Administrasjon F4</t>
        </is>
      </c>
      <c r="D779" s="26" t="n"/>
      <c r="E779" s="26" t="n"/>
      <c r="F779" s="26" t="n"/>
      <c r="G779" s="26" t="n"/>
      <c r="H779" s="26" t="n"/>
      <c r="I779" s="26" t="n">
        <v>2216</v>
      </c>
      <c r="J779" s="19" t="n">
        <v>2513.442599999999</v>
      </c>
      <c r="K779" s="37" t="n">
        <v>0.065</v>
      </c>
    </row>
    <row r="780">
      <c r="A780" s="34" t="inlineStr">
        <is>
          <t>AGA SPK-tilskudd</t>
        </is>
      </c>
      <c r="B780" s="34" t="inlineStr">
        <is>
          <t>Region Nord</t>
        </is>
      </c>
      <c r="C780" s="34" t="inlineStr">
        <is>
          <t>Silsand ungdomssenter Administrasjon F4</t>
        </is>
      </c>
      <c r="D780" s="18" t="n"/>
      <c r="E780" s="18" t="n"/>
      <c r="F780" s="18" t="n"/>
      <c r="G780" s="18" t="n"/>
      <c r="H780" s="18" t="n">
        <v>931</v>
      </c>
      <c r="I780" s="18" t="n">
        <v>654</v>
      </c>
      <c r="J780" s="19" t="n">
        <v>741.7831499999999</v>
      </c>
      <c r="K780" s="35" t="n">
        <v>0.065</v>
      </c>
    </row>
    <row r="781">
      <c r="A781" s="36" t="inlineStr">
        <is>
          <t>AGA SPK-tilskudd</t>
        </is>
      </c>
      <c r="B781" s="36" t="inlineStr">
        <is>
          <t>Region Nord</t>
        </is>
      </c>
      <c r="C781" s="36" t="inlineStr">
        <is>
          <t>Silsand ungdomssenter Administrasjon F4</t>
        </is>
      </c>
      <c r="D781" s="26" t="n"/>
      <c r="E781" s="26" t="n"/>
      <c r="F781" s="26" t="n"/>
      <c r="G781" s="26" t="n"/>
      <c r="H781" s="26" t="n">
        <v>-500</v>
      </c>
      <c r="I781" s="26" t="n">
        <v>-1200</v>
      </c>
      <c r="J781" s="19" t="n">
        <v>-1361.07</v>
      </c>
      <c r="K781" s="37" t="n">
        <v>0.065</v>
      </c>
    </row>
    <row r="782">
      <c r="A782" s="34" t="inlineStr">
        <is>
          <t>AGA SPK-tilskudd</t>
        </is>
      </c>
      <c r="B782" s="34" t="inlineStr">
        <is>
          <t>Region Nord</t>
        </is>
      </c>
      <c r="C782" s="34" t="inlineStr">
        <is>
          <t>Silsand ungdomssenter administrasjon</t>
        </is>
      </c>
      <c r="D782" s="18" t="n">
        <v>7716</v>
      </c>
      <c r="E782" s="18" t="n">
        <v>8955</v>
      </c>
      <c r="F782" s="18" t="n">
        <v>9579</v>
      </c>
      <c r="G782" s="18" t="n">
        <v>9634</v>
      </c>
      <c r="H782" s="18" t="n">
        <v>5686</v>
      </c>
      <c r="I782" s="18" t="n">
        <v>105</v>
      </c>
      <c r="J782" s="19" t="n">
        <v>59.0625</v>
      </c>
      <c r="K782" s="35" t="n">
        <v>-0.25</v>
      </c>
    </row>
    <row r="783">
      <c r="A783" s="36" t="inlineStr">
        <is>
          <t>AGA SPK-tilskudd</t>
        </is>
      </c>
      <c r="B783" s="36" t="inlineStr">
        <is>
          <t>Region Nord</t>
        </is>
      </c>
      <c r="C783" s="36" t="inlineStr">
        <is>
          <t>Silsand ungdomssenter administrasjon</t>
        </is>
      </c>
      <c r="D783" s="26" t="n">
        <v>6232</v>
      </c>
      <c r="E783" s="26" t="n">
        <v>6960</v>
      </c>
      <c r="F783" s="26" t="n">
        <v>52282</v>
      </c>
      <c r="G783" s="26" t="n">
        <v>13909</v>
      </c>
      <c r="H783" s="26" t="n">
        <v>32796</v>
      </c>
      <c r="I783" s="26" t="n"/>
      <c r="J783" s="19" t="n">
        <v>0</v>
      </c>
      <c r="K783" s="37" t="n">
        <v>0.065</v>
      </c>
    </row>
    <row r="784">
      <c r="A784" s="34" t="inlineStr">
        <is>
          <t>AGA SPK-tilskudd</t>
        </is>
      </c>
      <c r="B784" s="34" t="inlineStr">
        <is>
          <t>Region Nord</t>
        </is>
      </c>
      <c r="C784" s="34" t="inlineStr">
        <is>
          <t>Silsand ungdomssenter administrasjon</t>
        </is>
      </c>
      <c r="D784" s="18" t="n">
        <v>2340</v>
      </c>
      <c r="E784" s="18" t="n">
        <v>3221</v>
      </c>
      <c r="F784" s="18" t="n">
        <v>3681</v>
      </c>
      <c r="G784" s="18" t="n">
        <v>3983</v>
      </c>
      <c r="H784" s="18" t="n">
        <v>2914</v>
      </c>
      <c r="I784" s="18" t="n"/>
      <c r="J784" s="19" t="n">
        <v>0</v>
      </c>
      <c r="K784" s="35" t="n">
        <v>0.065</v>
      </c>
    </row>
    <row r="785">
      <c r="A785" s="36" t="inlineStr">
        <is>
          <t>AGA SPK-tilskudd</t>
        </is>
      </c>
      <c r="B785" s="36" t="inlineStr">
        <is>
          <t>Region Nord</t>
        </is>
      </c>
      <c r="C785" s="36" t="inlineStr">
        <is>
          <t>Silsand ungdomssenter administrasjon</t>
        </is>
      </c>
      <c r="D785" s="26" t="n">
        <v>3080</v>
      </c>
      <c r="E785" s="26" t="n">
        <v>13891</v>
      </c>
      <c r="F785" s="26" t="n">
        <v>3638</v>
      </c>
      <c r="G785" s="26" t="n">
        <v>1771</v>
      </c>
      <c r="H785" s="26" t="n"/>
      <c r="I785" s="26" t="n"/>
      <c r="J785" s="19" t="n">
        <v>0</v>
      </c>
      <c r="K785" s="37" t="n">
        <v>0.065</v>
      </c>
    </row>
    <row r="786">
      <c r="A786" s="34" t="inlineStr">
        <is>
          <t>AGA SPK-tilskudd</t>
        </is>
      </c>
      <c r="B786" s="34" t="inlineStr">
        <is>
          <t>Region Nord</t>
        </is>
      </c>
      <c r="C786" s="34" t="inlineStr">
        <is>
          <t>Silsand ungdomssenter administrasjon</t>
        </is>
      </c>
      <c r="D786" s="18" t="n">
        <v>2137</v>
      </c>
      <c r="E786" s="18" t="n">
        <v>5466</v>
      </c>
      <c r="F786" s="18" t="n">
        <v>12677</v>
      </c>
      <c r="G786" s="18" t="n">
        <v>4397</v>
      </c>
      <c r="H786" s="18" t="n">
        <v>658</v>
      </c>
      <c r="I786" s="18" t="n"/>
      <c r="J786" s="19" t="n">
        <v>0</v>
      </c>
      <c r="K786" s="35" t="n">
        <v>0.065</v>
      </c>
    </row>
    <row r="787">
      <c r="A787" s="36" t="inlineStr">
        <is>
          <t>AGA SPK-tilskudd</t>
        </is>
      </c>
      <c r="B787" s="36" t="inlineStr">
        <is>
          <t>Region Nord</t>
        </is>
      </c>
      <c r="C787" s="36" t="inlineStr">
        <is>
          <t>Silsand ungdomssenter administrasjon</t>
        </is>
      </c>
      <c r="D787" s="26" t="n"/>
      <c r="E787" s="26" t="n">
        <v>493</v>
      </c>
      <c r="F787" s="26" t="n">
        <v>1606</v>
      </c>
      <c r="G787" s="26" t="n"/>
      <c r="H787" s="26" t="n"/>
      <c r="I787" s="26" t="n"/>
      <c r="J787" s="19" t="n">
        <v>0</v>
      </c>
      <c r="K787" s="37" t="n">
        <v>0.065</v>
      </c>
    </row>
    <row r="788">
      <c r="A788" s="34" t="inlineStr">
        <is>
          <t>AGA SPK-tilskudd</t>
        </is>
      </c>
      <c r="B788" s="34" t="inlineStr">
        <is>
          <t>Region Nord</t>
        </is>
      </c>
      <c r="C788" s="34" t="inlineStr">
        <is>
          <t>Silsand ungdomssenter administrasjon</t>
        </is>
      </c>
      <c r="D788" s="18" t="n">
        <v>1146</v>
      </c>
      <c r="E788" s="18" t="n">
        <v>3610</v>
      </c>
      <c r="F788" s="18" t="n">
        <v>3974</v>
      </c>
      <c r="G788" s="18" t="n">
        <v>2133</v>
      </c>
      <c r="H788" s="18" t="n">
        <v>155</v>
      </c>
      <c r="I788" s="18" t="n"/>
      <c r="J788" s="19" t="n">
        <v>0</v>
      </c>
      <c r="K788" s="35" t="n">
        <v>0.065</v>
      </c>
    </row>
    <row r="789">
      <c r="A789" s="36" t="inlineStr">
        <is>
          <t>AGA SPK-tilskudd</t>
        </is>
      </c>
      <c r="B789" s="36" t="inlineStr">
        <is>
          <t>Region Nord</t>
        </is>
      </c>
      <c r="C789" s="36" t="inlineStr">
        <is>
          <t>Silsand ungdomssenter administrasjon</t>
        </is>
      </c>
      <c r="D789" s="26" t="n">
        <v>452</v>
      </c>
      <c r="E789" s="26" t="n"/>
      <c r="F789" s="26" t="n">
        <v>13504</v>
      </c>
      <c r="G789" s="26" t="n"/>
      <c r="H789" s="26" t="n"/>
      <c r="I789" s="26" t="n"/>
      <c r="J789" s="19" t="n">
        <v>0</v>
      </c>
      <c r="K789" s="37" t="n">
        <v>0.065</v>
      </c>
    </row>
    <row r="790">
      <c r="A790" s="34" t="inlineStr">
        <is>
          <t>AGA SPK-tilskudd</t>
        </is>
      </c>
      <c r="B790" s="34" t="inlineStr">
        <is>
          <t>Region Nord</t>
        </is>
      </c>
      <c r="C790" s="34" t="inlineStr">
        <is>
          <t>Silsand ungdomssenter administrasjon</t>
        </is>
      </c>
      <c r="D790" s="18" t="n">
        <v>-198</v>
      </c>
      <c r="E790" s="18" t="n">
        <v>-1800</v>
      </c>
      <c r="F790" s="18" t="n">
        <v>-1650</v>
      </c>
      <c r="G790" s="18" t="n">
        <v>2685</v>
      </c>
      <c r="H790" s="18" t="n">
        <v>1750</v>
      </c>
      <c r="I790" s="18" t="n">
        <v>43</v>
      </c>
      <c r="J790" s="19" t="n">
        <v>48.77167499999999</v>
      </c>
      <c r="K790" s="35" t="n">
        <v>0.065</v>
      </c>
    </row>
    <row r="791">
      <c r="A791" s="36" t="inlineStr">
        <is>
          <t>AGA SPK-tilskudd</t>
        </is>
      </c>
      <c r="B791" s="36" t="inlineStr">
        <is>
          <t>Region Nord</t>
        </is>
      </c>
      <c r="C791" s="36" t="inlineStr">
        <is>
          <t>Silsand ungdomssenter administrasjon</t>
        </is>
      </c>
      <c r="D791" s="26" t="n"/>
      <c r="E791" s="26" t="n"/>
      <c r="F791" s="26" t="n">
        <v>-10809</v>
      </c>
      <c r="G791" s="26" t="n">
        <v>-6840</v>
      </c>
      <c r="H791" s="26" t="n">
        <v>-698</v>
      </c>
      <c r="I791" s="26" t="n"/>
      <c r="J791" s="19" t="n">
        <v>0</v>
      </c>
      <c r="K791" s="37" t="n">
        <v>0.065</v>
      </c>
    </row>
    <row r="792">
      <c r="A792" s="34" t="inlineStr">
        <is>
          <t>AGA SPK-tilskudd</t>
        </is>
      </c>
      <c r="B792" s="34" t="inlineStr">
        <is>
          <t>Region Nord</t>
        </is>
      </c>
      <c r="C792" s="34" t="inlineStr">
        <is>
          <t>Silsand ungdomssenter avdeling 1</t>
        </is>
      </c>
      <c r="D792" s="18" t="n">
        <v>68150</v>
      </c>
      <c r="E792" s="18" t="n">
        <v>55759</v>
      </c>
      <c r="F792" s="18" t="n">
        <v>44795</v>
      </c>
      <c r="G792" s="18" t="n">
        <v>44548</v>
      </c>
      <c r="H792" s="18" t="n">
        <v>28911</v>
      </c>
      <c r="I792" s="18" t="n">
        <v>304</v>
      </c>
      <c r="J792" s="19" t="n">
        <v>171</v>
      </c>
      <c r="K792" s="35" t="n">
        <v>-0.25</v>
      </c>
    </row>
    <row r="793">
      <c r="A793" s="36" t="inlineStr">
        <is>
          <t>AGA SPK-tilskudd</t>
        </is>
      </c>
      <c r="B793" s="36" t="inlineStr">
        <is>
          <t>Region Nord</t>
        </is>
      </c>
      <c r="C793" s="36" t="inlineStr">
        <is>
          <t>Silsand ungdomssenter avdeling 1</t>
        </is>
      </c>
      <c r="D793" s="26" t="n">
        <v>200253</v>
      </c>
      <c r="E793" s="26" t="n">
        <v>220768</v>
      </c>
      <c r="F793" s="26" t="n">
        <v>29668</v>
      </c>
      <c r="G793" s="26" t="n">
        <v>9565</v>
      </c>
      <c r="H793" s="26" t="n"/>
      <c r="I793" s="26" t="n"/>
      <c r="J793" s="19" t="n">
        <v>0</v>
      </c>
      <c r="K793" s="37" t="n">
        <v>0.065</v>
      </c>
    </row>
    <row r="794">
      <c r="A794" s="34" t="inlineStr">
        <is>
          <t>AGA SPK-tilskudd</t>
        </is>
      </c>
      <c r="B794" s="34" t="inlineStr">
        <is>
          <t>Region Nord</t>
        </is>
      </c>
      <c r="C794" s="34" t="inlineStr">
        <is>
          <t>Silsand ungdomssenter avdeling 1</t>
        </is>
      </c>
      <c r="D794" s="18" t="n">
        <v>105419</v>
      </c>
      <c r="E794" s="18" t="n">
        <v>85064</v>
      </c>
      <c r="F794" s="18" t="n">
        <v>161508</v>
      </c>
      <c r="G794" s="18" t="n">
        <v>108907</v>
      </c>
      <c r="H794" s="18" t="n">
        <v>114239</v>
      </c>
      <c r="I794" s="18" t="n"/>
      <c r="J794" s="19" t="n">
        <v>0</v>
      </c>
      <c r="K794" s="35" t="n">
        <v>0.065</v>
      </c>
    </row>
    <row r="795">
      <c r="A795" s="36" t="inlineStr">
        <is>
          <t>AGA SPK-tilskudd</t>
        </is>
      </c>
      <c r="B795" s="36" t="inlineStr">
        <is>
          <t>Region Nord</t>
        </is>
      </c>
      <c r="C795" s="36" t="inlineStr">
        <is>
          <t>Silsand ungdomssenter avdeling 1</t>
        </is>
      </c>
      <c r="D795" s="26" t="n">
        <v>50500</v>
      </c>
      <c r="E795" s="26" t="n">
        <v>48037</v>
      </c>
      <c r="F795" s="26" t="n">
        <v>50552</v>
      </c>
      <c r="G795" s="26" t="n">
        <v>61698</v>
      </c>
      <c r="H795" s="26" t="n">
        <v>36190</v>
      </c>
      <c r="I795" s="26" t="n"/>
      <c r="J795" s="19" t="n">
        <v>0</v>
      </c>
      <c r="K795" s="37" t="n">
        <v>0.065</v>
      </c>
    </row>
    <row r="796">
      <c r="A796" s="34" t="inlineStr">
        <is>
          <t>AGA SPK-tilskudd</t>
        </is>
      </c>
      <c r="B796" s="34" t="inlineStr">
        <is>
          <t>Region Nord</t>
        </is>
      </c>
      <c r="C796" s="34" t="inlineStr">
        <is>
          <t>Silsand ungdomssenter avdeling 1</t>
        </is>
      </c>
      <c r="D796" s="18" t="n">
        <v>1348</v>
      </c>
      <c r="E796" s="18" t="n">
        <v>6605</v>
      </c>
      <c r="F796" s="18" t="n">
        <v>4046</v>
      </c>
      <c r="G796" s="18" t="n">
        <v>1987</v>
      </c>
      <c r="H796" s="18" t="n">
        <v>1344</v>
      </c>
      <c r="I796" s="18" t="n"/>
      <c r="J796" s="19" t="n">
        <v>0</v>
      </c>
      <c r="K796" s="35" t="n">
        <v>0.065</v>
      </c>
    </row>
    <row r="797">
      <c r="A797" s="36" t="inlineStr">
        <is>
          <t>AGA SPK-tilskudd</t>
        </is>
      </c>
      <c r="B797" s="36" t="inlineStr">
        <is>
          <t>Region Nord</t>
        </is>
      </c>
      <c r="C797" s="36" t="inlineStr">
        <is>
          <t>Silsand ungdomssenter avdeling 1</t>
        </is>
      </c>
      <c r="D797" s="26" t="n">
        <v>12537</v>
      </c>
      <c r="E797" s="26" t="n">
        <v>11015</v>
      </c>
      <c r="F797" s="26" t="n">
        <v>16616</v>
      </c>
      <c r="G797" s="26" t="n">
        <v>22337</v>
      </c>
      <c r="H797" s="26" t="n">
        <v>10537</v>
      </c>
      <c r="I797" s="26" t="n"/>
      <c r="J797" s="19" t="n">
        <v>0</v>
      </c>
      <c r="K797" s="37" t="n">
        <v>0.065</v>
      </c>
    </row>
    <row r="798">
      <c r="A798" s="34" t="inlineStr">
        <is>
          <t>AGA SPK-tilskudd</t>
        </is>
      </c>
      <c r="B798" s="34" t="inlineStr">
        <is>
          <t>Region Nord</t>
        </is>
      </c>
      <c r="C798" s="34" t="inlineStr">
        <is>
          <t>Silsand ungdomssenter avdeling 1</t>
        </is>
      </c>
      <c r="D798" s="18" t="n">
        <v>2120</v>
      </c>
      <c r="E798" s="18" t="n"/>
      <c r="F798" s="18" t="n">
        <v>5035</v>
      </c>
      <c r="G798" s="18" t="n"/>
      <c r="H798" s="18" t="n">
        <v>6645</v>
      </c>
      <c r="I798" s="18" t="n"/>
      <c r="J798" s="19" t="n">
        <v>0</v>
      </c>
      <c r="K798" s="35" t="n">
        <v>0.065</v>
      </c>
    </row>
    <row r="799">
      <c r="A799" s="36" t="inlineStr">
        <is>
          <t>AGA SPK-tilskudd</t>
        </is>
      </c>
      <c r="B799" s="36" t="inlineStr">
        <is>
          <t>Region Nord</t>
        </is>
      </c>
      <c r="C799" s="36" t="inlineStr">
        <is>
          <t>Silsand ungdomssenter avdeling 1</t>
        </is>
      </c>
      <c r="D799" s="26" t="n">
        <v>3098</v>
      </c>
      <c r="E799" s="26" t="n">
        <v>3864</v>
      </c>
      <c r="F799" s="26" t="n">
        <v>11012</v>
      </c>
      <c r="G799" s="26" t="n">
        <v>27716</v>
      </c>
      <c r="H799" s="26" t="n">
        <v>8113</v>
      </c>
      <c r="I799" s="26" t="n"/>
      <c r="J799" s="19" t="n">
        <v>0</v>
      </c>
      <c r="K799" s="37" t="n">
        <v>0.065</v>
      </c>
    </row>
    <row r="800">
      <c r="A800" s="34" t="inlineStr">
        <is>
          <t>AGA SPK-tilskudd</t>
        </is>
      </c>
      <c r="B800" s="34" t="inlineStr">
        <is>
          <t>Region Nord</t>
        </is>
      </c>
      <c r="C800" s="34" t="inlineStr">
        <is>
          <t>Silsand ungdomssenter avdeling 1</t>
        </is>
      </c>
      <c r="D800" s="18" t="n">
        <v>5225</v>
      </c>
      <c r="E800" s="18" t="n">
        <v>4562</v>
      </c>
      <c r="F800" s="18" t="n">
        <v>5449</v>
      </c>
      <c r="G800" s="18" t="n">
        <v>7292</v>
      </c>
      <c r="H800" s="18" t="n">
        <v>4586</v>
      </c>
      <c r="I800" s="18" t="n"/>
      <c r="J800" s="19" t="n">
        <v>0</v>
      </c>
      <c r="K800" s="35" t="n">
        <v>0.065</v>
      </c>
    </row>
    <row r="801">
      <c r="A801" s="36" t="inlineStr">
        <is>
          <t>AGA SPK-tilskudd</t>
        </is>
      </c>
      <c r="B801" s="36" t="inlineStr">
        <is>
          <t>Region Nord</t>
        </is>
      </c>
      <c r="C801" s="36" t="inlineStr">
        <is>
          <t>Silsand ungdomssenter avdeling 1</t>
        </is>
      </c>
      <c r="D801" s="26" t="n"/>
      <c r="E801" s="26" t="n"/>
      <c r="F801" s="26" t="n"/>
      <c r="G801" s="26" t="n">
        <v>4080</v>
      </c>
      <c r="H801" s="26" t="n"/>
      <c r="I801" s="26" t="n"/>
      <c r="J801" s="19" t="n">
        <v>0</v>
      </c>
      <c r="K801" s="37" t="n">
        <v>0.065</v>
      </c>
    </row>
    <row r="802">
      <c r="A802" s="34" t="inlineStr">
        <is>
          <t>AGA SPK-tilskudd</t>
        </is>
      </c>
      <c r="B802" s="34" t="inlineStr">
        <is>
          <t>Region Nord</t>
        </is>
      </c>
      <c r="C802" s="34" t="inlineStr">
        <is>
          <t>Silsand ungdomssenter avdeling 1</t>
        </is>
      </c>
      <c r="D802" s="18" t="n">
        <v>10742</v>
      </c>
      <c r="E802" s="18" t="n">
        <v>13729</v>
      </c>
      <c r="F802" s="18" t="n">
        <v>12502</v>
      </c>
      <c r="G802" s="18" t="n">
        <v>31972</v>
      </c>
      <c r="H802" s="18" t="n">
        <v>14658</v>
      </c>
      <c r="I802" s="18" t="n"/>
      <c r="J802" s="19" t="n">
        <v>0</v>
      </c>
      <c r="K802" s="35" t="n">
        <v>0.065</v>
      </c>
    </row>
    <row r="803">
      <c r="A803" s="36" t="inlineStr">
        <is>
          <t>AGA SPK-tilskudd</t>
        </is>
      </c>
      <c r="B803" s="36" t="inlineStr">
        <is>
          <t>Region Nord</t>
        </is>
      </c>
      <c r="C803" s="36" t="inlineStr">
        <is>
          <t>Silsand ungdomssenter avdeling 1</t>
        </is>
      </c>
      <c r="D803" s="26" t="n">
        <v>-528556</v>
      </c>
      <c r="E803" s="26" t="n">
        <v>-70457</v>
      </c>
      <c r="F803" s="26" t="n">
        <v>-405589</v>
      </c>
      <c r="G803" s="26" t="n">
        <v>-34075</v>
      </c>
      <c r="H803" s="26" t="n">
        <v>-138790</v>
      </c>
      <c r="I803" s="26" t="n"/>
      <c r="J803" s="19" t="n">
        <v>0</v>
      </c>
      <c r="K803" s="37" t="n">
        <v>0.065</v>
      </c>
    </row>
    <row r="804">
      <c r="A804" s="34" t="inlineStr">
        <is>
          <t>AGA SPK-tilskudd</t>
        </is>
      </c>
      <c r="B804" s="34" t="inlineStr">
        <is>
          <t>Region Nord</t>
        </is>
      </c>
      <c r="C804" s="34" t="inlineStr">
        <is>
          <t>Silsand ungdomssenter avdeling 1</t>
        </is>
      </c>
      <c r="D804" s="18" t="n">
        <v>-1262877</v>
      </c>
      <c r="E804" s="18" t="n">
        <v>-338644</v>
      </c>
      <c r="F804" s="18" t="n">
        <v>-529731</v>
      </c>
      <c r="G804" s="18" t="n">
        <v>-779305</v>
      </c>
      <c r="H804" s="18" t="n">
        <v>-466686</v>
      </c>
      <c r="I804" s="18" t="n">
        <v>-2173</v>
      </c>
      <c r="J804" s="19" t="n">
        <v>-2464.670924999999</v>
      </c>
      <c r="K804" s="35" t="n">
        <v>0.065</v>
      </c>
    </row>
    <row r="805">
      <c r="A805" s="36" t="inlineStr">
        <is>
          <t>AGA SPK-tilskudd</t>
        </is>
      </c>
      <c r="B805" s="36" t="inlineStr">
        <is>
          <t>Region Nord</t>
        </is>
      </c>
      <c r="C805" s="36" t="inlineStr">
        <is>
          <t>Silsand ungdomssenter miljøavdeling</t>
        </is>
      </c>
      <c r="D805" s="26" t="n"/>
      <c r="E805" s="26" t="n"/>
      <c r="F805" s="26" t="n"/>
      <c r="G805" s="26" t="n"/>
      <c r="H805" s="26" t="n">
        <v>51841</v>
      </c>
      <c r="I805" s="26" t="n">
        <v>64578</v>
      </c>
      <c r="J805" s="19" t="n">
        <v>73245.98204999999</v>
      </c>
      <c r="K805" s="37" t="n">
        <v>0.065</v>
      </c>
    </row>
    <row r="806">
      <c r="A806" s="34" t="inlineStr">
        <is>
          <t>AGA SPK-tilskudd</t>
        </is>
      </c>
      <c r="B806" s="34" t="inlineStr">
        <is>
          <t>Region Nord</t>
        </is>
      </c>
      <c r="C806" s="34" t="inlineStr">
        <is>
          <t>Silsand ungdomssenter miljøavdeling</t>
        </is>
      </c>
      <c r="D806" s="18" t="n"/>
      <c r="E806" s="18" t="n"/>
      <c r="F806" s="18" t="n"/>
      <c r="G806" s="18" t="n"/>
      <c r="H806" s="18" t="n">
        <v>99027</v>
      </c>
      <c r="I806" s="18" t="n">
        <v>93068</v>
      </c>
      <c r="J806" s="19" t="n">
        <v>105560.0523</v>
      </c>
      <c r="K806" s="35" t="n">
        <v>0.065</v>
      </c>
    </row>
    <row r="807">
      <c r="A807" s="36" t="inlineStr">
        <is>
          <t>AGA SPK-tilskudd</t>
        </is>
      </c>
      <c r="B807" s="36" t="inlineStr">
        <is>
          <t>Region Nord</t>
        </is>
      </c>
      <c r="C807" s="36" t="inlineStr">
        <is>
          <t>Silsand ungdomssenter miljøavdeling</t>
        </is>
      </c>
      <c r="D807" s="26" t="n"/>
      <c r="E807" s="26" t="n"/>
      <c r="F807" s="26" t="n"/>
      <c r="G807" s="26" t="n"/>
      <c r="H807" s="26" t="n">
        <v>26640</v>
      </c>
      <c r="I807" s="26" t="n">
        <v>63867</v>
      </c>
      <c r="J807" s="19" t="n">
        <v>72439.54807499998</v>
      </c>
      <c r="K807" s="37" t="n">
        <v>0.065</v>
      </c>
    </row>
    <row r="808">
      <c r="A808" s="34" t="inlineStr">
        <is>
          <t>AGA SPK-tilskudd</t>
        </is>
      </c>
      <c r="B808" s="34" t="inlineStr">
        <is>
          <t>Region Nord</t>
        </is>
      </c>
      <c r="C808" s="34" t="inlineStr">
        <is>
          <t>Silsand ungdomssenter miljøavdeling</t>
        </is>
      </c>
      <c r="D808" s="18" t="n"/>
      <c r="E808" s="18" t="n"/>
      <c r="F808" s="18" t="n"/>
      <c r="G808" s="18" t="n"/>
      <c r="H808" s="18" t="n">
        <v>1840</v>
      </c>
      <c r="I808" s="18" t="n">
        <v>3776</v>
      </c>
      <c r="J808" s="19" t="n">
        <v>4282.833599999999</v>
      </c>
      <c r="K808" s="35" t="n">
        <v>0.065</v>
      </c>
    </row>
    <row r="809">
      <c r="A809" s="36" t="inlineStr">
        <is>
          <t>AGA SPK-tilskudd</t>
        </is>
      </c>
      <c r="B809" s="36" t="inlineStr">
        <is>
          <t>Region Nord</t>
        </is>
      </c>
      <c r="C809" s="36" t="inlineStr">
        <is>
          <t>Silsand ungdomssenter miljøavdeling</t>
        </is>
      </c>
      <c r="D809" s="26" t="n"/>
      <c r="E809" s="26" t="n"/>
      <c r="F809" s="26" t="n"/>
      <c r="G809" s="26" t="n"/>
      <c r="H809" s="26" t="n">
        <v>6016</v>
      </c>
      <c r="I809" s="26" t="n">
        <v>8933</v>
      </c>
      <c r="J809" s="19" t="n">
        <v>10132.031925</v>
      </c>
      <c r="K809" s="37" t="n">
        <v>0.065</v>
      </c>
    </row>
    <row r="810">
      <c r="A810" s="34" t="inlineStr">
        <is>
          <t>AGA SPK-tilskudd</t>
        </is>
      </c>
      <c r="B810" s="34" t="inlineStr">
        <is>
          <t>Region Nord</t>
        </is>
      </c>
      <c r="C810" s="34" t="inlineStr">
        <is>
          <t>Silsand ungdomssenter miljøavdeling</t>
        </is>
      </c>
      <c r="D810" s="18" t="n"/>
      <c r="E810" s="18" t="n"/>
      <c r="F810" s="18" t="n"/>
      <c r="G810" s="18" t="n"/>
      <c r="H810" s="18" t="n">
        <v>9130</v>
      </c>
      <c r="I810" s="18" t="n">
        <v>8315</v>
      </c>
      <c r="J810" s="19" t="n">
        <v>9431.080874999998</v>
      </c>
      <c r="K810" s="35" t="n">
        <v>0.065</v>
      </c>
    </row>
    <row r="811">
      <c r="A811" s="36" t="inlineStr">
        <is>
          <t>AGA SPK-tilskudd</t>
        </is>
      </c>
      <c r="B811" s="36" t="inlineStr">
        <is>
          <t>Region Nord</t>
        </is>
      </c>
      <c r="C811" s="36" t="inlineStr">
        <is>
          <t>Silsand ungdomssenter miljøavdeling</t>
        </is>
      </c>
      <c r="D811" s="26" t="n"/>
      <c r="E811" s="26" t="n"/>
      <c r="F811" s="26" t="n"/>
      <c r="G811" s="26" t="n"/>
      <c r="H811" s="26" t="n">
        <v>5573</v>
      </c>
      <c r="I811" s="26" t="n">
        <v>2628</v>
      </c>
      <c r="J811" s="19" t="n">
        <v>2980.7433</v>
      </c>
      <c r="K811" s="37" t="n">
        <v>0.065</v>
      </c>
    </row>
    <row r="812">
      <c r="A812" s="34" t="inlineStr">
        <is>
          <t>AGA SPK-tilskudd</t>
        </is>
      </c>
      <c r="B812" s="34" t="inlineStr">
        <is>
          <t>Region Nord</t>
        </is>
      </c>
      <c r="C812" s="34" t="inlineStr">
        <is>
          <t>Silsand ungdomssenter miljøavdeling</t>
        </is>
      </c>
      <c r="D812" s="18" t="n"/>
      <c r="E812" s="18" t="n"/>
      <c r="F812" s="18" t="n"/>
      <c r="G812" s="18" t="n"/>
      <c r="H812" s="18" t="n">
        <v>9671</v>
      </c>
      <c r="I812" s="18" t="n">
        <v>8509</v>
      </c>
      <c r="J812" s="19" t="n">
        <v>9651.120524999998</v>
      </c>
      <c r="K812" s="35" t="n">
        <v>0.065</v>
      </c>
    </row>
    <row r="813">
      <c r="A813" s="36" t="inlineStr">
        <is>
          <t>AGA SPK-tilskudd</t>
        </is>
      </c>
      <c r="B813" s="36" t="inlineStr">
        <is>
          <t>Region Nord</t>
        </is>
      </c>
      <c r="C813" s="36" t="inlineStr">
        <is>
          <t>Silsand ungdomssenter miljøavdeling</t>
        </is>
      </c>
      <c r="D813" s="26" t="n"/>
      <c r="E813" s="26" t="n"/>
      <c r="F813" s="26" t="n"/>
      <c r="G813" s="26" t="n"/>
      <c r="H813" s="26" t="n">
        <v>36</v>
      </c>
      <c r="I813" s="26" t="n">
        <v>8385</v>
      </c>
      <c r="J813" s="19" t="n">
        <v>9510.476624999999</v>
      </c>
      <c r="K813" s="37" t="n">
        <v>0.065</v>
      </c>
    </row>
    <row r="814">
      <c r="A814" s="34" t="inlineStr">
        <is>
          <t>AGA SPK-tilskudd</t>
        </is>
      </c>
      <c r="B814" s="34" t="inlineStr">
        <is>
          <t>Region Nord</t>
        </is>
      </c>
      <c r="C814" s="34" t="inlineStr">
        <is>
          <t>Silsand ungdomssenter miljøavdeling</t>
        </is>
      </c>
      <c r="D814" s="18" t="n"/>
      <c r="E814" s="18" t="n"/>
      <c r="F814" s="18" t="n"/>
      <c r="G814" s="18" t="n"/>
      <c r="H814" s="18" t="n">
        <v>-245978</v>
      </c>
      <c r="I814" s="18" t="n">
        <v>-209823</v>
      </c>
      <c r="J814" s="19" t="n">
        <v>-237986.492175</v>
      </c>
      <c r="K814" s="35" t="n">
        <v>0.065</v>
      </c>
    </row>
    <row r="815">
      <c r="A815" s="36" t="inlineStr">
        <is>
          <t>AGA SPK-tilskudd</t>
        </is>
      </c>
      <c r="B815" s="36" t="inlineStr">
        <is>
          <t>Region Nord</t>
        </is>
      </c>
      <c r="C815" s="36" t="inlineStr">
        <is>
          <t>Silsand ungdomssenter miljøavdeling</t>
        </is>
      </c>
      <c r="D815" s="26" t="n"/>
      <c r="E815" s="26" t="n"/>
      <c r="F815" s="26" t="n"/>
      <c r="G815" s="26" t="n"/>
      <c r="H815" s="26" t="n">
        <v>-207644</v>
      </c>
      <c r="I815" s="26" t="n">
        <v>-1053418</v>
      </c>
      <c r="J815" s="19" t="n">
        <v>-1194813.03105</v>
      </c>
      <c r="K815" s="37" t="n">
        <v>0.065</v>
      </c>
    </row>
    <row r="816">
      <c r="A816" s="34" t="inlineStr">
        <is>
          <t>AGA SPK-tilskudd</t>
        </is>
      </c>
      <c r="B816" s="34" t="inlineStr">
        <is>
          <t>Region Nord</t>
        </is>
      </c>
      <c r="C816" s="34" t="inlineStr">
        <is>
          <t>Solbakken barne- og familiesenter</t>
        </is>
      </c>
      <c r="D816" s="18" t="n"/>
      <c r="E816" s="18" t="n"/>
      <c r="F816" s="18" t="n">
        <v>8992</v>
      </c>
      <c r="G816" s="18" t="n">
        <v>10048</v>
      </c>
      <c r="H816" s="18" t="n"/>
      <c r="I816" s="18" t="n"/>
      <c r="J816" s="19" t="n">
        <v>0</v>
      </c>
      <c r="K816" s="35" t="n">
        <v>0.065</v>
      </c>
    </row>
    <row r="817">
      <c r="A817" s="36" t="inlineStr">
        <is>
          <t>AGA SPK-tilskudd</t>
        </is>
      </c>
      <c r="B817" s="36" t="inlineStr">
        <is>
          <t>Region Nord</t>
        </is>
      </c>
      <c r="C817" s="36" t="inlineStr">
        <is>
          <t>Solbakken barne- og familiesenter avd. 1 foreldre og barn</t>
        </is>
      </c>
      <c r="D817" s="26" t="n">
        <v>-323</v>
      </c>
      <c r="E817" s="26" t="n"/>
      <c r="F817" s="26" t="n"/>
      <c r="G817" s="26" t="n"/>
      <c r="H817" s="26" t="n"/>
      <c r="I817" s="26" t="n"/>
      <c r="J817" s="19" t="n">
        <v>0</v>
      </c>
      <c r="K817" s="37" t="n">
        <v>0.065</v>
      </c>
    </row>
    <row r="818">
      <c r="A818" s="34" t="inlineStr">
        <is>
          <t>AGA SPK-tilskudd</t>
        </is>
      </c>
      <c r="B818" s="34" t="inlineStr">
        <is>
          <t>Region Nord</t>
        </is>
      </c>
      <c r="C818" s="34" t="inlineStr">
        <is>
          <t>Solbakken barne- og familiesenter avd. 1 foreldre og barn</t>
        </is>
      </c>
      <c r="D818" s="18" t="n">
        <v>-300</v>
      </c>
      <c r="E818" s="18" t="n"/>
      <c r="F818" s="18" t="n"/>
      <c r="G818" s="18" t="n"/>
      <c r="H818" s="18" t="n"/>
      <c r="I818" s="18" t="n"/>
      <c r="J818" s="19" t="n">
        <v>0</v>
      </c>
      <c r="K818" s="35" t="n">
        <v>0.065</v>
      </c>
    </row>
    <row r="819">
      <c r="A819" s="36" t="inlineStr">
        <is>
          <t>AGA SPK-tilskudd</t>
        </is>
      </c>
      <c r="B819" s="36" t="inlineStr">
        <is>
          <t>Region Nord</t>
        </is>
      </c>
      <c r="C819" s="36" t="inlineStr">
        <is>
          <t>Solbakken barne- og familiesenter avd. 1 foreldre og barn</t>
        </is>
      </c>
      <c r="D819" s="26" t="n">
        <v>-300</v>
      </c>
      <c r="E819" s="26" t="n"/>
      <c r="F819" s="26" t="n"/>
      <c r="G819" s="26" t="n"/>
      <c r="H819" s="26" t="n"/>
      <c r="I819" s="26" t="n"/>
      <c r="J819" s="19" t="n">
        <v>0</v>
      </c>
      <c r="K819" s="37" t="n">
        <v>0.065</v>
      </c>
    </row>
    <row r="820">
      <c r="A820" s="34" t="inlineStr">
        <is>
          <t>AGA SPK-tilskudd</t>
        </is>
      </c>
      <c r="B820" s="34" t="inlineStr">
        <is>
          <t>Region Nord</t>
        </is>
      </c>
      <c r="C820" s="34" t="inlineStr">
        <is>
          <t>Solbakken barne- og familiesenter avd. 1 foreldre og barn</t>
        </is>
      </c>
      <c r="D820" s="18" t="n">
        <v>300</v>
      </c>
      <c r="E820" s="18" t="n"/>
      <c r="F820" s="18" t="n"/>
      <c r="G820" s="18" t="n"/>
      <c r="H820" s="18" t="n"/>
      <c r="I820" s="18" t="n"/>
      <c r="J820" s="19" t="n">
        <v>0</v>
      </c>
      <c r="K820" s="35" t="n">
        <v>0.065</v>
      </c>
    </row>
    <row r="821">
      <c r="A821" s="36" t="inlineStr">
        <is>
          <t>AGA SPK-tilskudd</t>
        </is>
      </c>
      <c r="B821" s="36" t="inlineStr">
        <is>
          <t>Region Nord</t>
        </is>
      </c>
      <c r="C821" s="36" t="inlineStr">
        <is>
          <t>Sollia barne- og ungdomssenter adm</t>
        </is>
      </c>
      <c r="D821" s="26" t="n">
        <v>6865</v>
      </c>
      <c r="E821" s="26" t="n">
        <v>5832</v>
      </c>
      <c r="F821" s="26" t="n">
        <v>4664</v>
      </c>
      <c r="G821" s="26" t="n">
        <v>4708</v>
      </c>
      <c r="H821" s="26" t="n">
        <v>4691</v>
      </c>
      <c r="I821" s="26" t="n">
        <v>4876</v>
      </c>
      <c r="J821" s="19" t="n">
        <v>4252.388736029649</v>
      </c>
      <c r="K821" s="37" t="n">
        <v>-0.06613385573962238</v>
      </c>
    </row>
    <row r="822">
      <c r="A822" s="34" t="inlineStr">
        <is>
          <t>AGA SPK-tilskudd</t>
        </is>
      </c>
      <c r="B822" s="34" t="inlineStr">
        <is>
          <t>Region Nord</t>
        </is>
      </c>
      <c r="C822" s="34" t="inlineStr">
        <is>
          <t>Sollia barne- og ungdomssenter adm</t>
        </is>
      </c>
      <c r="D822" s="18" t="n">
        <v>18254</v>
      </c>
      <c r="E822" s="18" t="n">
        <v>40414</v>
      </c>
      <c r="F822" s="18" t="n">
        <v>56067</v>
      </c>
      <c r="G822" s="18" t="n">
        <v>35935</v>
      </c>
      <c r="H822" s="18" t="n">
        <v>36112</v>
      </c>
      <c r="I822" s="18" t="n">
        <v>58437</v>
      </c>
      <c r="J822" s="19" t="n">
        <v>91307.8125</v>
      </c>
      <c r="K822" s="35" t="n">
        <v>0.25</v>
      </c>
    </row>
    <row r="823">
      <c r="A823" s="36" t="inlineStr">
        <is>
          <t>AGA SPK-tilskudd</t>
        </is>
      </c>
      <c r="B823" s="36" t="inlineStr">
        <is>
          <t>Region Nord</t>
        </is>
      </c>
      <c r="C823" s="36" t="inlineStr">
        <is>
          <t>Sollia barne- og ungdomssenter adm</t>
        </is>
      </c>
      <c r="D823" s="26" t="n">
        <v>3300</v>
      </c>
      <c r="E823" s="26" t="n">
        <v>2863</v>
      </c>
      <c r="F823" s="26" t="n">
        <v>2454</v>
      </c>
      <c r="G823" s="26" t="n">
        <v>3186</v>
      </c>
      <c r="H823" s="26" t="n">
        <v>3330</v>
      </c>
      <c r="I823" s="26" t="n">
        <v>3460</v>
      </c>
      <c r="J823" s="19" t="n">
        <v>3526.151456704335</v>
      </c>
      <c r="K823" s="37" t="n">
        <v>0.009514199069354357</v>
      </c>
    </row>
    <row r="824">
      <c r="A824" s="34" t="inlineStr">
        <is>
          <t>AGA SPK-tilskudd</t>
        </is>
      </c>
      <c r="B824" s="34" t="inlineStr">
        <is>
          <t>Region Nord</t>
        </is>
      </c>
      <c r="C824" s="34" t="inlineStr">
        <is>
          <t>Sollia barne- og ungdomssenter adm</t>
        </is>
      </c>
      <c r="D824" s="18" t="n">
        <v>454</v>
      </c>
      <c r="E824" s="18" t="n">
        <v>1666</v>
      </c>
      <c r="F824" s="18" t="n">
        <v>3177</v>
      </c>
      <c r="G824" s="18" t="n"/>
      <c r="H824" s="18" t="n"/>
      <c r="I824" s="18" t="n"/>
      <c r="J824" s="19" t="n">
        <v>0</v>
      </c>
      <c r="K824" s="35" t="n">
        <v>0.065</v>
      </c>
    </row>
    <row r="825">
      <c r="A825" s="36" t="inlineStr">
        <is>
          <t>AGA SPK-tilskudd</t>
        </is>
      </c>
      <c r="B825" s="36" t="inlineStr">
        <is>
          <t>Region Nord</t>
        </is>
      </c>
      <c r="C825" s="36" t="inlineStr">
        <is>
          <t>Sollia barne- og ungdomssenter adm</t>
        </is>
      </c>
      <c r="D825" s="26" t="n">
        <v>1178</v>
      </c>
      <c r="E825" s="26" t="n">
        <v>3796</v>
      </c>
      <c r="F825" s="26" t="n">
        <v>1938</v>
      </c>
      <c r="G825" s="26" t="n"/>
      <c r="H825" s="26" t="n"/>
      <c r="I825" s="26" t="n"/>
      <c r="J825" s="19" t="n">
        <v>0</v>
      </c>
      <c r="K825" s="37" t="n">
        <v>0.065</v>
      </c>
    </row>
    <row r="826">
      <c r="A826" s="34" t="inlineStr">
        <is>
          <t>AGA SPK-tilskudd</t>
        </is>
      </c>
      <c r="B826" s="34" t="inlineStr">
        <is>
          <t>Region Nord</t>
        </is>
      </c>
      <c r="C826" s="34" t="inlineStr">
        <is>
          <t>Sollia barne- og ungdomssenter adm</t>
        </is>
      </c>
      <c r="D826" s="18" t="n">
        <v>441</v>
      </c>
      <c r="E826" s="18" t="n">
        <v>855</v>
      </c>
      <c r="F826" s="18" t="n"/>
      <c r="G826" s="18" t="n"/>
      <c r="H826" s="18" t="n"/>
      <c r="I826" s="18" t="n">
        <v>1246</v>
      </c>
      <c r="J826" s="19" t="n">
        <v>1887.77323121746</v>
      </c>
      <c r="K826" s="35" t="n">
        <v>0.2308804973391623</v>
      </c>
    </row>
    <row r="827">
      <c r="A827" s="36" t="inlineStr">
        <is>
          <t>AGA SPK-tilskudd</t>
        </is>
      </c>
      <c r="B827" s="36" t="inlineStr">
        <is>
          <t>Region Nord</t>
        </is>
      </c>
      <c r="C827" s="36" t="inlineStr">
        <is>
          <t>Sollia barne- og ungdomssenter adm</t>
        </is>
      </c>
      <c r="D827" s="26" t="n">
        <v>4307</v>
      </c>
      <c r="E827" s="26" t="n">
        <v>1416</v>
      </c>
      <c r="F827" s="26" t="n">
        <v>1080</v>
      </c>
      <c r="G827" s="26" t="n"/>
      <c r="H827" s="26" t="n">
        <v>2131</v>
      </c>
      <c r="I827" s="26" t="n"/>
      <c r="J827" s="19" t="n">
        <v>0</v>
      </c>
      <c r="K827" s="37" t="n">
        <v>0.065</v>
      </c>
    </row>
    <row r="828">
      <c r="A828" s="34" t="inlineStr">
        <is>
          <t>AGA SPK-tilskudd</t>
        </is>
      </c>
      <c r="B828" s="34" t="inlineStr">
        <is>
          <t>Region Nord</t>
        </is>
      </c>
      <c r="C828" s="34" t="inlineStr">
        <is>
          <t>Sollia barne- og ungdomssenter adm</t>
        </is>
      </c>
      <c r="D828" s="18" t="n">
        <v>1144</v>
      </c>
      <c r="E828" s="18" t="n">
        <v>1336</v>
      </c>
      <c r="F828" s="18" t="n">
        <v>1875</v>
      </c>
      <c r="G828" s="18" t="n"/>
      <c r="H828" s="18" t="n"/>
      <c r="I828" s="18" t="n"/>
      <c r="J828" s="19" t="n">
        <v>0</v>
      </c>
      <c r="K828" s="35" t="n">
        <v>0.065</v>
      </c>
    </row>
    <row r="829">
      <c r="A829" s="36" t="inlineStr">
        <is>
          <t>AGA SPK-tilskudd</t>
        </is>
      </c>
      <c r="B829" s="36" t="inlineStr">
        <is>
          <t>Region Nord</t>
        </is>
      </c>
      <c r="C829" s="36" t="inlineStr">
        <is>
          <t>Sollia barne- og ungdomssenter adm</t>
        </is>
      </c>
      <c r="D829" s="26" t="n"/>
      <c r="E829" s="26" t="n"/>
      <c r="F829" s="26" t="n"/>
      <c r="G829" s="26" t="n">
        <v>5145</v>
      </c>
      <c r="H829" s="26" t="n">
        <v>10544</v>
      </c>
      <c r="I829" s="26" t="n"/>
      <c r="J829" s="19" t="n">
        <v>0</v>
      </c>
      <c r="K829" s="37" t="n">
        <v>0.065</v>
      </c>
    </row>
    <row r="830">
      <c r="A830" s="34" t="inlineStr">
        <is>
          <t>AGA SPK-tilskudd</t>
        </is>
      </c>
      <c r="B830" s="34" t="inlineStr">
        <is>
          <t>Region Nord</t>
        </is>
      </c>
      <c r="C830" s="34" t="inlineStr">
        <is>
          <t>Sollia barne- og ungdomssenter adm</t>
        </is>
      </c>
      <c r="D830" s="18" t="n">
        <v>485</v>
      </c>
      <c r="E830" s="18" t="n"/>
      <c r="F830" s="18" t="n"/>
      <c r="G830" s="18" t="n"/>
      <c r="H830" s="18" t="n"/>
      <c r="I830" s="18" t="n"/>
      <c r="J830" s="19" t="n">
        <v>0</v>
      </c>
      <c r="K830" s="35" t="n">
        <v>0.065</v>
      </c>
    </row>
    <row r="831">
      <c r="A831" s="36" t="inlineStr">
        <is>
          <t>AGA SPK-tilskudd</t>
        </is>
      </c>
      <c r="B831" s="36" t="inlineStr">
        <is>
          <t>Region Nord</t>
        </is>
      </c>
      <c r="C831" s="36" t="inlineStr">
        <is>
          <t>Sollia barne- og ungdomssenter adm</t>
        </is>
      </c>
      <c r="D831" s="26" t="n">
        <v>13012</v>
      </c>
      <c r="E831" s="26" t="n">
        <v>3321</v>
      </c>
      <c r="F831" s="26" t="n">
        <v>6004</v>
      </c>
      <c r="G831" s="26" t="n">
        <v>6371</v>
      </c>
      <c r="H831" s="26" t="n">
        <v>3047</v>
      </c>
      <c r="I831" s="26" t="n">
        <v>2625</v>
      </c>
      <c r="J831" s="19" t="n">
        <v>1476.5625</v>
      </c>
      <c r="K831" s="37" t="n">
        <v>-0.25</v>
      </c>
    </row>
    <row r="832">
      <c r="A832" s="34" t="inlineStr">
        <is>
          <t>AGA SPK-tilskudd</t>
        </is>
      </c>
      <c r="B832" s="34" t="inlineStr">
        <is>
          <t>Region Nord</t>
        </is>
      </c>
      <c r="C832" s="34" t="inlineStr">
        <is>
          <t>Sollia barne- og ungdomssenter adm</t>
        </is>
      </c>
      <c r="D832" s="18" t="n">
        <v>-174249</v>
      </c>
      <c r="E832" s="18" t="n">
        <v>-4225</v>
      </c>
      <c r="F832" s="18" t="n"/>
      <c r="G832" s="18" t="n"/>
      <c r="H832" s="18" t="n"/>
      <c r="I832" s="18" t="n"/>
      <c r="J832" s="19" t="n">
        <v>0</v>
      </c>
      <c r="K832" s="35" t="n">
        <v>0.065</v>
      </c>
    </row>
    <row r="833">
      <c r="A833" s="36" t="inlineStr">
        <is>
          <t>AGA SPK-tilskudd</t>
        </is>
      </c>
      <c r="B833" s="36" t="inlineStr">
        <is>
          <t>Region Nord</t>
        </is>
      </c>
      <c r="C833" s="36" t="inlineStr">
        <is>
          <t>Sollia barne- og ungdomssenter miljøavdeling</t>
        </is>
      </c>
      <c r="D833" s="26" t="n">
        <v>58551</v>
      </c>
      <c r="E833" s="26" t="n">
        <v>47980</v>
      </c>
      <c r="F833" s="26" t="n">
        <v>48289</v>
      </c>
      <c r="G833" s="26" t="n">
        <v>55663</v>
      </c>
      <c r="H833" s="26" t="n">
        <v>57673</v>
      </c>
      <c r="I833" s="26" t="n">
        <v>53170</v>
      </c>
      <c r="J833" s="19" t="n">
        <v>51158.71150482661</v>
      </c>
      <c r="K833" s="37" t="n">
        <v>-0.01909608320778555</v>
      </c>
    </row>
    <row r="834">
      <c r="A834" s="34" t="inlineStr">
        <is>
          <t>AGA SPK-tilskudd</t>
        </is>
      </c>
      <c r="B834" s="34" t="inlineStr">
        <is>
          <t>Region Nord</t>
        </is>
      </c>
      <c r="C834" s="34" t="inlineStr">
        <is>
          <t>Sollia barne- og ungdomssenter miljøavdeling</t>
        </is>
      </c>
      <c r="D834" s="18" t="n">
        <v>281348</v>
      </c>
      <c r="E834" s="18" t="n">
        <v>77636</v>
      </c>
      <c r="F834" s="18" t="n">
        <v>64269</v>
      </c>
      <c r="G834" s="18" t="n">
        <v>113713</v>
      </c>
      <c r="H834" s="18" t="n">
        <v>49049</v>
      </c>
      <c r="I834" s="18" t="n"/>
      <c r="J834" s="19" t="n">
        <v>0</v>
      </c>
      <c r="K834" s="35" t="n">
        <v>0.065</v>
      </c>
    </row>
    <row r="835">
      <c r="A835" s="36" t="inlineStr">
        <is>
          <t>AGA SPK-tilskudd</t>
        </is>
      </c>
      <c r="B835" s="36" t="inlineStr">
        <is>
          <t>Region Nord</t>
        </is>
      </c>
      <c r="C835" s="36" t="inlineStr">
        <is>
          <t>Sollia barne- og ungdomssenter miljøavdeling</t>
        </is>
      </c>
      <c r="D835" s="26" t="n">
        <v>66061</v>
      </c>
      <c r="E835" s="26" t="n">
        <v>96934</v>
      </c>
      <c r="F835" s="26" t="n">
        <v>199860</v>
      </c>
      <c r="G835" s="26" t="n">
        <v>226496</v>
      </c>
      <c r="H835" s="26" t="n">
        <v>187791</v>
      </c>
      <c r="I835" s="26" t="n">
        <v>172750</v>
      </c>
      <c r="J835" s="19" t="n">
        <v>253750.6836821453</v>
      </c>
      <c r="K835" s="37" t="n">
        <v>0.2119775701624258</v>
      </c>
    </row>
    <row r="836">
      <c r="A836" s="34" t="inlineStr">
        <is>
          <t>AGA SPK-tilskudd</t>
        </is>
      </c>
      <c r="B836" s="34" t="inlineStr">
        <is>
          <t>Region Nord</t>
        </is>
      </c>
      <c r="C836" s="34" t="inlineStr">
        <is>
          <t>Sollia barne- og ungdomssenter miljøavdeling</t>
        </is>
      </c>
      <c r="D836" s="18" t="n">
        <v>43600</v>
      </c>
      <c r="E836" s="18" t="n">
        <v>46215</v>
      </c>
      <c r="F836" s="18" t="n">
        <v>52045</v>
      </c>
      <c r="G836" s="18" t="n">
        <v>69959</v>
      </c>
      <c r="H836" s="18" t="n">
        <v>68959</v>
      </c>
      <c r="I836" s="18" t="n">
        <v>63729</v>
      </c>
      <c r="J836" s="19" t="n">
        <v>74178.38089116319</v>
      </c>
      <c r="K836" s="35" t="n">
        <v>0.0788724991409675</v>
      </c>
    </row>
    <row r="837">
      <c r="A837" s="36" t="inlineStr">
        <is>
          <t>AGA SPK-tilskudd</t>
        </is>
      </c>
      <c r="B837" s="36" t="inlineStr">
        <is>
          <t>Region Nord</t>
        </is>
      </c>
      <c r="C837" s="36" t="inlineStr">
        <is>
          <t>Sollia barne- og ungdomssenter miljøavdeling</t>
        </is>
      </c>
      <c r="D837" s="26" t="n">
        <v>3986</v>
      </c>
      <c r="E837" s="26" t="n">
        <v>606</v>
      </c>
      <c r="F837" s="26" t="n">
        <v>4313</v>
      </c>
      <c r="G837" s="26" t="n">
        <v>5302</v>
      </c>
      <c r="H837" s="26" t="n">
        <v>10897</v>
      </c>
      <c r="I837" s="26" t="n">
        <v>4064</v>
      </c>
      <c r="J837" s="19" t="n">
        <v>4095.625716156085</v>
      </c>
      <c r="K837" s="37" t="n">
        <v>0.003883418702337771</v>
      </c>
    </row>
    <row r="838">
      <c r="A838" s="34" t="inlineStr">
        <is>
          <t>AGA SPK-tilskudd</t>
        </is>
      </c>
      <c r="B838" s="34" t="inlineStr">
        <is>
          <t>Region Nord</t>
        </is>
      </c>
      <c r="C838" s="34" t="inlineStr">
        <is>
          <t>Sollia barne- og ungdomssenter miljøavdeling</t>
        </is>
      </c>
      <c r="D838" s="18" t="n">
        <v>8086</v>
      </c>
      <c r="E838" s="18" t="n">
        <v>4765</v>
      </c>
      <c r="F838" s="18" t="n">
        <v>15166</v>
      </c>
      <c r="G838" s="18" t="n">
        <v>32584</v>
      </c>
      <c r="H838" s="18" t="n">
        <v>26635</v>
      </c>
      <c r="I838" s="18" t="n">
        <v>14085</v>
      </c>
      <c r="J838" s="19" t="n">
        <v>17585.96064988175</v>
      </c>
      <c r="K838" s="35" t="n">
        <v>0.1173895947962262</v>
      </c>
    </row>
    <row r="839">
      <c r="A839" s="36" t="inlineStr">
        <is>
          <t>AGA SPK-tilskudd</t>
        </is>
      </c>
      <c r="B839" s="36" t="inlineStr">
        <is>
          <t>Region Nord</t>
        </is>
      </c>
      <c r="C839" s="36" t="inlineStr">
        <is>
          <t>Sollia barne- og ungdomssenter miljøavdeling</t>
        </is>
      </c>
      <c r="D839" s="26" t="n">
        <v>2630</v>
      </c>
      <c r="E839" s="26" t="n">
        <v>7193</v>
      </c>
      <c r="F839" s="26" t="n">
        <v>640</v>
      </c>
      <c r="G839" s="26" t="n">
        <v>650</v>
      </c>
      <c r="H839" s="26" t="n">
        <v>1048</v>
      </c>
      <c r="I839" s="26" t="n">
        <v>11396</v>
      </c>
      <c r="J839" s="19" t="n">
        <v>17806.25</v>
      </c>
      <c r="K839" s="37" t="n">
        <v>0.25</v>
      </c>
    </row>
    <row r="840">
      <c r="A840" s="34" t="inlineStr">
        <is>
          <t>AGA SPK-tilskudd</t>
        </is>
      </c>
      <c r="B840" s="34" t="inlineStr">
        <is>
          <t>Region Nord</t>
        </is>
      </c>
      <c r="C840" s="34" t="inlineStr">
        <is>
          <t>Sollia barne- og ungdomssenter miljøavdeling</t>
        </is>
      </c>
      <c r="D840" s="18" t="n">
        <v>669</v>
      </c>
      <c r="E840" s="18" t="n">
        <v>4648</v>
      </c>
      <c r="F840" s="18" t="n">
        <v>19110</v>
      </c>
      <c r="G840" s="18" t="n">
        <v>3618</v>
      </c>
      <c r="H840" s="18" t="n">
        <v>23149</v>
      </c>
      <c r="I840" s="18" t="n">
        <v>21463</v>
      </c>
      <c r="J840" s="19" t="n">
        <v>33535.9375</v>
      </c>
      <c r="K840" s="35" t="n">
        <v>0.25</v>
      </c>
    </row>
    <row r="841">
      <c r="A841" s="36" t="inlineStr">
        <is>
          <t>AGA SPK-tilskudd</t>
        </is>
      </c>
      <c r="B841" s="36" t="inlineStr">
        <is>
          <t>Region Nord</t>
        </is>
      </c>
      <c r="C841" s="36" t="inlineStr">
        <is>
          <t>Sollia barne- og ungdomssenter miljøavdeling</t>
        </is>
      </c>
      <c r="D841" s="26" t="n">
        <v>3237</v>
      </c>
      <c r="E841" s="26" t="n">
        <v>2054</v>
      </c>
      <c r="F841" s="26" t="n">
        <v>19193</v>
      </c>
      <c r="G841" s="26" t="n">
        <v>10986</v>
      </c>
      <c r="H841" s="26" t="n">
        <v>16738</v>
      </c>
      <c r="I841" s="26" t="n">
        <v>25778</v>
      </c>
      <c r="J841" s="19" t="n">
        <v>40278.125</v>
      </c>
      <c r="K841" s="37" t="n">
        <v>0.25</v>
      </c>
    </row>
    <row r="842">
      <c r="A842" s="34" t="inlineStr">
        <is>
          <t>AGA SPK-tilskudd</t>
        </is>
      </c>
      <c r="B842" s="34" t="inlineStr">
        <is>
          <t>Region Nord</t>
        </is>
      </c>
      <c r="C842" s="34" t="inlineStr">
        <is>
          <t>Sollia barne- og ungdomssenter miljøavdeling</t>
        </is>
      </c>
      <c r="D842" s="18" t="n"/>
      <c r="E842" s="18" t="n"/>
      <c r="F842" s="18" t="n"/>
      <c r="G842" s="18" t="n"/>
      <c r="H842" s="18" t="n"/>
      <c r="I842" s="18" t="n">
        <v>2495</v>
      </c>
      <c r="J842" s="19" t="n">
        <v>2829.891375</v>
      </c>
      <c r="K842" s="35" t="n">
        <v>0.065</v>
      </c>
    </row>
    <row r="843">
      <c r="A843" s="36" t="inlineStr">
        <is>
          <t>AGA SPK-tilskudd</t>
        </is>
      </c>
      <c r="B843" s="36" t="inlineStr">
        <is>
          <t>Region Nord</t>
        </is>
      </c>
      <c r="C843" s="36" t="inlineStr">
        <is>
          <t>Sollia barne- og ungdomssenter miljøavdeling</t>
        </is>
      </c>
      <c r="D843" s="26" t="n">
        <v>399</v>
      </c>
      <c r="E843" s="26" t="n"/>
      <c r="F843" s="26" t="n"/>
      <c r="G843" s="26" t="n"/>
      <c r="H843" s="26" t="n"/>
      <c r="I843" s="26" t="n"/>
      <c r="J843" s="19" t="n">
        <v>0</v>
      </c>
      <c r="K843" s="37" t="n">
        <v>0.065</v>
      </c>
    </row>
    <row r="844">
      <c r="A844" s="34" t="inlineStr">
        <is>
          <t>AGA SPK-tilskudd</t>
        </is>
      </c>
      <c r="B844" s="34" t="inlineStr">
        <is>
          <t>Region Nord</t>
        </is>
      </c>
      <c r="C844" s="34" t="inlineStr">
        <is>
          <t>Sollia barne- og ungdomssenter miljøavdeling</t>
        </is>
      </c>
      <c r="D844" s="18" t="n">
        <v>7070</v>
      </c>
      <c r="E844" s="18" t="n"/>
      <c r="F844" s="18" t="n"/>
      <c r="G844" s="18" t="n"/>
      <c r="H844" s="18" t="n"/>
      <c r="I844" s="18" t="n"/>
      <c r="J844" s="19" t="n">
        <v>0</v>
      </c>
      <c r="K844" s="35" t="n">
        <v>0.065</v>
      </c>
    </row>
    <row r="845">
      <c r="A845" s="36" t="inlineStr">
        <is>
          <t>AGA SPK-tilskudd</t>
        </is>
      </c>
      <c r="B845" s="36" t="inlineStr">
        <is>
          <t>Region Nord</t>
        </is>
      </c>
      <c r="C845" s="36" t="inlineStr">
        <is>
          <t>Sollia barne- og ungdomssenter miljøavdeling</t>
        </is>
      </c>
      <c r="D845" s="26" t="n">
        <v>-6208</v>
      </c>
      <c r="E845" s="26" t="n">
        <v>11759</v>
      </c>
      <c r="F845" s="26" t="n">
        <v>13104</v>
      </c>
      <c r="G845" s="26" t="n">
        <v>24211</v>
      </c>
      <c r="H845" s="26" t="n">
        <v>29321</v>
      </c>
      <c r="I845" s="26" t="n">
        <v>31155</v>
      </c>
      <c r="J845" s="19" t="n">
        <v>48679.6875</v>
      </c>
      <c r="K845" s="37" t="n">
        <v>0.25</v>
      </c>
    </row>
    <row r="846">
      <c r="A846" s="34" t="inlineStr">
        <is>
          <t>AGA SPK-tilskudd</t>
        </is>
      </c>
      <c r="B846" s="34" t="inlineStr">
        <is>
          <t>Region Nord</t>
        </is>
      </c>
      <c r="C846" s="34" t="inlineStr">
        <is>
          <t>Sollia barne- og ungdomssenter miljøavdeling</t>
        </is>
      </c>
      <c r="D846" s="18" t="n"/>
      <c r="E846" s="18" t="n"/>
      <c r="F846" s="18" t="n"/>
      <c r="G846" s="18" t="n">
        <v>-5277</v>
      </c>
      <c r="H846" s="18" t="n"/>
      <c r="I846" s="18" t="n">
        <v>-44053</v>
      </c>
      <c r="J846" s="19" t="n">
        <v>-49966.01392499999</v>
      </c>
      <c r="K846" s="35" t="n">
        <v>0.065</v>
      </c>
    </row>
    <row r="847">
      <c r="A847" s="36" t="inlineStr">
        <is>
          <t>AGA SPK-tilskudd</t>
        </is>
      </c>
      <c r="B847" s="36" t="inlineStr">
        <is>
          <t>Region Nord</t>
        </is>
      </c>
      <c r="C847" s="36" t="inlineStr">
        <is>
          <t>Sollia barne- og ungdomssenter miljøavdeling</t>
        </is>
      </c>
      <c r="D847" s="26" t="n">
        <v>-537703</v>
      </c>
      <c r="E847" s="26" t="n">
        <v>-296554</v>
      </c>
      <c r="F847" s="26" t="n">
        <v>-130951</v>
      </c>
      <c r="G847" s="26" t="n">
        <v>-302118</v>
      </c>
      <c r="H847" s="26" t="n">
        <v>-100078</v>
      </c>
      <c r="I847" s="26" t="n">
        <v>-132222</v>
      </c>
      <c r="J847" s="19" t="n">
        <v>-149969.49795</v>
      </c>
      <c r="K847" s="37" t="n">
        <v>0.065</v>
      </c>
    </row>
    <row r="848">
      <c r="A848" s="34" t="inlineStr">
        <is>
          <t>AGA SPK-tilskudd</t>
        </is>
      </c>
      <c r="B848" s="34" t="inlineStr">
        <is>
          <t>Region Nord</t>
        </is>
      </c>
      <c r="C848" s="34" t="inlineStr">
        <is>
          <t>Sollia barne- og ungdomssenter miljøavdeling</t>
        </is>
      </c>
      <c r="D848" s="18" t="n">
        <v>-853495</v>
      </c>
      <c r="E848" s="18" t="n">
        <v>-682835</v>
      </c>
      <c r="F848" s="18" t="n">
        <v>-624559</v>
      </c>
      <c r="G848" s="18" t="n">
        <v>-1047672</v>
      </c>
      <c r="H848" s="18" t="n">
        <v>-2055577</v>
      </c>
      <c r="I848" s="18" t="n">
        <v>-1094837</v>
      </c>
      <c r="J848" s="19" t="n">
        <v>-1241791.496325</v>
      </c>
      <c r="K848" s="35" t="n">
        <v>0.065</v>
      </c>
    </row>
    <row r="849">
      <c r="A849" s="36" t="inlineStr">
        <is>
          <t>AGA SPK-tilskudd</t>
        </is>
      </c>
      <c r="B849" s="36" t="inlineStr">
        <is>
          <t>Region Nord</t>
        </is>
      </c>
      <c r="C849" s="36" t="inlineStr">
        <is>
          <t>Sollia barnesenter barnehjemsavdeling</t>
        </is>
      </c>
      <c r="D849" s="26" t="n">
        <v>-23</v>
      </c>
      <c r="E849" s="26" t="n"/>
      <c r="F849" s="26" t="n"/>
      <c r="G849" s="26" t="n"/>
      <c r="H849" s="26" t="n"/>
      <c r="I849" s="26" t="n"/>
      <c r="J849" s="19" t="n">
        <v>0</v>
      </c>
      <c r="K849" s="37" t="n">
        <v>0.065</v>
      </c>
    </row>
    <row r="850">
      <c r="A850" s="34" t="inlineStr">
        <is>
          <t>AGA SPK-tilskudd</t>
        </is>
      </c>
      <c r="B850" s="34" t="inlineStr">
        <is>
          <t>Region Nord</t>
        </is>
      </c>
      <c r="C850" s="34" t="inlineStr">
        <is>
          <t>Tromsø ungdomssenter</t>
        </is>
      </c>
      <c r="D850" s="18" t="n">
        <v>9508</v>
      </c>
      <c r="E850" s="18" t="n">
        <v>8208</v>
      </c>
      <c r="F850" s="18" t="n">
        <v>7732</v>
      </c>
      <c r="G850" s="18" t="n">
        <v>12055</v>
      </c>
      <c r="H850" s="18" t="n">
        <v>12241</v>
      </c>
      <c r="I850" s="18" t="n">
        <v>8962</v>
      </c>
      <c r="J850" s="19" t="n">
        <v>8752.482401047957</v>
      </c>
      <c r="K850" s="35" t="n">
        <v>-0.01175835050077478</v>
      </c>
    </row>
    <row r="851">
      <c r="A851" s="36" t="inlineStr">
        <is>
          <t>AGA SPK-tilskudd</t>
        </is>
      </c>
      <c r="B851" s="36" t="inlineStr">
        <is>
          <t>Region Nord</t>
        </is>
      </c>
      <c r="C851" s="36" t="inlineStr">
        <is>
          <t>Tromsø ungdomssenter</t>
        </is>
      </c>
      <c r="D851" s="26" t="n">
        <v>4887</v>
      </c>
      <c r="E851" s="26" t="n">
        <v>479</v>
      </c>
      <c r="F851" s="26" t="n">
        <v>17648</v>
      </c>
      <c r="G851" s="26" t="n">
        <v>37719</v>
      </c>
      <c r="H851" s="26" t="n">
        <v>37794</v>
      </c>
      <c r="I851" s="26" t="n">
        <v>14055</v>
      </c>
      <c r="J851" s="19" t="n">
        <v>21445.99766214448</v>
      </c>
      <c r="K851" s="37" t="n">
        <v>0.235258076671933</v>
      </c>
    </row>
    <row r="852">
      <c r="A852" s="34" t="inlineStr">
        <is>
          <t>AGA SPK-tilskudd</t>
        </is>
      </c>
      <c r="B852" s="34" t="inlineStr">
        <is>
          <t>Region Nord</t>
        </is>
      </c>
      <c r="C852" s="34" t="inlineStr">
        <is>
          <t>Tromsø ungdomssenter</t>
        </is>
      </c>
      <c r="D852" s="18" t="n">
        <v>2400</v>
      </c>
      <c r="E852" s="18" t="n">
        <v>2454</v>
      </c>
      <c r="F852" s="18" t="n">
        <v>2556</v>
      </c>
      <c r="G852" s="18" t="n">
        <v>4912</v>
      </c>
      <c r="H852" s="18" t="n">
        <v>4995</v>
      </c>
      <c r="I852" s="18" t="n">
        <v>3748</v>
      </c>
      <c r="J852" s="19" t="n">
        <v>4479.555466092892</v>
      </c>
      <c r="K852" s="35" t="n">
        <v>0.09324542376736478</v>
      </c>
    </row>
    <row r="853">
      <c r="A853" s="36" t="inlineStr">
        <is>
          <t>AGA SPK-tilskudd</t>
        </is>
      </c>
      <c r="B853" s="36" t="inlineStr">
        <is>
          <t>Region Nord</t>
        </is>
      </c>
      <c r="C853" s="36" t="inlineStr">
        <is>
          <t>Tromsø ungdomssenter</t>
        </is>
      </c>
      <c r="D853" s="26" t="n"/>
      <c r="E853" s="26" t="n">
        <v>10500</v>
      </c>
      <c r="F853" s="26" t="n">
        <v>4949</v>
      </c>
      <c r="G853" s="26" t="n"/>
      <c r="H853" s="26" t="n"/>
      <c r="I853" s="26" t="n"/>
      <c r="J853" s="19" t="n">
        <v>0</v>
      </c>
      <c r="K853" s="37" t="n">
        <v>0.065</v>
      </c>
    </row>
    <row r="854">
      <c r="A854" s="34" t="inlineStr">
        <is>
          <t>AGA SPK-tilskudd</t>
        </is>
      </c>
      <c r="B854" s="34" t="inlineStr">
        <is>
          <t>Region Nord</t>
        </is>
      </c>
      <c r="C854" s="34" t="inlineStr">
        <is>
          <t>Tromsø ungdomssenter</t>
        </is>
      </c>
      <c r="D854" s="18" t="n"/>
      <c r="E854" s="18" t="n"/>
      <c r="F854" s="18" t="n">
        <v>280</v>
      </c>
      <c r="G854" s="18" t="n">
        <v>4876</v>
      </c>
      <c r="H854" s="18" t="n">
        <v>1396</v>
      </c>
      <c r="I854" s="18" t="n">
        <v>658</v>
      </c>
      <c r="J854" s="19" t="n">
        <v>746.3200499999999</v>
      </c>
      <c r="K854" s="35" t="n">
        <v>0.065</v>
      </c>
    </row>
    <row r="855">
      <c r="A855" s="36" t="inlineStr">
        <is>
          <t>AGA SPK-tilskudd</t>
        </is>
      </c>
      <c r="B855" s="36" t="inlineStr">
        <is>
          <t>Region Nord</t>
        </is>
      </c>
      <c r="C855" s="36" t="inlineStr">
        <is>
          <t>Tromsø ungdomssenter</t>
        </is>
      </c>
      <c r="D855" s="26" t="n">
        <v>1167</v>
      </c>
      <c r="E855" s="26" t="n">
        <v>3634</v>
      </c>
      <c r="F855" s="26" t="n">
        <v>59028</v>
      </c>
      <c r="G855" s="26" t="n"/>
      <c r="H855" s="26" t="n"/>
      <c r="I855" s="26" t="n"/>
      <c r="J855" s="19" t="n">
        <v>0</v>
      </c>
      <c r="K855" s="37" t="n">
        <v>0.065</v>
      </c>
    </row>
    <row r="856">
      <c r="A856" s="34" t="inlineStr">
        <is>
          <t>AGA SPK-tilskudd</t>
        </is>
      </c>
      <c r="B856" s="34" t="inlineStr">
        <is>
          <t>Region Nord</t>
        </is>
      </c>
      <c r="C856" s="34" t="inlineStr">
        <is>
          <t>Tromsø ungdomssenter</t>
        </is>
      </c>
      <c r="D856" s="18" t="n"/>
      <c r="E856" s="18" t="n"/>
      <c r="F856" s="18" t="n"/>
      <c r="G856" s="18" t="n"/>
      <c r="H856" s="18" t="n">
        <v>3170</v>
      </c>
      <c r="I856" s="18" t="n"/>
      <c r="J856" s="19" t="n">
        <v>0</v>
      </c>
      <c r="K856" s="35" t="n">
        <v>0.065</v>
      </c>
    </row>
    <row r="857">
      <c r="A857" s="36" t="inlineStr">
        <is>
          <t>AGA SPK-tilskudd</t>
        </is>
      </c>
      <c r="B857" s="36" t="inlineStr">
        <is>
          <t>Region Nord</t>
        </is>
      </c>
      <c r="C857" s="36" t="inlineStr">
        <is>
          <t>Tromsø ungdomssenter</t>
        </is>
      </c>
      <c r="D857" s="26" t="n"/>
      <c r="E857" s="26" t="n"/>
      <c r="F857" s="26" t="n">
        <v>65</v>
      </c>
      <c r="G857" s="26" t="n">
        <v>857</v>
      </c>
      <c r="H857" s="26" t="n">
        <v>282</v>
      </c>
      <c r="I857" s="26" t="n">
        <v>282</v>
      </c>
      <c r="J857" s="19" t="n">
        <v>319.8514499999999</v>
      </c>
      <c r="K857" s="37" t="n">
        <v>0.065</v>
      </c>
    </row>
    <row r="858">
      <c r="A858" s="34" t="inlineStr">
        <is>
          <t>AGA SPK-tilskudd</t>
        </is>
      </c>
      <c r="B858" s="34" t="inlineStr">
        <is>
          <t>Region Nord</t>
        </is>
      </c>
      <c r="C858" s="34" t="inlineStr">
        <is>
          <t>Tromsø ungdomssenter</t>
        </is>
      </c>
      <c r="D858" s="18" t="n"/>
      <c r="E858" s="18" t="n"/>
      <c r="F858" s="18" t="n"/>
      <c r="G858" s="18" t="n"/>
      <c r="H858" s="18" t="n">
        <v>5462</v>
      </c>
      <c r="I858" s="18" t="n">
        <v>5140</v>
      </c>
      <c r="J858" s="19" t="n">
        <v>5829.916499999999</v>
      </c>
      <c r="K858" s="35" t="n">
        <v>0.065</v>
      </c>
    </row>
    <row r="859">
      <c r="A859" s="36" t="inlineStr">
        <is>
          <t>AGA SPK-tilskudd</t>
        </is>
      </c>
      <c r="B859" s="36" t="inlineStr">
        <is>
          <t>Region Nord</t>
        </is>
      </c>
      <c r="C859" s="36" t="inlineStr">
        <is>
          <t>Tromsø ungdomssenter</t>
        </is>
      </c>
      <c r="D859" s="26" t="n">
        <v>72040</v>
      </c>
      <c r="E859" s="26" t="n">
        <v>161976</v>
      </c>
      <c r="F859" s="26" t="n"/>
      <c r="G859" s="26" t="n"/>
      <c r="H859" s="26" t="n"/>
      <c r="I859" s="26" t="n"/>
      <c r="J859" s="19" t="n">
        <v>0</v>
      </c>
      <c r="K859" s="37" t="n">
        <v>0.065</v>
      </c>
    </row>
    <row r="860">
      <c r="A860" s="34" t="inlineStr">
        <is>
          <t>AGA SPK-tilskudd</t>
        </is>
      </c>
      <c r="B860" s="34" t="inlineStr">
        <is>
          <t>Region Nord</t>
        </is>
      </c>
      <c r="C860" s="34" t="inlineStr">
        <is>
          <t>Tromsø ungdomssenter</t>
        </is>
      </c>
      <c r="D860" s="18" t="n"/>
      <c r="E860" s="18" t="n"/>
      <c r="F860" s="18" t="n"/>
      <c r="G860" s="18" t="n">
        <v>-30000</v>
      </c>
      <c r="H860" s="18" t="n"/>
      <c r="I860" s="18" t="n"/>
      <c r="J860" s="19" t="n">
        <v>0</v>
      </c>
      <c r="K860" s="35" t="n">
        <v>0.065</v>
      </c>
    </row>
    <row r="861">
      <c r="A861" s="36" t="inlineStr">
        <is>
          <t>AGA SPK-tilskudd</t>
        </is>
      </c>
      <c r="B861" s="36" t="inlineStr">
        <is>
          <t>Region Nord</t>
        </is>
      </c>
      <c r="C861" s="36" t="inlineStr">
        <is>
          <t>Tromsø ungdomssenter</t>
        </is>
      </c>
      <c r="D861" s="26" t="n">
        <v>-300</v>
      </c>
      <c r="E861" s="26" t="n">
        <v>-950</v>
      </c>
      <c r="F861" s="26" t="n">
        <v>-900</v>
      </c>
      <c r="G861" s="26" t="n">
        <v>-1500</v>
      </c>
      <c r="H861" s="26" t="n">
        <v>-1500</v>
      </c>
      <c r="I861" s="26" t="n">
        <v>-1000</v>
      </c>
      <c r="J861" s="19" t="n">
        <v>-1134.225</v>
      </c>
      <c r="K861" s="37" t="n">
        <v>0.065</v>
      </c>
    </row>
    <row r="862">
      <c r="A862" s="34" t="inlineStr">
        <is>
          <t>AGA SPK-tilskudd</t>
        </is>
      </c>
      <c r="B862" s="34" t="inlineStr">
        <is>
          <t>Region Nord</t>
        </is>
      </c>
      <c r="C862" s="34" t="inlineStr">
        <is>
          <t>Tromsø ungdomssenter Fjære</t>
        </is>
      </c>
      <c r="D862" s="18" t="n">
        <v>79523</v>
      </c>
      <c r="E862" s="18" t="n">
        <v>67951</v>
      </c>
      <c r="F862" s="18" t="n">
        <v>59075</v>
      </c>
      <c r="G862" s="18" t="n">
        <v>62023</v>
      </c>
      <c r="H862" s="18" t="n">
        <v>66535</v>
      </c>
      <c r="I862" s="18" t="n">
        <v>72917</v>
      </c>
      <c r="J862" s="19" t="n">
        <v>70430.89497572434</v>
      </c>
      <c r="K862" s="35" t="n">
        <v>-0.017195339223397</v>
      </c>
    </row>
    <row r="863">
      <c r="A863" s="36" t="inlineStr">
        <is>
          <t>AGA SPK-tilskudd</t>
        </is>
      </c>
      <c r="B863" s="36" t="inlineStr">
        <is>
          <t>Region Nord</t>
        </is>
      </c>
      <c r="C863" s="36" t="inlineStr">
        <is>
          <t>Tromsø ungdomssenter Fjære</t>
        </is>
      </c>
      <c r="D863" s="26" t="n">
        <v>1897</v>
      </c>
      <c r="E863" s="26" t="n"/>
      <c r="F863" s="26" t="n">
        <v>21949</v>
      </c>
      <c r="G863" s="26" t="n">
        <v>126913</v>
      </c>
      <c r="H863" s="26" t="n">
        <v>70482</v>
      </c>
      <c r="I863" s="26" t="n">
        <v>138684</v>
      </c>
      <c r="J863" s="19" t="n">
        <v>216693.75</v>
      </c>
      <c r="K863" s="37" t="n">
        <v>0.25</v>
      </c>
    </row>
    <row r="864">
      <c r="A864" s="34" t="inlineStr">
        <is>
          <t>AGA SPK-tilskudd</t>
        </is>
      </c>
      <c r="B864" s="34" t="inlineStr">
        <is>
          <t>Region Nord</t>
        </is>
      </c>
      <c r="C864" s="34" t="inlineStr">
        <is>
          <t>Tromsø ungdomssenter Fjære</t>
        </is>
      </c>
      <c r="D864" s="18" t="n">
        <v>14362</v>
      </c>
      <c r="E864" s="18" t="n">
        <v>30633</v>
      </c>
      <c r="F864" s="18" t="n">
        <v>34372</v>
      </c>
      <c r="G864" s="18" t="n">
        <v>3216</v>
      </c>
      <c r="H864" s="18" t="n">
        <v>15639</v>
      </c>
      <c r="I864" s="18" t="n">
        <v>15352</v>
      </c>
      <c r="J864" s="19" t="n">
        <v>15766.85150799139</v>
      </c>
      <c r="K864" s="35" t="n">
        <v>0.01342125298800423</v>
      </c>
    </row>
    <row r="865">
      <c r="A865" s="36" t="inlineStr">
        <is>
          <t>AGA SPK-tilskudd</t>
        </is>
      </c>
      <c r="B865" s="36" t="inlineStr">
        <is>
          <t>Region Nord</t>
        </is>
      </c>
      <c r="C865" s="36" t="inlineStr">
        <is>
          <t>Tromsø ungdomssenter Fjære</t>
        </is>
      </c>
      <c r="D865" s="26" t="n">
        <v>43300</v>
      </c>
      <c r="E865" s="26" t="n">
        <v>42563</v>
      </c>
      <c r="F865" s="26" t="n">
        <v>44274</v>
      </c>
      <c r="G865" s="26" t="n">
        <v>52967</v>
      </c>
      <c r="H865" s="26" t="n">
        <v>55217</v>
      </c>
      <c r="I865" s="26" t="n">
        <v>63141</v>
      </c>
      <c r="J865" s="19" t="n">
        <v>73424.48001092108</v>
      </c>
      <c r="K865" s="37" t="n">
        <v>0.07836233860249675</v>
      </c>
    </row>
    <row r="866">
      <c r="A866" s="34" t="inlineStr">
        <is>
          <t>AGA SPK-tilskudd</t>
        </is>
      </c>
      <c r="B866" s="34" t="inlineStr">
        <is>
          <t>Region Nord</t>
        </is>
      </c>
      <c r="C866" s="34" t="inlineStr">
        <is>
          <t>Tromsø ungdomssenter Fjære</t>
        </is>
      </c>
      <c r="D866" s="18" t="n"/>
      <c r="E866" s="18" t="n">
        <v>2700</v>
      </c>
      <c r="F866" s="18" t="n">
        <v>391</v>
      </c>
      <c r="G866" s="18" t="n">
        <v>105</v>
      </c>
      <c r="H866" s="18" t="n"/>
      <c r="I866" s="18" t="n"/>
      <c r="J866" s="19" t="n">
        <v>0</v>
      </c>
      <c r="K866" s="35" t="n">
        <v>0.065</v>
      </c>
    </row>
    <row r="867">
      <c r="A867" s="36" t="inlineStr">
        <is>
          <t>AGA SPK-tilskudd</t>
        </is>
      </c>
      <c r="B867" s="36" t="inlineStr">
        <is>
          <t>Region Nord</t>
        </is>
      </c>
      <c r="C867" s="36" t="inlineStr">
        <is>
          <t>Tromsø ungdomssenter Fjære</t>
        </is>
      </c>
      <c r="D867" s="26" t="n">
        <v>756</v>
      </c>
      <c r="E867" s="26" t="n">
        <v>4888</v>
      </c>
      <c r="F867" s="26" t="n">
        <v>1520</v>
      </c>
      <c r="G867" s="26" t="n">
        <v>845</v>
      </c>
      <c r="H867" s="26" t="n">
        <v>1316</v>
      </c>
      <c r="I867" s="26" t="n"/>
      <c r="J867" s="19" t="n">
        <v>0</v>
      </c>
      <c r="K867" s="37" t="n">
        <v>0.065</v>
      </c>
    </row>
    <row r="868">
      <c r="A868" s="34" t="inlineStr">
        <is>
          <t>AGA SPK-tilskudd</t>
        </is>
      </c>
      <c r="B868" s="34" t="inlineStr">
        <is>
          <t>Region Nord</t>
        </is>
      </c>
      <c r="C868" s="34" t="inlineStr">
        <is>
          <t>Tromsø ungdomssenter Fjære</t>
        </is>
      </c>
      <c r="D868" s="18" t="n">
        <v>9999</v>
      </c>
      <c r="E868" s="18" t="n">
        <v>33214</v>
      </c>
      <c r="F868" s="18" t="n">
        <v>1610</v>
      </c>
      <c r="G868" s="18" t="n">
        <v>37654</v>
      </c>
      <c r="H868" s="18" t="n">
        <v>33928</v>
      </c>
      <c r="I868" s="18" t="n">
        <v>36389</v>
      </c>
      <c r="J868" s="19" t="n">
        <v>56857.8125</v>
      </c>
      <c r="K868" s="35" t="n">
        <v>0.25</v>
      </c>
    </row>
    <row r="869">
      <c r="A869" s="36" t="inlineStr">
        <is>
          <t>AGA SPK-tilskudd</t>
        </is>
      </c>
      <c r="B869" s="36" t="inlineStr">
        <is>
          <t>Region Nord</t>
        </is>
      </c>
      <c r="C869" s="36" t="inlineStr">
        <is>
          <t>Tromsø ungdomssenter Fjære</t>
        </is>
      </c>
      <c r="D869" s="26" t="n">
        <v>1715</v>
      </c>
      <c r="E869" s="26" t="n">
        <v>1077</v>
      </c>
      <c r="F869" s="26" t="n">
        <v>2247</v>
      </c>
      <c r="G869" s="26" t="n">
        <v>1150</v>
      </c>
      <c r="H869" s="26" t="n">
        <v>4899</v>
      </c>
      <c r="I869" s="26" t="n">
        <v>936</v>
      </c>
      <c r="J869" s="19" t="n">
        <v>734.6500939666317</v>
      </c>
      <c r="K869" s="37" t="n">
        <v>-0.1140640096349064</v>
      </c>
    </row>
    <row r="870">
      <c r="A870" s="34" t="inlineStr">
        <is>
          <t>AGA SPK-tilskudd</t>
        </is>
      </c>
      <c r="B870" s="34" t="inlineStr">
        <is>
          <t>Region Nord</t>
        </is>
      </c>
      <c r="C870" s="34" t="inlineStr">
        <is>
          <t>Tromsø ungdomssenter Fjære</t>
        </is>
      </c>
      <c r="D870" s="18" t="n">
        <v>1404</v>
      </c>
      <c r="E870" s="18" t="n">
        <v>1749</v>
      </c>
      <c r="F870" s="18" t="n">
        <v>644</v>
      </c>
      <c r="G870" s="18" t="n">
        <v>235</v>
      </c>
      <c r="H870" s="18" t="n">
        <v>564</v>
      </c>
      <c r="I870" s="18" t="n"/>
      <c r="J870" s="19" t="n">
        <v>0</v>
      </c>
      <c r="K870" s="35" t="n">
        <v>0.065</v>
      </c>
    </row>
    <row r="871">
      <c r="A871" s="36" t="inlineStr">
        <is>
          <t>AGA SPK-tilskudd</t>
        </is>
      </c>
      <c r="B871" s="36" t="inlineStr">
        <is>
          <t>Region Nord</t>
        </is>
      </c>
      <c r="C871" s="36" t="inlineStr">
        <is>
          <t>Tromsø ungdomssenter Fjære</t>
        </is>
      </c>
      <c r="D871" s="26" t="n"/>
      <c r="E871" s="26" t="n">
        <v>5400</v>
      </c>
      <c r="F871" s="26" t="n"/>
      <c r="G871" s="26" t="n">
        <v>3280</v>
      </c>
      <c r="H871" s="26" t="n">
        <v>9390</v>
      </c>
      <c r="I871" s="26" t="n">
        <v>8299</v>
      </c>
      <c r="J871" s="19" t="n">
        <v>10288.25611414224</v>
      </c>
      <c r="K871" s="37" t="n">
        <v>0.1134173928291966</v>
      </c>
    </row>
    <row r="872">
      <c r="A872" s="34" t="inlineStr">
        <is>
          <t>AGA SPK-tilskudd</t>
        </is>
      </c>
      <c r="B872" s="34" t="inlineStr">
        <is>
          <t>Region Nord</t>
        </is>
      </c>
      <c r="C872" s="34" t="inlineStr">
        <is>
          <t>Tromsø ungdomssenter Fjære</t>
        </is>
      </c>
      <c r="D872" s="18" t="n">
        <v>-4425</v>
      </c>
      <c r="E872" s="18" t="n">
        <v>-4950</v>
      </c>
      <c r="F872" s="18" t="n">
        <v>-4275</v>
      </c>
      <c r="G872" s="18" t="n">
        <v>-3900</v>
      </c>
      <c r="H872" s="18" t="n">
        <v>-3380</v>
      </c>
      <c r="I872" s="18" t="n">
        <v>-5025</v>
      </c>
      <c r="J872" s="19" t="n">
        <v>-5699.480624999999</v>
      </c>
      <c r="K872" s="35" t="n">
        <v>0.065</v>
      </c>
    </row>
    <row r="873">
      <c r="A873" s="36" t="inlineStr">
        <is>
          <t>AGA SPK-tilskudd</t>
        </is>
      </c>
      <c r="B873" s="36" t="inlineStr">
        <is>
          <t>Region Nord</t>
        </is>
      </c>
      <c r="C873" s="36" t="inlineStr">
        <is>
          <t>Tromsø ungdomssenter Fjære</t>
        </is>
      </c>
      <c r="D873" s="26" t="n"/>
      <c r="E873" s="26" t="n"/>
      <c r="F873" s="26" t="n"/>
      <c r="G873" s="26" t="n"/>
      <c r="H873" s="26" t="n">
        <v>-4499</v>
      </c>
      <c r="I873" s="26" t="n">
        <v>-98514</v>
      </c>
      <c r="J873" s="19" t="n">
        <v>-111737.04165</v>
      </c>
      <c r="K873" s="37" t="n">
        <v>0.065</v>
      </c>
    </row>
    <row r="874">
      <c r="A874" s="34" t="inlineStr">
        <is>
          <t>AGA SPK-tilskudd</t>
        </is>
      </c>
      <c r="B874" s="34" t="inlineStr">
        <is>
          <t>Region Nord</t>
        </is>
      </c>
      <c r="C874" s="34" t="inlineStr">
        <is>
          <t>Tromsø ungdomssenter Fjære</t>
        </is>
      </c>
      <c r="D874" s="18" t="n"/>
      <c r="E874" s="18" t="n"/>
      <c r="F874" s="18" t="n">
        <v>-151079</v>
      </c>
      <c r="G874" s="18" t="n">
        <v>-106361</v>
      </c>
      <c r="H874" s="18" t="n"/>
      <c r="I874" s="18" t="n">
        <v>-191900</v>
      </c>
      <c r="J874" s="19" t="n">
        <v>-217657.7775</v>
      </c>
      <c r="K874" s="35" t="n">
        <v>0.065</v>
      </c>
    </row>
    <row r="875">
      <c r="A875" s="36" t="inlineStr">
        <is>
          <t>AGA SPK-tilskudd</t>
        </is>
      </c>
      <c r="B875" s="36" t="inlineStr">
        <is>
          <t>Region Nord</t>
        </is>
      </c>
      <c r="C875" s="36" t="inlineStr">
        <is>
          <t>Tromsø ungdomssenter Fjære</t>
        </is>
      </c>
      <c r="D875" s="26" t="n">
        <v>-401783</v>
      </c>
      <c r="E875" s="26" t="n">
        <v>-395007</v>
      </c>
      <c r="F875" s="26" t="n">
        <v>-875909</v>
      </c>
      <c r="G875" s="26" t="n">
        <v>-654100</v>
      </c>
      <c r="H875" s="26" t="n">
        <v>-683957</v>
      </c>
      <c r="I875" s="26" t="n">
        <v>-918375</v>
      </c>
      <c r="J875" s="19" t="n">
        <v>-1041643.884375</v>
      </c>
      <c r="K875" s="37" t="n">
        <v>0.065</v>
      </c>
    </row>
    <row r="876">
      <c r="A876" s="34" t="inlineStr">
        <is>
          <t>AGA SPK-tilskudd</t>
        </is>
      </c>
      <c r="B876" s="34" t="inlineStr">
        <is>
          <t>Region Nord</t>
        </is>
      </c>
      <c r="C876" s="34" t="inlineStr">
        <is>
          <t>Tromsø ungdomssenter Flo</t>
        </is>
      </c>
      <c r="D876" s="18" t="n">
        <v>75356</v>
      </c>
      <c r="E876" s="18" t="n">
        <v>71951</v>
      </c>
      <c r="F876" s="18" t="n">
        <v>71696</v>
      </c>
      <c r="G876" s="18" t="n">
        <v>71511</v>
      </c>
      <c r="H876" s="18" t="n">
        <v>71003</v>
      </c>
      <c r="I876" s="18" t="n">
        <v>77475</v>
      </c>
      <c r="J876" s="19" t="n">
        <v>78339.19128346421</v>
      </c>
      <c r="K876" s="35" t="n">
        <v>0.005561760152655415</v>
      </c>
    </row>
    <row r="877">
      <c r="A877" s="36" t="inlineStr">
        <is>
          <t>AGA SPK-tilskudd</t>
        </is>
      </c>
      <c r="B877" s="36" t="inlineStr">
        <is>
          <t>Region Nord</t>
        </is>
      </c>
      <c r="C877" s="36" t="inlineStr">
        <is>
          <t>Tromsø ungdomssenter Flo</t>
        </is>
      </c>
      <c r="D877" s="26" t="n">
        <v>7023</v>
      </c>
      <c r="E877" s="26" t="n">
        <v>10017</v>
      </c>
      <c r="F877" s="26" t="n">
        <v>11530</v>
      </c>
      <c r="G877" s="26" t="n">
        <v>99505</v>
      </c>
      <c r="H877" s="26" t="n">
        <v>3495</v>
      </c>
      <c r="I877" s="26" t="n">
        <v>17110</v>
      </c>
      <c r="J877" s="19" t="n">
        <v>24430.98325217238</v>
      </c>
      <c r="K877" s="37" t="n">
        <v>0.1949382640253079</v>
      </c>
    </row>
    <row r="878">
      <c r="A878" s="34" t="inlineStr">
        <is>
          <t>AGA SPK-tilskudd</t>
        </is>
      </c>
      <c r="B878" s="34" t="inlineStr">
        <is>
          <t>Region Nord</t>
        </is>
      </c>
      <c r="C878" s="34" t="inlineStr">
        <is>
          <t>Tromsø ungdomssenter Flo</t>
        </is>
      </c>
      <c r="D878" s="18" t="n">
        <v>9368</v>
      </c>
      <c r="E878" s="18" t="n">
        <v>38356</v>
      </c>
      <c r="F878" s="18" t="n">
        <v>66522</v>
      </c>
      <c r="G878" s="18" t="n">
        <v>31429</v>
      </c>
      <c r="H878" s="18" t="n">
        <v>34014</v>
      </c>
      <c r="I878" s="18" t="n">
        <v>34656</v>
      </c>
      <c r="J878" s="19" t="n">
        <v>54150</v>
      </c>
      <c r="K878" s="35" t="n">
        <v>0.25</v>
      </c>
    </row>
    <row r="879">
      <c r="A879" s="36" t="inlineStr">
        <is>
          <t>AGA SPK-tilskudd</t>
        </is>
      </c>
      <c r="B879" s="36" t="inlineStr">
        <is>
          <t>Region Nord</t>
        </is>
      </c>
      <c r="C879" s="36" t="inlineStr">
        <is>
          <t>Tromsø ungdomssenter Flo</t>
        </is>
      </c>
      <c r="D879" s="26" t="n">
        <v>22600</v>
      </c>
      <c r="E879" s="26" t="n">
        <v>26558</v>
      </c>
      <c r="F879" s="26" t="n">
        <v>33027</v>
      </c>
      <c r="G879" s="26" t="n">
        <v>48341</v>
      </c>
      <c r="H879" s="26" t="n">
        <v>62420</v>
      </c>
      <c r="I879" s="26" t="n">
        <v>56648</v>
      </c>
      <c r="J879" s="19" t="n">
        <v>81811.6286285262</v>
      </c>
      <c r="K879" s="37" t="n">
        <v>0.2017530373336036</v>
      </c>
    </row>
    <row r="880">
      <c r="A880" s="34" t="inlineStr">
        <is>
          <t>AGA SPK-tilskudd</t>
        </is>
      </c>
      <c r="B880" s="34" t="inlineStr">
        <is>
          <t>Region Nord</t>
        </is>
      </c>
      <c r="C880" s="34" t="inlineStr">
        <is>
          <t>Tromsø ungdomssenter Flo</t>
        </is>
      </c>
      <c r="D880" s="18" t="n">
        <v>28</v>
      </c>
      <c r="E880" s="18" t="n">
        <v>126</v>
      </c>
      <c r="F880" s="18" t="n"/>
      <c r="G880" s="18" t="n"/>
      <c r="H880" s="18" t="n">
        <v>112</v>
      </c>
      <c r="I880" s="18" t="n">
        <v>28</v>
      </c>
      <c r="J880" s="19" t="n">
        <v>28</v>
      </c>
      <c r="K880" s="35" t="n">
        <v>0</v>
      </c>
    </row>
    <row r="881">
      <c r="A881" s="36" t="inlineStr">
        <is>
          <t>AGA SPK-tilskudd</t>
        </is>
      </c>
      <c r="B881" s="36" t="inlineStr">
        <is>
          <t>Region Nord</t>
        </is>
      </c>
      <c r="C881" s="36" t="inlineStr">
        <is>
          <t>Tromsø ungdomssenter Flo</t>
        </is>
      </c>
      <c r="D881" s="26" t="n">
        <v>563</v>
      </c>
      <c r="E881" s="26" t="n">
        <v>3282</v>
      </c>
      <c r="F881" s="26" t="n">
        <v>1839</v>
      </c>
      <c r="G881" s="26" t="n">
        <v>1957</v>
      </c>
      <c r="H881" s="26" t="n">
        <v>1974</v>
      </c>
      <c r="I881" s="26" t="n">
        <v>4270</v>
      </c>
      <c r="J881" s="19" t="n">
        <v>6671.875</v>
      </c>
      <c r="K881" s="37" t="n">
        <v>0.25</v>
      </c>
    </row>
    <row r="882">
      <c r="A882" s="34" t="inlineStr">
        <is>
          <t>AGA SPK-tilskudd</t>
        </is>
      </c>
      <c r="B882" s="34" t="inlineStr">
        <is>
          <t>Region Nord</t>
        </is>
      </c>
      <c r="C882" s="34" t="inlineStr">
        <is>
          <t>Tromsø ungdomssenter Flo</t>
        </is>
      </c>
      <c r="D882" s="18" t="n">
        <v>10299</v>
      </c>
      <c r="E882" s="18" t="n">
        <v>33714</v>
      </c>
      <c r="F882" s="18" t="n">
        <v>2010</v>
      </c>
      <c r="G882" s="18" t="n">
        <v>37654</v>
      </c>
      <c r="H882" s="18" t="n">
        <v>33928</v>
      </c>
      <c r="I882" s="18" t="n">
        <v>36389</v>
      </c>
      <c r="J882" s="19" t="n">
        <v>56857.8125</v>
      </c>
      <c r="K882" s="35" t="n">
        <v>0.25</v>
      </c>
    </row>
    <row r="883">
      <c r="A883" s="36" t="inlineStr">
        <is>
          <t>AGA SPK-tilskudd</t>
        </is>
      </c>
      <c r="B883" s="36" t="inlineStr">
        <is>
          <t>Region Nord</t>
        </is>
      </c>
      <c r="C883" s="36" t="inlineStr">
        <is>
          <t>Tromsø ungdomssenter Flo</t>
        </is>
      </c>
      <c r="D883" s="26" t="n">
        <v>4351</v>
      </c>
      <c r="E883" s="26" t="n">
        <v>3117</v>
      </c>
      <c r="F883" s="26" t="n">
        <v>3742</v>
      </c>
      <c r="G883" s="26" t="n">
        <v>6337</v>
      </c>
      <c r="H883" s="26" t="n">
        <v>1532</v>
      </c>
      <c r="I883" s="26" t="n">
        <v>1120</v>
      </c>
      <c r="J883" s="19" t="n">
        <v>650.8330494859696</v>
      </c>
      <c r="K883" s="37" t="n">
        <v>-0.2377002315092545</v>
      </c>
    </row>
    <row r="884">
      <c r="A884" s="34" t="inlineStr">
        <is>
          <t>AGA SPK-tilskudd</t>
        </is>
      </c>
      <c r="B884" s="34" t="inlineStr">
        <is>
          <t>Region Nord</t>
        </is>
      </c>
      <c r="C884" s="34" t="inlineStr">
        <is>
          <t>Tromsø ungdomssenter Flo</t>
        </is>
      </c>
      <c r="D884" s="18" t="n">
        <v>3036</v>
      </c>
      <c r="E884" s="18" t="n">
        <v>795</v>
      </c>
      <c r="F884" s="18" t="n">
        <v>412</v>
      </c>
      <c r="G884" s="18" t="n">
        <v>578</v>
      </c>
      <c r="H884" s="18" t="n">
        <v>891</v>
      </c>
      <c r="I884" s="18" t="n">
        <v>1739</v>
      </c>
      <c r="J884" s="19" t="n">
        <v>1391.549654787656</v>
      </c>
      <c r="K884" s="35" t="n">
        <v>-0.1054604164247981</v>
      </c>
    </row>
    <row r="885">
      <c r="A885" s="36" t="inlineStr">
        <is>
          <t>AGA SPK-tilskudd</t>
        </is>
      </c>
      <c r="B885" s="36" t="inlineStr">
        <is>
          <t>Region Nord</t>
        </is>
      </c>
      <c r="C885" s="36" t="inlineStr">
        <is>
          <t>Tromsø ungdomssenter Flo</t>
        </is>
      </c>
      <c r="D885" s="26" t="n"/>
      <c r="E885" s="26" t="n">
        <v>4309</v>
      </c>
      <c r="F885" s="26" t="n"/>
      <c r="G885" s="26" t="n">
        <v>14155</v>
      </c>
      <c r="H885" s="26" t="n"/>
      <c r="I885" s="26" t="n">
        <v>14008</v>
      </c>
      <c r="J885" s="19" t="n">
        <v>21887.5</v>
      </c>
      <c r="K885" s="37" t="n">
        <v>0.25</v>
      </c>
    </row>
    <row r="886">
      <c r="A886" s="34" t="inlineStr">
        <is>
          <t>AGA SPK-tilskudd</t>
        </is>
      </c>
      <c r="B886" s="34" t="inlineStr">
        <is>
          <t>Region Nord</t>
        </is>
      </c>
      <c r="C886" s="34" t="inlineStr">
        <is>
          <t>Tromsø ungdomssenter Flo</t>
        </is>
      </c>
      <c r="D886" s="18" t="n">
        <v>-4150</v>
      </c>
      <c r="E886" s="18" t="n">
        <v>-5750</v>
      </c>
      <c r="F886" s="18" t="n">
        <v>-5950</v>
      </c>
      <c r="G886" s="18" t="n">
        <v>-3100</v>
      </c>
      <c r="H886" s="18" t="n">
        <v>-5800</v>
      </c>
      <c r="I886" s="18" t="n">
        <v>-3663</v>
      </c>
      <c r="J886" s="19" t="n">
        <v>-4154.666174999999</v>
      </c>
      <c r="K886" s="35" t="n">
        <v>0.065</v>
      </c>
    </row>
    <row r="887">
      <c r="A887" s="36" t="inlineStr">
        <is>
          <t>AGA SPK-tilskudd</t>
        </is>
      </c>
      <c r="B887" s="36" t="inlineStr">
        <is>
          <t>Region Nord</t>
        </is>
      </c>
      <c r="C887" s="36" t="inlineStr">
        <is>
          <t>Tromsø ungdomssenter Flo</t>
        </is>
      </c>
      <c r="D887" s="26" t="n"/>
      <c r="E887" s="26" t="n"/>
      <c r="F887" s="26" t="n">
        <v>-21485</v>
      </c>
      <c r="G887" s="26" t="n">
        <v>-74785</v>
      </c>
      <c r="H887" s="26" t="n"/>
      <c r="I887" s="26" t="n">
        <v>-34184</v>
      </c>
      <c r="J887" s="19" t="n">
        <v>-38772.34739999999</v>
      </c>
      <c r="K887" s="37" t="n">
        <v>0.065</v>
      </c>
    </row>
    <row r="888">
      <c r="A888" s="34" t="inlineStr">
        <is>
          <t>AGA SPK-tilskudd</t>
        </is>
      </c>
      <c r="B888" s="34" t="inlineStr">
        <is>
          <t>Region Nord</t>
        </is>
      </c>
      <c r="C888" s="34" t="inlineStr">
        <is>
          <t>Tromsø ungdomssenter Flo</t>
        </is>
      </c>
      <c r="D888" s="18" t="n">
        <v>-277821</v>
      </c>
      <c r="E888" s="18" t="n">
        <v>-211675</v>
      </c>
      <c r="F888" s="18" t="n">
        <v>-129879</v>
      </c>
      <c r="G888" s="18" t="n">
        <v>-153300</v>
      </c>
      <c r="H888" s="18" t="n">
        <v>-71916</v>
      </c>
      <c r="I888" s="18" t="n">
        <v>-258180</v>
      </c>
      <c r="J888" s="19" t="n">
        <v>-292834.2104999999</v>
      </c>
      <c r="K888" s="35" t="n">
        <v>0.065</v>
      </c>
    </row>
    <row r="889">
      <c r="A889" s="36" t="inlineStr">
        <is>
          <t>AGA SPK-tilskudd</t>
        </is>
      </c>
      <c r="B889" s="36" t="inlineStr">
        <is>
          <t>Region Nord</t>
        </is>
      </c>
      <c r="C889" s="36" t="inlineStr">
        <is>
          <t>Tromsø ungdomssenter Flo</t>
        </is>
      </c>
      <c r="D889" s="26" t="n">
        <v>-322401</v>
      </c>
      <c r="E889" s="26" t="n">
        <v>-409821</v>
      </c>
      <c r="F889" s="26" t="n">
        <v>-203135</v>
      </c>
      <c r="G889" s="26" t="n">
        <v>-231984</v>
      </c>
      <c r="H889" s="26" t="n">
        <v>-223807</v>
      </c>
      <c r="I889" s="26" t="n">
        <v>-586961</v>
      </c>
      <c r="J889" s="19" t="n">
        <v>-665745.8402249999</v>
      </c>
      <c r="K889" s="37" t="n">
        <v>0.065</v>
      </c>
    </row>
    <row r="890">
      <c r="A890" s="34" t="inlineStr">
        <is>
          <t>AGA SPK-tilskudd</t>
        </is>
      </c>
      <c r="B890" s="34" t="inlineStr">
        <is>
          <t>Region Nord</t>
        </is>
      </c>
      <c r="C890" s="34" t="inlineStr">
        <is>
          <t>Vadsø ungdomssenter administrasjon</t>
        </is>
      </c>
      <c r="D890" s="18" t="n">
        <v>7467</v>
      </c>
      <c r="E890" s="18" t="n"/>
      <c r="F890" s="18" t="n"/>
      <c r="G890" s="18" t="n"/>
      <c r="H890" s="18" t="n"/>
      <c r="I890" s="18" t="n"/>
      <c r="J890" s="19" t="n">
        <v>0</v>
      </c>
      <c r="K890" s="35" t="n">
        <v>0.065</v>
      </c>
    </row>
    <row r="891">
      <c r="A891" s="36" t="inlineStr">
        <is>
          <t>AGA SPK-tilskudd</t>
        </is>
      </c>
      <c r="B891" s="36" t="inlineStr">
        <is>
          <t>Region Nord</t>
        </is>
      </c>
      <c r="C891" s="36" t="inlineStr">
        <is>
          <t>Vadsø ungdomssenter administrasjon</t>
        </is>
      </c>
      <c r="D891" s="26" t="n">
        <v>420</v>
      </c>
      <c r="E891" s="26" t="n"/>
      <c r="F891" s="26" t="n"/>
      <c r="G891" s="26" t="n"/>
      <c r="H891" s="26" t="n"/>
      <c r="I891" s="26" t="n"/>
      <c r="J891" s="19" t="n">
        <v>0</v>
      </c>
      <c r="K891" s="37" t="n">
        <v>0.065</v>
      </c>
    </row>
    <row r="892">
      <c r="A892" s="34" t="inlineStr">
        <is>
          <t>AGA SPK-tilskudd</t>
        </is>
      </c>
      <c r="B892" s="34" t="inlineStr">
        <is>
          <t>Region Nord</t>
        </is>
      </c>
      <c r="C892" s="34" t="inlineStr">
        <is>
          <t>Vadsø ungdomssenter administrasjon</t>
        </is>
      </c>
      <c r="D892" s="18" t="n">
        <v>88108</v>
      </c>
      <c r="E892" s="18" t="n">
        <v>66081</v>
      </c>
      <c r="F892" s="18" t="n"/>
      <c r="G892" s="18" t="n"/>
      <c r="H892" s="18" t="n"/>
      <c r="I892" s="18" t="n"/>
      <c r="J892" s="19" t="n">
        <v>0</v>
      </c>
      <c r="K892" s="35" t="n">
        <v>0.065</v>
      </c>
    </row>
    <row r="893">
      <c r="A893" s="36" t="inlineStr">
        <is>
          <t>AGA SPK-tilskudd</t>
        </is>
      </c>
      <c r="B893" s="36" t="inlineStr">
        <is>
          <t>Region Nord</t>
        </is>
      </c>
      <c r="C893" s="36" t="inlineStr">
        <is>
          <t>Vadsø ungdomssenter administrasjon</t>
        </is>
      </c>
      <c r="D893" s="26" t="n">
        <v>595</v>
      </c>
      <c r="E893" s="26" t="n"/>
      <c r="F893" s="26" t="n"/>
      <c r="G893" s="26" t="n"/>
      <c r="H893" s="26" t="n"/>
      <c r="I893" s="26" t="n"/>
      <c r="J893" s="19" t="n">
        <v>0</v>
      </c>
      <c r="K893" s="37" t="n">
        <v>0.065</v>
      </c>
    </row>
    <row r="894">
      <c r="A894" s="34" t="inlineStr">
        <is>
          <t>AGA SPK-tilskudd</t>
        </is>
      </c>
      <c r="B894" s="34" t="inlineStr">
        <is>
          <t>Region Nord</t>
        </is>
      </c>
      <c r="C894" s="34" t="inlineStr">
        <is>
          <t>Vadsø ungdomssenter administrasjon</t>
        </is>
      </c>
      <c r="D894" s="18" t="n">
        <v>801</v>
      </c>
      <c r="E894" s="18" t="n"/>
      <c r="F894" s="18" t="n"/>
      <c r="G894" s="18" t="n"/>
      <c r="H894" s="18" t="n"/>
      <c r="I894" s="18" t="n"/>
      <c r="J894" s="19" t="n">
        <v>0</v>
      </c>
      <c r="K894" s="35" t="n">
        <v>0.065</v>
      </c>
    </row>
    <row r="895">
      <c r="A895" s="36" t="inlineStr">
        <is>
          <t>AGA SPK-tilskudd</t>
        </is>
      </c>
      <c r="B895" s="36" t="inlineStr">
        <is>
          <t>Region Nord</t>
        </is>
      </c>
      <c r="C895" s="36" t="inlineStr">
        <is>
          <t>Vadsø ungdomssenter administrasjon</t>
        </is>
      </c>
      <c r="D895" s="26" t="n">
        <v>1107</v>
      </c>
      <c r="E895" s="26" t="n"/>
      <c r="F895" s="26" t="n"/>
      <c r="G895" s="26" t="n"/>
      <c r="H895" s="26" t="n"/>
      <c r="I895" s="26" t="n"/>
      <c r="J895" s="19" t="n">
        <v>0</v>
      </c>
      <c r="K895" s="37" t="n">
        <v>0.065</v>
      </c>
    </row>
    <row r="896">
      <c r="A896" s="34" t="inlineStr">
        <is>
          <t>AGA SPK-tilskudd</t>
        </is>
      </c>
      <c r="B896" s="34" t="inlineStr">
        <is>
          <t>Region Nord</t>
        </is>
      </c>
      <c r="C896" s="34" t="inlineStr">
        <is>
          <t>Vadsø ungdomssenter administrasjon</t>
        </is>
      </c>
      <c r="D896" s="18" t="n">
        <v>34520</v>
      </c>
      <c r="E896" s="18" t="n"/>
      <c r="F896" s="18" t="n"/>
      <c r="G896" s="18" t="n"/>
      <c r="H896" s="18" t="n"/>
      <c r="I896" s="18" t="n"/>
      <c r="J896" s="19" t="n">
        <v>0</v>
      </c>
      <c r="K896" s="35" t="n">
        <v>0.065</v>
      </c>
    </row>
    <row r="897">
      <c r="A897" s="36" t="inlineStr">
        <is>
          <t>AGA SPK-tilskudd</t>
        </is>
      </c>
      <c r="B897" s="36" t="inlineStr">
        <is>
          <t>Region Nord</t>
        </is>
      </c>
      <c r="C897" s="36" t="inlineStr">
        <is>
          <t>Vadsø ungdomssenter administrasjon</t>
        </is>
      </c>
      <c r="D897" s="26" t="n">
        <v>182</v>
      </c>
      <c r="E897" s="26" t="n"/>
      <c r="F897" s="26" t="n"/>
      <c r="G897" s="26" t="n"/>
      <c r="H897" s="26" t="n"/>
      <c r="I897" s="26" t="n"/>
      <c r="J897" s="19" t="n">
        <v>0</v>
      </c>
      <c r="K897" s="37" t="n">
        <v>0.065</v>
      </c>
    </row>
    <row r="898">
      <c r="A898" s="34" t="inlineStr">
        <is>
          <t>AGA SPK-tilskudd</t>
        </is>
      </c>
      <c r="B898" s="34" t="inlineStr">
        <is>
          <t>Region Nord</t>
        </is>
      </c>
      <c r="C898" s="34" t="inlineStr">
        <is>
          <t>Vadsø ungdomssenter avdeling 1</t>
        </is>
      </c>
      <c r="D898" s="18" t="n">
        <v>6079</v>
      </c>
      <c r="E898" s="18" t="n"/>
      <c r="F898" s="18" t="n"/>
      <c r="G898" s="18" t="n"/>
      <c r="H898" s="18" t="n"/>
      <c r="I898" s="18" t="n"/>
      <c r="J898" s="19" t="n">
        <v>0</v>
      </c>
      <c r="K898" s="35" t="n">
        <v>0.065</v>
      </c>
    </row>
    <row r="899">
      <c r="A899" s="36" t="inlineStr">
        <is>
          <t>AGA SPK-tilskudd</t>
        </is>
      </c>
      <c r="B899" s="36" t="inlineStr">
        <is>
          <t>Region Nord</t>
        </is>
      </c>
      <c r="C899" s="36" t="inlineStr">
        <is>
          <t>Vadsø ungdomssenter avdeling 1</t>
        </is>
      </c>
      <c r="D899" s="26" t="n">
        <v>14800</v>
      </c>
      <c r="E899" s="26" t="n">
        <v>4601</v>
      </c>
      <c r="F899" s="26" t="n">
        <v>614</v>
      </c>
      <c r="G899" s="26" t="n"/>
      <c r="H899" s="26" t="n"/>
      <c r="I899" s="26" t="n"/>
      <c r="J899" s="19" t="n">
        <v>0</v>
      </c>
      <c r="K899" s="37" t="n">
        <v>0.065</v>
      </c>
    </row>
    <row r="900">
      <c r="A900" s="34" t="inlineStr">
        <is>
          <t>AGA SPK-tilskudd</t>
        </is>
      </c>
      <c r="B900" s="34" t="inlineStr">
        <is>
          <t>Region Nord</t>
        </is>
      </c>
      <c r="C900" s="34" t="inlineStr">
        <is>
          <t>Vadsø ungdomssenter avdeling 1</t>
        </is>
      </c>
      <c r="D900" s="18" t="n">
        <v>3231398</v>
      </c>
      <c r="E900" s="18" t="n">
        <v>290224</v>
      </c>
      <c r="F900" s="18" t="n"/>
      <c r="G900" s="18" t="n"/>
      <c r="H900" s="18" t="n"/>
      <c r="I900" s="18" t="n"/>
      <c r="J900" s="19" t="n">
        <v>0</v>
      </c>
      <c r="K900" s="35" t="n">
        <v>0.065</v>
      </c>
    </row>
    <row r="901">
      <c r="A901" s="36" t="inlineStr">
        <is>
          <t>AGA SPK-tilskudd</t>
        </is>
      </c>
      <c r="B901" s="36" t="inlineStr">
        <is>
          <t>Region Nord</t>
        </is>
      </c>
      <c r="C901" s="36" t="inlineStr">
        <is>
          <t>Vadsø ungdomssenter avdeling 1</t>
        </is>
      </c>
      <c r="D901" s="26" t="n">
        <v>740</v>
      </c>
      <c r="E901" s="26" t="n"/>
      <c r="F901" s="26" t="n"/>
      <c r="G901" s="26" t="n"/>
      <c r="H901" s="26" t="n"/>
      <c r="I901" s="26" t="n"/>
      <c r="J901" s="19" t="n">
        <v>0</v>
      </c>
      <c r="K901" s="37" t="n">
        <v>0.065</v>
      </c>
    </row>
    <row r="902">
      <c r="A902" s="34" t="inlineStr">
        <is>
          <t>AGA SPK-tilskudd</t>
        </is>
      </c>
      <c r="B902" s="34" t="inlineStr">
        <is>
          <t>Region Nord</t>
        </is>
      </c>
      <c r="C902" s="34" t="inlineStr">
        <is>
          <t>Vadsø ungdomssenter avdeling 1</t>
        </is>
      </c>
      <c r="D902" s="18" t="n">
        <v>7108</v>
      </c>
      <c r="E902" s="18" t="n"/>
      <c r="F902" s="18" t="n"/>
      <c r="G902" s="18" t="n"/>
      <c r="H902" s="18" t="n"/>
      <c r="I902" s="18" t="n"/>
      <c r="J902" s="19" t="n">
        <v>0</v>
      </c>
      <c r="K902" s="35" t="n">
        <v>0.065</v>
      </c>
    </row>
    <row r="903">
      <c r="A903" s="36" t="inlineStr">
        <is>
          <t>AGA SPK-tilskudd</t>
        </is>
      </c>
      <c r="B903" s="36" t="inlineStr">
        <is>
          <t>Region Nord</t>
        </is>
      </c>
      <c r="C903" s="36" t="inlineStr">
        <is>
          <t>Vadsø ungdomssenter avdeling 1</t>
        </is>
      </c>
      <c r="D903" s="26" t="n">
        <v>191</v>
      </c>
      <c r="E903" s="26" t="n"/>
      <c r="F903" s="26" t="n"/>
      <c r="G903" s="26" t="n"/>
      <c r="H903" s="26" t="n"/>
      <c r="I903" s="26" t="n"/>
      <c r="J903" s="19" t="n">
        <v>0</v>
      </c>
      <c r="K903" s="37" t="n">
        <v>0.065</v>
      </c>
    </row>
    <row r="904">
      <c r="A904" s="34" t="inlineStr">
        <is>
          <t>AGA SPK-tilskudd</t>
        </is>
      </c>
      <c r="B904" s="34" t="inlineStr">
        <is>
          <t>Region Nord</t>
        </is>
      </c>
      <c r="C904" s="34" t="inlineStr">
        <is>
          <t>Vadsø ungdomssenter avdeling 1</t>
        </is>
      </c>
      <c r="D904" s="18" t="n">
        <v>-2085</v>
      </c>
      <c r="E904" s="18" t="n"/>
      <c r="F904" s="18" t="n"/>
      <c r="G904" s="18" t="n"/>
      <c r="H904" s="18" t="n"/>
      <c r="I904" s="18" t="n"/>
      <c r="J904" s="19" t="n">
        <v>0</v>
      </c>
      <c r="K904" s="35" t="n">
        <v>0.065</v>
      </c>
    </row>
    <row r="905">
      <c r="A905" s="36" t="inlineStr">
        <is>
          <t>AGA SPK-tilskudd</t>
        </is>
      </c>
      <c r="B905" s="36" t="inlineStr">
        <is>
          <t>Region Nord</t>
        </is>
      </c>
      <c r="C905" s="36" t="inlineStr">
        <is>
          <t>Vadsø ungdomssenter avdeling 1</t>
        </is>
      </c>
      <c r="D905" s="26" t="n">
        <v>-291390</v>
      </c>
      <c r="E905" s="26" t="n">
        <v>-10808</v>
      </c>
      <c r="F905" s="26" t="n"/>
      <c r="G905" s="26" t="n"/>
      <c r="H905" s="26" t="n"/>
      <c r="I905" s="26" t="n"/>
      <c r="J905" s="19" t="n">
        <v>0</v>
      </c>
      <c r="K905" s="37" t="n">
        <v>0.065</v>
      </c>
    </row>
    <row r="906">
      <c r="A906" s="34" t="inlineStr">
        <is>
          <t>AGA SPK-tilskudd</t>
        </is>
      </c>
      <c r="B906" s="34" t="inlineStr">
        <is>
          <t>Region Nord</t>
        </is>
      </c>
      <c r="C906" s="34" t="inlineStr">
        <is>
          <t>Vadsø ungdomssenter avdeling 1</t>
        </is>
      </c>
      <c r="D906" s="18" t="n">
        <v>-504393</v>
      </c>
      <c r="E906" s="18" t="n">
        <v>-20824</v>
      </c>
      <c r="F906" s="18" t="n">
        <v>-4408</v>
      </c>
      <c r="G906" s="18" t="n"/>
      <c r="H906" s="18" t="n"/>
      <c r="I906" s="18" t="n"/>
      <c r="J906" s="19" t="n">
        <v>0</v>
      </c>
      <c r="K906" s="35" t="n">
        <v>0.065</v>
      </c>
    </row>
    <row r="907">
      <c r="A907" s="36" t="inlineStr">
        <is>
          <t>AGA SPK-tilskudd</t>
        </is>
      </c>
      <c r="B907" s="36" t="inlineStr">
        <is>
          <t>Region Nord</t>
        </is>
      </c>
      <c r="C907" s="36" t="inlineStr">
        <is>
          <t>Yttrabekken ungdomssenter administrasjon</t>
        </is>
      </c>
      <c r="D907" s="26" t="n">
        <v>6693</v>
      </c>
      <c r="E907" s="26" t="n">
        <v>5862</v>
      </c>
      <c r="F907" s="26" t="n">
        <v>5401</v>
      </c>
      <c r="G907" s="26" t="n">
        <v>5555</v>
      </c>
      <c r="H907" s="26" t="n">
        <v>5412</v>
      </c>
      <c r="I907" s="26" t="n">
        <v>5571</v>
      </c>
      <c r="J907" s="19" t="n">
        <v>5176.760724004637</v>
      </c>
      <c r="K907" s="37" t="n">
        <v>-0.03603233418129292</v>
      </c>
    </row>
    <row r="908">
      <c r="A908" s="34" t="inlineStr">
        <is>
          <t>AGA SPK-tilskudd</t>
        </is>
      </c>
      <c r="B908" s="34" t="inlineStr">
        <is>
          <t>Region Nord</t>
        </is>
      </c>
      <c r="C908" s="34" t="inlineStr">
        <is>
          <t>Yttrabekken ungdomssenter administrasjon</t>
        </is>
      </c>
      <c r="D908" s="18" t="n">
        <v>12794</v>
      </c>
      <c r="E908" s="18" t="n">
        <v>23477</v>
      </c>
      <c r="F908" s="18" t="n">
        <v>47669</v>
      </c>
      <c r="G908" s="18" t="n">
        <v>54633</v>
      </c>
      <c r="H908" s="18" t="n">
        <v>119505</v>
      </c>
      <c r="I908" s="18" t="n">
        <v>39142</v>
      </c>
      <c r="J908" s="19" t="n">
        <v>61159.375</v>
      </c>
      <c r="K908" s="35" t="n">
        <v>0.25</v>
      </c>
    </row>
    <row r="909">
      <c r="A909" s="36" t="inlineStr">
        <is>
          <t>AGA SPK-tilskudd</t>
        </is>
      </c>
      <c r="B909" s="36" t="inlineStr">
        <is>
          <t>Region Nord</t>
        </is>
      </c>
      <c r="C909" s="36" t="inlineStr">
        <is>
          <t>Yttrabekken ungdomssenter administrasjon</t>
        </is>
      </c>
      <c r="D909" s="26" t="n">
        <v>2400</v>
      </c>
      <c r="E909" s="26" t="n">
        <v>2454</v>
      </c>
      <c r="F909" s="26" t="n">
        <v>2454</v>
      </c>
      <c r="G909" s="26" t="n">
        <v>3186</v>
      </c>
      <c r="H909" s="26" t="n">
        <v>2840</v>
      </c>
      <c r="I909" s="26" t="n">
        <v>3078</v>
      </c>
      <c r="J909" s="19" t="n">
        <v>3400.099019708804</v>
      </c>
      <c r="K909" s="37" t="n">
        <v>0.05102119648508996</v>
      </c>
    </row>
    <row r="910">
      <c r="A910" s="34" t="inlineStr">
        <is>
          <t>AGA SPK-tilskudd</t>
        </is>
      </c>
      <c r="B910" s="34" t="inlineStr">
        <is>
          <t>Region Nord</t>
        </is>
      </c>
      <c r="C910" s="34" t="inlineStr">
        <is>
          <t>Yttrabekken ungdomssenter administrasjon</t>
        </is>
      </c>
      <c r="D910" s="18" t="n">
        <v>431</v>
      </c>
      <c r="E910" s="18" t="n">
        <v>1757</v>
      </c>
      <c r="F910" s="18" t="n">
        <v>2755</v>
      </c>
      <c r="G910" s="18" t="n">
        <v>4502</v>
      </c>
      <c r="H910" s="18" t="n">
        <v>6293</v>
      </c>
      <c r="I910" s="18" t="n">
        <v>445</v>
      </c>
      <c r="J910" s="19" t="n">
        <v>450.7265151430178</v>
      </c>
      <c r="K910" s="35" t="n">
        <v>0.006413718783232936</v>
      </c>
    </row>
    <row r="911">
      <c r="A911" s="36" t="inlineStr">
        <is>
          <t>AGA SPK-tilskudd</t>
        </is>
      </c>
      <c r="B911" s="36" t="inlineStr">
        <is>
          <t>Region Nord</t>
        </is>
      </c>
      <c r="C911" s="36" t="inlineStr">
        <is>
          <t>Yttrabekken ungdomssenter administrasjon</t>
        </is>
      </c>
      <c r="D911" s="26" t="n">
        <v>3081</v>
      </c>
      <c r="E911" s="26" t="n">
        <v>1835</v>
      </c>
      <c r="F911" s="26" t="n">
        <v>5810</v>
      </c>
      <c r="G911" s="26" t="n">
        <v>3155</v>
      </c>
      <c r="H911" s="26" t="n">
        <v>10957</v>
      </c>
      <c r="I911" s="26" t="n">
        <v>3219</v>
      </c>
      <c r="J911" s="19" t="n">
        <v>3275.915478346722</v>
      </c>
      <c r="K911" s="37" t="n">
        <v>0.008801816721163425</v>
      </c>
    </row>
    <row r="912">
      <c r="A912" s="34" t="inlineStr">
        <is>
          <t>AGA SPK-tilskudd</t>
        </is>
      </c>
      <c r="B912" s="34" t="inlineStr">
        <is>
          <t>Region Nord</t>
        </is>
      </c>
      <c r="C912" s="34" t="inlineStr">
        <is>
          <t>Yttrabekken ungdomssenter administrasjon</t>
        </is>
      </c>
      <c r="D912" s="18" t="n">
        <v>325</v>
      </c>
      <c r="E912" s="18" t="n"/>
      <c r="F912" s="18" t="n">
        <v>1500</v>
      </c>
      <c r="G912" s="18" t="n"/>
      <c r="H912" s="18" t="n"/>
      <c r="I912" s="18" t="n"/>
      <c r="J912" s="19" t="n">
        <v>0</v>
      </c>
      <c r="K912" s="35" t="n">
        <v>0.065</v>
      </c>
    </row>
    <row r="913">
      <c r="A913" s="36" t="inlineStr">
        <is>
          <t>AGA SPK-tilskudd</t>
        </is>
      </c>
      <c r="B913" s="36" t="inlineStr">
        <is>
          <t>Region Nord</t>
        </is>
      </c>
      <c r="C913" s="36" t="inlineStr">
        <is>
          <t>Yttrabekken ungdomssenter administrasjon</t>
        </is>
      </c>
      <c r="D913" s="26" t="n">
        <v>888</v>
      </c>
      <c r="E913" s="26" t="n">
        <v>751</v>
      </c>
      <c r="F913" s="26" t="n">
        <v>1893</v>
      </c>
      <c r="G913" s="26" t="n">
        <v>1937</v>
      </c>
      <c r="H913" s="26" t="n">
        <v>5713</v>
      </c>
      <c r="I913" s="26" t="n">
        <v>999</v>
      </c>
      <c r="J913" s="19" t="n">
        <v>1047.192437479212</v>
      </c>
      <c r="K913" s="37" t="n">
        <v>0.02383625553960966</v>
      </c>
    </row>
    <row r="914">
      <c r="A914" s="34" t="inlineStr">
        <is>
          <t>AGA SPK-tilskudd</t>
        </is>
      </c>
      <c r="B914" s="34" t="inlineStr">
        <is>
          <t>Region Nord</t>
        </is>
      </c>
      <c r="C914" s="34" t="inlineStr">
        <is>
          <t>Yttrabekken ungdomssenter administrasjon</t>
        </is>
      </c>
      <c r="D914" s="18" t="n"/>
      <c r="E914" s="18" t="n"/>
      <c r="F914" s="18" t="n"/>
      <c r="G914" s="18" t="n"/>
      <c r="H914" s="18" t="n"/>
      <c r="I914" s="18" t="n">
        <v>3599</v>
      </c>
      <c r="J914" s="19" t="n">
        <v>4082.075774999999</v>
      </c>
      <c r="K914" s="35" t="n">
        <v>0.065</v>
      </c>
    </row>
    <row r="915">
      <c r="A915" s="36" t="inlineStr">
        <is>
          <t>AGA SPK-tilskudd</t>
        </is>
      </c>
      <c r="B915" s="36" t="inlineStr">
        <is>
          <t>Region Nord</t>
        </is>
      </c>
      <c r="C915" s="36" t="inlineStr">
        <is>
          <t>Yttrabekken ungdomssenter administrasjon</t>
        </is>
      </c>
      <c r="D915" s="26" t="n">
        <v>-3400</v>
      </c>
      <c r="E915" s="26" t="n">
        <v>-2400</v>
      </c>
      <c r="F915" s="26" t="n">
        <v>-615</v>
      </c>
      <c r="G915" s="26" t="n">
        <v>-2400</v>
      </c>
      <c r="H915" s="26" t="n">
        <v>-8131</v>
      </c>
      <c r="I915" s="26" t="n">
        <v>-2400</v>
      </c>
      <c r="J915" s="19" t="n">
        <v>-2722.139999999999</v>
      </c>
      <c r="K915" s="37" t="n">
        <v>0.065</v>
      </c>
    </row>
    <row r="916">
      <c r="A916" s="34" t="inlineStr">
        <is>
          <t>AGA SPK-tilskudd</t>
        </is>
      </c>
      <c r="B916" s="34" t="inlineStr">
        <is>
          <t>Region Nord</t>
        </is>
      </c>
      <c r="C916" s="34" t="inlineStr">
        <is>
          <t>Yttrabekken ungdomssenter avdeling 1</t>
        </is>
      </c>
      <c r="D916" s="18" t="n">
        <v>72161</v>
      </c>
      <c r="E916" s="18" t="n">
        <v>70700</v>
      </c>
      <c r="F916" s="18" t="n">
        <v>71064</v>
      </c>
      <c r="G916" s="18" t="n">
        <v>71078</v>
      </c>
      <c r="H916" s="18" t="n">
        <v>65045</v>
      </c>
      <c r="I916" s="18" t="n">
        <v>70068</v>
      </c>
      <c r="J916" s="19" t="n">
        <v>69247.8976127951</v>
      </c>
      <c r="K916" s="35" t="n">
        <v>-0.005869414222171909</v>
      </c>
    </row>
    <row r="917">
      <c r="A917" s="36" t="inlineStr">
        <is>
          <t>AGA SPK-tilskudd</t>
        </is>
      </c>
      <c r="B917" s="36" t="inlineStr">
        <is>
          <t>Region Nord</t>
        </is>
      </c>
      <c r="C917" s="36" t="inlineStr">
        <is>
          <t>Yttrabekken ungdomssenter avdeling 1</t>
        </is>
      </c>
      <c r="D917" s="26" t="n">
        <v>218254</v>
      </c>
      <c r="E917" s="26" t="n">
        <v>158592</v>
      </c>
      <c r="F917" s="26" t="n">
        <v>306214</v>
      </c>
      <c r="G917" s="26" t="n">
        <v>161275</v>
      </c>
      <c r="H917" s="26" t="n">
        <v>209132</v>
      </c>
      <c r="I917" s="26" t="n">
        <v>196571</v>
      </c>
      <c r="J917" s="19" t="n">
        <v>188513.4497913998</v>
      </c>
      <c r="K917" s="37" t="n">
        <v>-0.02070971297783331</v>
      </c>
    </row>
    <row r="918">
      <c r="A918" s="34" t="inlineStr">
        <is>
          <t>AGA SPK-tilskudd</t>
        </is>
      </c>
      <c r="B918" s="34" t="inlineStr">
        <is>
          <t>Region Nord</t>
        </is>
      </c>
      <c r="C918" s="34" t="inlineStr">
        <is>
          <t>Yttrabekken ungdomssenter avdeling 1</t>
        </is>
      </c>
      <c r="D918" s="18" t="n">
        <v>243467</v>
      </c>
      <c r="E918" s="18" t="n">
        <v>447899</v>
      </c>
      <c r="F918" s="18" t="n">
        <v>565467</v>
      </c>
      <c r="G918" s="18" t="n">
        <v>414021</v>
      </c>
      <c r="H918" s="18" t="n">
        <v>576737</v>
      </c>
      <c r="I918" s="18" t="n">
        <v>332855</v>
      </c>
      <c r="J918" s="19" t="n">
        <v>377208.1585291299</v>
      </c>
      <c r="K918" s="35" t="n">
        <v>0.06454247934406565</v>
      </c>
    </row>
    <row r="919">
      <c r="A919" s="36" t="inlineStr">
        <is>
          <t>AGA SPK-tilskudd</t>
        </is>
      </c>
      <c r="B919" s="36" t="inlineStr">
        <is>
          <t>Region Nord</t>
        </is>
      </c>
      <c r="C919" s="36" t="inlineStr">
        <is>
          <t>Yttrabekken ungdomssenter avdeling 1</t>
        </is>
      </c>
      <c r="D919" s="26" t="n">
        <v>44114</v>
      </c>
      <c r="E919" s="26" t="n">
        <v>49535</v>
      </c>
      <c r="F919" s="26" t="n">
        <v>53472</v>
      </c>
      <c r="G919" s="26" t="n">
        <v>64782</v>
      </c>
      <c r="H919" s="26" t="n">
        <v>72289</v>
      </c>
      <c r="I919" s="26" t="n">
        <v>73891</v>
      </c>
      <c r="J919" s="19" t="n">
        <v>90823.36453009865</v>
      </c>
      <c r="K919" s="37" t="n">
        <v>0.1086718511226472</v>
      </c>
    </row>
    <row r="920">
      <c r="A920" s="34" t="inlineStr">
        <is>
          <t>AGA SPK-tilskudd</t>
        </is>
      </c>
      <c r="B920" s="34" t="inlineStr">
        <is>
          <t>Region Nord</t>
        </is>
      </c>
      <c r="C920" s="34" t="inlineStr">
        <is>
          <t>Yttrabekken ungdomssenter avdeling 1</t>
        </is>
      </c>
      <c r="D920" s="18" t="n">
        <v>3280</v>
      </c>
      <c r="E920" s="18" t="n"/>
      <c r="F920" s="18" t="n"/>
      <c r="G920" s="18" t="n"/>
      <c r="H920" s="18" t="n"/>
      <c r="I920" s="18" t="n"/>
      <c r="J920" s="19" t="n">
        <v>0</v>
      </c>
      <c r="K920" s="35" t="n">
        <v>0.065</v>
      </c>
    </row>
    <row r="921">
      <c r="A921" s="36" t="inlineStr">
        <is>
          <t>AGA SPK-tilskudd</t>
        </is>
      </c>
      <c r="B921" s="36" t="inlineStr">
        <is>
          <t>Region Nord</t>
        </is>
      </c>
      <c r="C921" s="36" t="inlineStr">
        <is>
          <t>Yttrabekken ungdomssenter avdeling 1</t>
        </is>
      </c>
      <c r="D921" s="26" t="n">
        <v>4915</v>
      </c>
      <c r="E921" s="26" t="n">
        <v>18971</v>
      </c>
      <c r="F921" s="26" t="n">
        <v>21606</v>
      </c>
      <c r="G921" s="26" t="n">
        <v>14588</v>
      </c>
      <c r="H921" s="26" t="n">
        <v>33260</v>
      </c>
      <c r="I921" s="26" t="n">
        <v>20036</v>
      </c>
      <c r="J921" s="19" t="n">
        <v>31306.25</v>
      </c>
      <c r="K921" s="37" t="n">
        <v>0.25</v>
      </c>
    </row>
    <row r="922">
      <c r="A922" s="34" t="inlineStr">
        <is>
          <t>AGA SPK-tilskudd</t>
        </is>
      </c>
      <c r="B922" s="34" t="inlineStr">
        <is>
          <t>Region Nord</t>
        </is>
      </c>
      <c r="C922" s="34" t="inlineStr">
        <is>
          <t>Yttrabekken ungdomssenter avdeling 1</t>
        </is>
      </c>
      <c r="D922" s="18" t="n">
        <v>23851</v>
      </c>
      <c r="E922" s="18" t="n">
        <v>69683</v>
      </c>
      <c r="F922" s="18" t="n">
        <v>55170</v>
      </c>
      <c r="G922" s="18" t="n">
        <v>60080</v>
      </c>
      <c r="H922" s="18" t="n">
        <v>73541</v>
      </c>
      <c r="I922" s="18" t="n">
        <v>48359</v>
      </c>
      <c r="J922" s="19" t="n">
        <v>64160.18379120007</v>
      </c>
      <c r="K922" s="35" t="n">
        <v>0.1518452716187231</v>
      </c>
    </row>
    <row r="923">
      <c r="A923" s="36" t="inlineStr">
        <is>
          <t>AGA SPK-tilskudd</t>
        </is>
      </c>
      <c r="B923" s="36" t="inlineStr">
        <is>
          <t>Region Nord</t>
        </is>
      </c>
      <c r="C923" s="36" t="inlineStr">
        <is>
          <t>Yttrabekken ungdomssenter avdeling 1</t>
        </is>
      </c>
      <c r="D923" s="26" t="n">
        <v>5967</v>
      </c>
      <c r="E923" s="26" t="n">
        <v>11248</v>
      </c>
      <c r="F923" s="26" t="n">
        <v>394</v>
      </c>
      <c r="G923" s="26" t="n">
        <v>10837</v>
      </c>
      <c r="H923" s="26" t="n">
        <v>3766</v>
      </c>
      <c r="I923" s="26" t="n">
        <v>3090</v>
      </c>
      <c r="J923" s="19" t="n">
        <v>2374.867892805273</v>
      </c>
      <c r="K923" s="37" t="n">
        <v>-0.1233212326615694</v>
      </c>
    </row>
    <row r="924">
      <c r="A924" s="34" t="inlineStr">
        <is>
          <t>AGA SPK-tilskudd</t>
        </is>
      </c>
      <c r="B924" s="34" t="inlineStr">
        <is>
          <t>Region Nord</t>
        </is>
      </c>
      <c r="C924" s="34" t="inlineStr">
        <is>
          <t>Yttrabekken ungdomssenter avdeling 1</t>
        </is>
      </c>
      <c r="D924" s="18" t="n">
        <v>1500</v>
      </c>
      <c r="E924" s="18" t="n">
        <v>20335</v>
      </c>
      <c r="F924" s="18" t="n">
        <v>15135</v>
      </c>
      <c r="G924" s="18" t="n">
        <v>18448</v>
      </c>
      <c r="H924" s="18" t="n">
        <v>20541</v>
      </c>
      <c r="I924" s="18" t="n">
        <v>18859</v>
      </c>
      <c r="J924" s="19" t="n">
        <v>29467.1875</v>
      </c>
      <c r="K924" s="35" t="n">
        <v>0.25</v>
      </c>
    </row>
    <row r="925">
      <c r="A925" s="36" t="inlineStr">
        <is>
          <t>AGA SPK-tilskudd</t>
        </is>
      </c>
      <c r="B925" s="36" t="inlineStr">
        <is>
          <t>Region Nord</t>
        </is>
      </c>
      <c r="C925" s="36" t="inlineStr">
        <is>
          <t>Yttrabekken ungdomssenter avdeling 1</t>
        </is>
      </c>
      <c r="D925" s="26" t="n">
        <v>8573</v>
      </c>
      <c r="E925" s="26" t="n">
        <v>23488</v>
      </c>
      <c r="F925" s="26" t="n">
        <v>23009</v>
      </c>
      <c r="G925" s="26" t="n">
        <v>29547</v>
      </c>
      <c r="H925" s="26" t="n">
        <v>37244</v>
      </c>
      <c r="I925" s="26" t="n">
        <v>33074</v>
      </c>
      <c r="J925" s="19" t="n">
        <v>51678.125</v>
      </c>
      <c r="K925" s="37" t="n">
        <v>0.25</v>
      </c>
    </row>
    <row r="926">
      <c r="A926" s="34" t="inlineStr">
        <is>
          <t>AGA SPK-tilskudd</t>
        </is>
      </c>
      <c r="B926" s="34" t="inlineStr">
        <is>
          <t>Region Nord</t>
        </is>
      </c>
      <c r="C926" s="34" t="inlineStr">
        <is>
          <t>Yttrabekken ungdomssenter avdeling 1</t>
        </is>
      </c>
      <c r="D926" s="18" t="n">
        <v>710</v>
      </c>
      <c r="E926" s="18" t="n"/>
      <c r="F926" s="18" t="n"/>
      <c r="G926" s="18" t="n"/>
      <c r="H926" s="18" t="n"/>
      <c r="I926" s="18" t="n"/>
      <c r="J926" s="19" t="n">
        <v>0</v>
      </c>
      <c r="K926" s="35" t="n">
        <v>0.065</v>
      </c>
    </row>
    <row r="927">
      <c r="A927" s="36" t="inlineStr">
        <is>
          <t>AGA SPK-tilskudd</t>
        </is>
      </c>
      <c r="B927" s="36" t="inlineStr">
        <is>
          <t>Region Nord</t>
        </is>
      </c>
      <c r="C927" s="36" t="inlineStr">
        <is>
          <t>Yttrabekken ungdomssenter avdeling 1</t>
        </is>
      </c>
      <c r="D927" s="26" t="n"/>
      <c r="E927" s="26" t="n"/>
      <c r="F927" s="26" t="n"/>
      <c r="G927" s="26" t="n"/>
      <c r="H927" s="26" t="n"/>
      <c r="I927" s="26" t="n">
        <v>8428</v>
      </c>
      <c r="J927" s="19" t="n">
        <v>9559.248299999999</v>
      </c>
      <c r="K927" s="37" t="n">
        <v>0.065</v>
      </c>
    </row>
    <row r="928">
      <c r="A928" s="34" t="inlineStr">
        <is>
          <t>AGA SPK-tilskudd</t>
        </is>
      </c>
      <c r="B928" s="34" t="inlineStr">
        <is>
          <t>Region Nord</t>
        </is>
      </c>
      <c r="C928" s="34" t="inlineStr">
        <is>
          <t>Yttrabekken ungdomssenter avdeling 1</t>
        </is>
      </c>
      <c r="D928" s="18" t="n">
        <v>-10027</v>
      </c>
      <c r="E928" s="18" t="n">
        <v>-15837</v>
      </c>
      <c r="F928" s="18" t="n">
        <v>-15880</v>
      </c>
      <c r="G928" s="18" t="n">
        <v>-4319</v>
      </c>
      <c r="H928" s="18" t="n">
        <v>6556</v>
      </c>
      <c r="I928" s="18" t="n">
        <v>-5911</v>
      </c>
      <c r="J928" s="19" t="n">
        <v>-6704.403974999999</v>
      </c>
      <c r="K928" s="35" t="n">
        <v>0.065</v>
      </c>
    </row>
    <row r="929">
      <c r="A929" s="36" t="inlineStr">
        <is>
          <t>AGA SPK-tilskudd</t>
        </is>
      </c>
      <c r="B929" s="36" t="inlineStr">
        <is>
          <t>Region Nord</t>
        </is>
      </c>
      <c r="C929" s="36" t="inlineStr">
        <is>
          <t>Yttrabekken ungdomssenter avdeling 1</t>
        </is>
      </c>
      <c r="D929" s="26" t="n"/>
      <c r="E929" s="26" t="n"/>
      <c r="F929" s="26" t="n">
        <v>-548046</v>
      </c>
      <c r="G929" s="26" t="n">
        <v>-421711</v>
      </c>
      <c r="H929" s="26" t="n"/>
      <c r="I929" s="26" t="n">
        <v>-49600</v>
      </c>
      <c r="J929" s="19" t="n">
        <v>-56257.55999999999</v>
      </c>
      <c r="K929" s="37" t="n">
        <v>0.065</v>
      </c>
    </row>
    <row r="930">
      <c r="A930" s="34" t="inlineStr">
        <is>
          <t>AGA SPK-tilskudd</t>
        </is>
      </c>
      <c r="B930" s="34" t="inlineStr">
        <is>
          <t>Region Nord</t>
        </is>
      </c>
      <c r="C930" s="34" t="inlineStr">
        <is>
          <t>Yttrabekken ungdomssenter avdeling 1</t>
        </is>
      </c>
      <c r="D930" s="18" t="n">
        <v>-95559</v>
      </c>
      <c r="E930" s="18" t="n"/>
      <c r="F930" s="18" t="n">
        <v>-142698</v>
      </c>
      <c r="G930" s="18" t="n">
        <v>-202100</v>
      </c>
      <c r="H930" s="18" t="n">
        <v>-200032</v>
      </c>
      <c r="I930" s="18" t="n"/>
      <c r="J930" s="19" t="n">
        <v>0</v>
      </c>
      <c r="K930" s="35" t="n">
        <v>0.065</v>
      </c>
    </row>
    <row r="931">
      <c r="A931" s="36" t="inlineStr">
        <is>
          <t>AGA SPK-tilskudd</t>
        </is>
      </c>
      <c r="B931" s="36" t="inlineStr">
        <is>
          <t>Region Nord</t>
        </is>
      </c>
      <c r="C931" s="36" t="inlineStr">
        <is>
          <t>Yttrabekken ungdomssenter avdeling 1</t>
        </is>
      </c>
      <c r="D931" s="26" t="n">
        <v>-414154</v>
      </c>
      <c r="E931" s="26" t="n">
        <v>-122064</v>
      </c>
      <c r="F931" s="26" t="n">
        <v>-1207747</v>
      </c>
      <c r="G931" s="26" t="n">
        <v>-1132409</v>
      </c>
      <c r="H931" s="26" t="n">
        <v>-800273</v>
      </c>
      <c r="I931" s="26" t="n">
        <v>-738246</v>
      </c>
      <c r="J931" s="19" t="n">
        <v>-837337.0693499999</v>
      </c>
      <c r="K931" s="37" t="n">
        <v>0.065</v>
      </c>
    </row>
    <row r="932">
      <c r="A932" s="34" t="inlineStr">
        <is>
          <t>AGA SPK-tilskudd</t>
        </is>
      </c>
      <c r="B932" s="34" t="inlineStr">
        <is>
          <t>Region Sør</t>
        </is>
      </c>
      <c r="C932" s="34" t="inlineStr">
        <is>
          <t>Agder spesialiserte fosterhjem</t>
        </is>
      </c>
      <c r="D932" s="18" t="n"/>
      <c r="E932" s="18" t="n"/>
      <c r="F932" s="18" t="n">
        <v>525</v>
      </c>
      <c r="G932" s="18" t="n"/>
      <c r="H932" s="18" t="n"/>
      <c r="I932" s="18" t="n"/>
      <c r="J932" s="19" t="n">
        <v>0</v>
      </c>
      <c r="K932" s="35" t="n">
        <v>0.065</v>
      </c>
    </row>
    <row r="933">
      <c r="A933" s="36" t="inlineStr">
        <is>
          <t>AGA SPK-tilskudd</t>
        </is>
      </c>
      <c r="B933" s="36" t="inlineStr">
        <is>
          <t>Region Sør</t>
        </is>
      </c>
      <c r="C933" s="36" t="inlineStr">
        <is>
          <t>Agder ungdomshjem</t>
        </is>
      </c>
      <c r="D933" s="26" t="n">
        <v>23796</v>
      </c>
      <c r="E933" s="26" t="n">
        <v>11419</v>
      </c>
      <c r="F933" s="26" t="n">
        <v>12200</v>
      </c>
      <c r="G933" s="26" t="n">
        <v>10599</v>
      </c>
      <c r="H933" s="26" t="n">
        <v>10798</v>
      </c>
      <c r="I933" s="26" t="n">
        <v>11113</v>
      </c>
      <c r="J933" s="19" t="n">
        <v>8195.25093440461</v>
      </c>
      <c r="K933" s="37" t="n">
        <v>-0.1412525295121138</v>
      </c>
    </row>
    <row r="934">
      <c r="A934" s="34" t="inlineStr">
        <is>
          <t>AGA SPK-tilskudd</t>
        </is>
      </c>
      <c r="B934" s="34" t="inlineStr">
        <is>
          <t>Region Sør</t>
        </is>
      </c>
      <c r="C934" s="34" t="inlineStr">
        <is>
          <t>Agder ungdomshjem</t>
        </is>
      </c>
      <c r="D934" s="18" t="n">
        <v>9735</v>
      </c>
      <c r="E934" s="18" t="n">
        <v>562</v>
      </c>
      <c r="F934" s="18" t="n">
        <v>2466</v>
      </c>
      <c r="G934" s="18" t="n">
        <v>7948</v>
      </c>
      <c r="H934" s="18" t="n">
        <v>12432</v>
      </c>
      <c r="I934" s="18" t="n">
        <v>8766</v>
      </c>
      <c r="J934" s="19" t="n">
        <v>8405.966802104113</v>
      </c>
      <c r="K934" s="35" t="n">
        <v>-0.0207510780844361</v>
      </c>
    </row>
    <row r="935">
      <c r="A935" s="36" t="inlineStr">
        <is>
          <t>AGA SPK-tilskudd</t>
        </is>
      </c>
      <c r="B935" s="36" t="inlineStr">
        <is>
          <t>Region Sør</t>
        </is>
      </c>
      <c r="C935" s="36" t="inlineStr">
        <is>
          <t>Agder ungdomshjem</t>
        </is>
      </c>
      <c r="D935" s="26" t="n">
        <v>2400</v>
      </c>
      <c r="E935" s="26" t="n">
        <v>1227</v>
      </c>
      <c r="F935" s="26" t="n">
        <v>1534</v>
      </c>
      <c r="G935" s="26" t="n">
        <v>1593</v>
      </c>
      <c r="H935" s="26" t="n">
        <v>1665</v>
      </c>
      <c r="I935" s="26" t="n">
        <v>1730</v>
      </c>
      <c r="J935" s="19" t="n">
        <v>1517.679429215608</v>
      </c>
      <c r="K935" s="37" t="n">
        <v>-0.06337235447195799</v>
      </c>
    </row>
    <row r="936">
      <c r="A936" s="34" t="inlineStr">
        <is>
          <t>AGA SPK-tilskudd</t>
        </is>
      </c>
      <c r="B936" s="34" t="inlineStr">
        <is>
          <t>Region Sør</t>
        </is>
      </c>
      <c r="C936" s="34" t="inlineStr">
        <is>
          <t>Agder ungdomshjem</t>
        </is>
      </c>
      <c r="D936" s="18" t="n">
        <v>1012</v>
      </c>
      <c r="E936" s="18" t="n">
        <v>5313</v>
      </c>
      <c r="F936" s="18" t="n">
        <v>503</v>
      </c>
      <c r="G936" s="18" t="n">
        <v>1622</v>
      </c>
      <c r="H936" s="18" t="n">
        <v>5750</v>
      </c>
      <c r="I936" s="18" t="n">
        <v>6405</v>
      </c>
      <c r="J936" s="19" t="n">
        <v>10007.8125</v>
      </c>
      <c r="K936" s="35" t="n">
        <v>0.25</v>
      </c>
    </row>
    <row r="937">
      <c r="A937" s="36" t="inlineStr">
        <is>
          <t>AGA SPK-tilskudd</t>
        </is>
      </c>
      <c r="B937" s="36" t="inlineStr">
        <is>
          <t>Region Sør</t>
        </is>
      </c>
      <c r="C937" s="36" t="inlineStr">
        <is>
          <t>Agder ungdomshjem</t>
        </is>
      </c>
      <c r="D937" s="26" t="n"/>
      <c r="E937" s="26" t="n"/>
      <c r="F937" s="26" t="n">
        <v>271550</v>
      </c>
      <c r="G937" s="26" t="n"/>
      <c r="H937" s="26" t="n"/>
      <c r="I937" s="26" t="n"/>
      <c r="J937" s="19" t="n">
        <v>0</v>
      </c>
      <c r="K937" s="37" t="n">
        <v>0.065</v>
      </c>
    </row>
    <row r="938">
      <c r="A938" s="34" t="inlineStr">
        <is>
          <t>AGA SPK-tilskudd</t>
        </is>
      </c>
      <c r="B938" s="34" t="inlineStr">
        <is>
          <t>Region Sør</t>
        </is>
      </c>
      <c r="C938" s="34" t="inlineStr">
        <is>
          <t>Agder ungdomshjem</t>
        </is>
      </c>
      <c r="D938" s="18" t="n">
        <v>23737</v>
      </c>
      <c r="E938" s="18" t="n">
        <v>7245</v>
      </c>
      <c r="F938" s="18" t="n">
        <v>12051</v>
      </c>
      <c r="G938" s="18" t="n">
        <v>11744</v>
      </c>
      <c r="H938" s="18" t="n">
        <v>4907</v>
      </c>
      <c r="I938" s="18" t="n">
        <v>4851</v>
      </c>
      <c r="J938" s="19" t="n">
        <v>2728.6875</v>
      </c>
      <c r="K938" s="35" t="n">
        <v>-0.25</v>
      </c>
    </row>
    <row r="939">
      <c r="A939" s="36" t="inlineStr">
        <is>
          <t>AGA SPK-tilskudd</t>
        </is>
      </c>
      <c r="B939" s="36" t="inlineStr">
        <is>
          <t>Region Sør</t>
        </is>
      </c>
      <c r="C939" s="36" t="inlineStr">
        <is>
          <t>Agder ungdomshjem</t>
        </is>
      </c>
      <c r="D939" s="26" t="n">
        <v>73</v>
      </c>
      <c r="E939" s="26" t="n">
        <v>669</v>
      </c>
      <c r="F939" s="26" t="n">
        <v>2431</v>
      </c>
      <c r="G939" s="26" t="n">
        <v>4764</v>
      </c>
      <c r="H939" s="26" t="n">
        <v>4688</v>
      </c>
      <c r="I939" s="26" t="n">
        <v>3871</v>
      </c>
      <c r="J939" s="19" t="n">
        <v>6048.4375</v>
      </c>
      <c r="K939" s="37" t="n">
        <v>0.25</v>
      </c>
    </row>
    <row r="940">
      <c r="A940" s="34" t="inlineStr">
        <is>
          <t>AGA SPK-tilskudd</t>
        </is>
      </c>
      <c r="B940" s="34" t="inlineStr">
        <is>
          <t>Region Sør</t>
        </is>
      </c>
      <c r="C940" s="34" t="inlineStr">
        <is>
          <t>Agder ungdomshjem</t>
        </is>
      </c>
      <c r="D940" s="18" t="n">
        <v>1683</v>
      </c>
      <c r="E940" s="18" t="n"/>
      <c r="F940" s="18" t="n">
        <v>3315</v>
      </c>
      <c r="G940" s="18" t="n">
        <v>912</v>
      </c>
      <c r="H940" s="18" t="n">
        <v>36</v>
      </c>
      <c r="I940" s="18" t="n">
        <v>1824</v>
      </c>
      <c r="J940" s="19" t="n">
        <v>1883.653952430363</v>
      </c>
      <c r="K940" s="35" t="n">
        <v>0.01622094929193629</v>
      </c>
    </row>
    <row r="941">
      <c r="A941" s="36" t="inlineStr">
        <is>
          <t>AGA SPK-tilskudd</t>
        </is>
      </c>
      <c r="B941" s="36" t="inlineStr">
        <is>
          <t>Region Sør</t>
        </is>
      </c>
      <c r="C941" s="36" t="inlineStr">
        <is>
          <t>Agder ungdomshjem</t>
        </is>
      </c>
      <c r="D941" s="26" t="n">
        <v>2752</v>
      </c>
      <c r="E941" s="26" t="n">
        <v>3795</v>
      </c>
      <c r="F941" s="26" t="n">
        <v>5235</v>
      </c>
      <c r="G941" s="26" t="n">
        <v>4653</v>
      </c>
      <c r="H941" s="26" t="n">
        <v>5240</v>
      </c>
      <c r="I941" s="26" t="n">
        <v>2625</v>
      </c>
      <c r="J941" s="19" t="n">
        <v>2575.856464617728</v>
      </c>
      <c r="K941" s="37" t="n">
        <v>-0.009404899473197448</v>
      </c>
    </row>
    <row r="942">
      <c r="A942" s="34" t="inlineStr">
        <is>
          <t>AGA SPK-tilskudd</t>
        </is>
      </c>
      <c r="B942" s="34" t="inlineStr">
        <is>
          <t>Region Sør</t>
        </is>
      </c>
      <c r="C942" s="34" t="inlineStr">
        <is>
          <t>Agder ungdomshjem</t>
        </is>
      </c>
      <c r="D942" s="18" t="n">
        <v>3594</v>
      </c>
      <c r="E942" s="18" t="n">
        <v>1097</v>
      </c>
      <c r="F942" s="18" t="n">
        <v>4094</v>
      </c>
      <c r="G942" s="18" t="n">
        <v>8319</v>
      </c>
      <c r="H942" s="18" t="n">
        <v>6110</v>
      </c>
      <c r="I942" s="18" t="n">
        <v>4196</v>
      </c>
      <c r="J942" s="19" t="n">
        <v>4464.146539116003</v>
      </c>
      <c r="K942" s="35" t="n">
        <v>0.03145784026449161</v>
      </c>
    </row>
    <row r="943">
      <c r="A943" s="36" t="inlineStr">
        <is>
          <t>AGA SPK-tilskudd</t>
        </is>
      </c>
      <c r="B943" s="36" t="inlineStr">
        <is>
          <t>Region Sør</t>
        </is>
      </c>
      <c r="C943" s="36" t="inlineStr">
        <is>
          <t>Agder ungdomshjem</t>
        </is>
      </c>
      <c r="D943" s="26" t="n">
        <v>2659</v>
      </c>
      <c r="E943" s="26" t="n"/>
      <c r="F943" s="26" t="n"/>
      <c r="G943" s="26" t="n"/>
      <c r="H943" s="26" t="n"/>
      <c r="I943" s="26" t="n"/>
      <c r="J943" s="19" t="n">
        <v>0</v>
      </c>
      <c r="K943" s="37" t="n">
        <v>0.065</v>
      </c>
    </row>
    <row r="944">
      <c r="A944" s="34" t="inlineStr">
        <is>
          <t>AGA SPK-tilskudd</t>
        </is>
      </c>
      <c r="B944" s="34" t="inlineStr">
        <is>
          <t>Region Sør</t>
        </is>
      </c>
      <c r="C944" s="34" t="inlineStr">
        <is>
          <t>Agder ungdomshjem</t>
        </is>
      </c>
      <c r="D944" s="18" t="n">
        <v>644</v>
      </c>
      <c r="E944" s="18" t="n">
        <v>2385</v>
      </c>
      <c r="F944" s="18" t="n">
        <v>4937</v>
      </c>
      <c r="G944" s="18" t="n">
        <v>2589</v>
      </c>
      <c r="H944" s="18" t="n">
        <v>134</v>
      </c>
      <c r="I944" s="18" t="n">
        <v>-667</v>
      </c>
      <c r="J944" s="19" t="n">
        <v>-756.5280749999998</v>
      </c>
      <c r="K944" s="35" t="n">
        <v>0.065</v>
      </c>
    </row>
    <row r="945">
      <c r="A945" s="36" t="inlineStr">
        <is>
          <t>AGA SPK-tilskudd</t>
        </is>
      </c>
      <c r="B945" s="36" t="inlineStr">
        <is>
          <t>Region Sør</t>
        </is>
      </c>
      <c r="C945" s="36" t="inlineStr">
        <is>
          <t>Agder ungdomshjem</t>
        </is>
      </c>
      <c r="D945" s="26" t="n"/>
      <c r="E945" s="26" t="n"/>
      <c r="F945" s="26" t="n"/>
      <c r="G945" s="26" t="n"/>
      <c r="H945" s="26" t="n"/>
      <c r="I945" s="26" t="n">
        <v>-10897</v>
      </c>
      <c r="J945" s="19" t="n">
        <v>-12359.649825</v>
      </c>
      <c r="K945" s="37" t="n">
        <v>0.065</v>
      </c>
    </row>
    <row r="946">
      <c r="A946" s="34" t="inlineStr">
        <is>
          <t>AGA SPK-tilskudd</t>
        </is>
      </c>
      <c r="B946" s="34" t="inlineStr">
        <is>
          <t>Region Sør</t>
        </is>
      </c>
      <c r="C946" s="34" t="inlineStr">
        <is>
          <t>Agder ungdomshjem</t>
        </is>
      </c>
      <c r="D946" s="18" t="n">
        <v>-90818</v>
      </c>
      <c r="E946" s="18" t="n"/>
      <c r="F946" s="18" t="n"/>
      <c r="G946" s="18" t="n"/>
      <c r="H946" s="18" t="n">
        <v>-37206</v>
      </c>
      <c r="I946" s="18" t="n">
        <v>-3795</v>
      </c>
      <c r="J946" s="19" t="n">
        <v>-4304.383875</v>
      </c>
      <c r="K946" s="35" t="n">
        <v>0.065</v>
      </c>
    </row>
    <row r="947">
      <c r="A947" s="36" t="inlineStr">
        <is>
          <t>AGA SPK-tilskudd</t>
        </is>
      </c>
      <c r="B947" s="36" t="inlineStr">
        <is>
          <t>Region Sør</t>
        </is>
      </c>
      <c r="C947" s="36" t="inlineStr">
        <is>
          <t>Agder ungdomssenter</t>
        </is>
      </c>
      <c r="D947" s="26" t="n">
        <v>13392</v>
      </c>
      <c r="E947" s="26" t="n">
        <v>11419</v>
      </c>
      <c r="F947" s="26" t="n">
        <v>10251</v>
      </c>
      <c r="G947" s="26" t="n">
        <v>10903</v>
      </c>
      <c r="H947" s="26" t="n">
        <v>10798</v>
      </c>
      <c r="I947" s="26" t="n">
        <v>14807</v>
      </c>
      <c r="J947" s="19" t="n">
        <v>15414.01334610308</v>
      </c>
      <c r="K947" s="37" t="n">
        <v>0.02029163759095587</v>
      </c>
    </row>
    <row r="948">
      <c r="A948" s="34" t="inlineStr">
        <is>
          <t>AGA SPK-tilskudd</t>
        </is>
      </c>
      <c r="B948" s="34" t="inlineStr">
        <is>
          <t>Region Sør</t>
        </is>
      </c>
      <c r="C948" s="34" t="inlineStr">
        <is>
          <t>Agder ungdomssenter</t>
        </is>
      </c>
      <c r="D948" s="18" t="n">
        <v>4528</v>
      </c>
      <c r="E948" s="18" t="n">
        <v>1484</v>
      </c>
      <c r="F948" s="18" t="n">
        <v>1269</v>
      </c>
      <c r="G948" s="18" t="n">
        <v>12075</v>
      </c>
      <c r="H948" s="18" t="n">
        <v>41297</v>
      </c>
      <c r="I948" s="18" t="n">
        <v>139543</v>
      </c>
      <c r="J948" s="19" t="n">
        <v>218035.9375</v>
      </c>
      <c r="K948" s="35" t="n">
        <v>0.25</v>
      </c>
    </row>
    <row r="949">
      <c r="A949" s="36" t="inlineStr">
        <is>
          <t>AGA SPK-tilskudd</t>
        </is>
      </c>
      <c r="B949" s="36" t="inlineStr">
        <is>
          <t>Region Sør</t>
        </is>
      </c>
      <c r="C949" s="36" t="inlineStr">
        <is>
          <t>Agder ungdomssenter</t>
        </is>
      </c>
      <c r="D949" s="26" t="n">
        <v>1200</v>
      </c>
      <c r="E949" s="26" t="n">
        <v>1227</v>
      </c>
      <c r="F949" s="26" t="n">
        <v>1227</v>
      </c>
      <c r="G949" s="26" t="n">
        <v>1593</v>
      </c>
      <c r="H949" s="26" t="n">
        <v>1665</v>
      </c>
      <c r="I949" s="26" t="n">
        <v>2307</v>
      </c>
      <c r="J949" s="19" t="n">
        <v>2996.360987303031</v>
      </c>
      <c r="K949" s="37" t="n">
        <v>0.1396546574815882</v>
      </c>
    </row>
    <row r="950">
      <c r="A950" s="34" t="inlineStr">
        <is>
          <t>AGA SPK-tilskudd</t>
        </is>
      </c>
      <c r="B950" s="34" t="inlineStr">
        <is>
          <t>Region Sør</t>
        </is>
      </c>
      <c r="C950" s="34" t="inlineStr">
        <is>
          <t>Agder ungdomssenter</t>
        </is>
      </c>
      <c r="D950" s="18" t="n"/>
      <c r="E950" s="18" t="n">
        <v>1449</v>
      </c>
      <c r="F950" s="18" t="n">
        <v>-2659</v>
      </c>
      <c r="G950" s="18" t="n">
        <v>4865</v>
      </c>
      <c r="H950" s="18" t="n">
        <v>3450</v>
      </c>
      <c r="I950" s="18" t="n"/>
      <c r="J950" s="19" t="n">
        <v>0</v>
      </c>
      <c r="K950" s="35" t="n">
        <v>0.065</v>
      </c>
    </row>
    <row r="951">
      <c r="A951" s="36" t="inlineStr">
        <is>
          <t>AGA SPK-tilskudd</t>
        </is>
      </c>
      <c r="B951" s="36" t="inlineStr">
        <is>
          <t>Region Sør</t>
        </is>
      </c>
      <c r="C951" s="36" t="inlineStr">
        <is>
          <t>Agder ungdomssenter</t>
        </is>
      </c>
      <c r="D951" s="26" t="n"/>
      <c r="E951" s="26" t="n">
        <v>1806</v>
      </c>
      <c r="F951" s="26" t="n"/>
      <c r="G951" s="26" t="n"/>
      <c r="H951" s="26" t="n"/>
      <c r="I951" s="26" t="n">
        <v>66840</v>
      </c>
      <c r="J951" s="19" t="n">
        <v>104437.5</v>
      </c>
      <c r="K951" s="37" t="n">
        <v>0.25</v>
      </c>
    </row>
    <row r="952">
      <c r="A952" s="34" t="inlineStr">
        <is>
          <t>AGA SPK-tilskudd</t>
        </is>
      </c>
      <c r="B952" s="34" t="inlineStr">
        <is>
          <t>Region Sør</t>
        </is>
      </c>
      <c r="C952" s="34" t="inlineStr">
        <is>
          <t>Agder ungdomssenter</t>
        </is>
      </c>
      <c r="D952" s="18" t="n">
        <v>1449</v>
      </c>
      <c r="E952" s="18" t="n">
        <v>598</v>
      </c>
      <c r="F952" s="18" t="n">
        <v>984</v>
      </c>
      <c r="G952" s="18" t="n">
        <v>3078</v>
      </c>
      <c r="H952" s="18" t="n">
        <v>1593</v>
      </c>
      <c r="I952" s="18" t="n">
        <v>29571</v>
      </c>
      <c r="J952" s="19" t="n">
        <v>46204.6875</v>
      </c>
      <c r="K952" s="35" t="n">
        <v>0.25</v>
      </c>
    </row>
    <row r="953">
      <c r="A953" s="36" t="inlineStr">
        <is>
          <t>AGA SPK-tilskudd</t>
        </is>
      </c>
      <c r="B953" s="36" t="inlineStr">
        <is>
          <t>Region Sør</t>
        </is>
      </c>
      <c r="C953" s="36" t="inlineStr">
        <is>
          <t>Agder ungdomssenter</t>
        </is>
      </c>
      <c r="D953" s="26" t="n">
        <v>19</v>
      </c>
      <c r="E953" s="26" t="n">
        <v>15</v>
      </c>
      <c r="F953" s="26" t="n">
        <v>62</v>
      </c>
      <c r="G953" s="26" t="n">
        <v>5454</v>
      </c>
      <c r="H953" s="26" t="n">
        <v>42266</v>
      </c>
      <c r="I953" s="26" t="n">
        <v>1167</v>
      </c>
      <c r="J953" s="19" t="n">
        <v>1823.4375</v>
      </c>
      <c r="K953" s="37" t="n">
        <v>0.25</v>
      </c>
    </row>
    <row r="954">
      <c r="A954" s="34" t="inlineStr">
        <is>
          <t>AGA SPK-tilskudd</t>
        </is>
      </c>
      <c r="B954" s="34" t="inlineStr">
        <is>
          <t>Region Sør</t>
        </is>
      </c>
      <c r="C954" s="34" t="inlineStr">
        <is>
          <t>Agder ungdomssenter</t>
        </is>
      </c>
      <c r="D954" s="18" t="n"/>
      <c r="E954" s="18" t="n"/>
      <c r="F954" s="18" t="n"/>
      <c r="G954" s="18" t="n">
        <v>1500</v>
      </c>
      <c r="H954" s="18" t="n">
        <v>2084</v>
      </c>
      <c r="I954" s="18" t="n">
        <v>3025</v>
      </c>
      <c r="J954" s="19" t="n">
        <v>3431.030624999999</v>
      </c>
      <c r="K954" s="35" t="n">
        <v>0.065</v>
      </c>
    </row>
    <row r="955">
      <c r="A955" s="36" t="inlineStr">
        <is>
          <t>AGA SPK-tilskudd</t>
        </is>
      </c>
      <c r="B955" s="36" t="inlineStr">
        <is>
          <t>Region Sør</t>
        </is>
      </c>
      <c r="C955" s="36" t="inlineStr">
        <is>
          <t>Agder ungdomssenter</t>
        </is>
      </c>
      <c r="D955" s="26" t="n">
        <v>502</v>
      </c>
      <c r="E955" s="26" t="n">
        <v>626</v>
      </c>
      <c r="F955" s="26" t="n">
        <v>325</v>
      </c>
      <c r="G955" s="26" t="n">
        <v>957</v>
      </c>
      <c r="H955" s="26" t="n">
        <v>772</v>
      </c>
      <c r="I955" s="26" t="n">
        <v>41467</v>
      </c>
      <c r="J955" s="19" t="n">
        <v>64792.1875</v>
      </c>
      <c r="K955" s="37" t="n">
        <v>0.25</v>
      </c>
    </row>
    <row r="956">
      <c r="A956" s="34" t="inlineStr">
        <is>
          <t>AGA SPK-tilskudd</t>
        </is>
      </c>
      <c r="B956" s="34" t="inlineStr">
        <is>
          <t>Region Sør</t>
        </is>
      </c>
      <c r="C956" s="34" t="inlineStr">
        <is>
          <t>Agder ungdomssenter</t>
        </is>
      </c>
      <c r="D956" s="18" t="n"/>
      <c r="E956" s="18" t="n"/>
      <c r="F956" s="18" t="n">
        <v>2900</v>
      </c>
      <c r="G956" s="18" t="n"/>
      <c r="H956" s="18" t="n"/>
      <c r="I956" s="18" t="n"/>
      <c r="J956" s="19" t="n">
        <v>0</v>
      </c>
      <c r="K956" s="35" t="n">
        <v>0.065</v>
      </c>
    </row>
    <row r="957">
      <c r="A957" s="36" t="inlineStr">
        <is>
          <t>AGA SPK-tilskudd</t>
        </is>
      </c>
      <c r="B957" s="36" t="inlineStr">
        <is>
          <t>Region Sør</t>
        </is>
      </c>
      <c r="C957" s="36" t="inlineStr">
        <is>
          <t>Agder ungdomssenter</t>
        </is>
      </c>
      <c r="D957" s="26" t="n">
        <v>6346</v>
      </c>
      <c r="E957" s="26" t="n">
        <v>223</v>
      </c>
      <c r="F957" s="26" t="n">
        <v>4668</v>
      </c>
      <c r="G957" s="26" t="n">
        <v>5363</v>
      </c>
      <c r="H957" s="26" t="n">
        <v>6196</v>
      </c>
      <c r="I957" s="26" t="n">
        <v>6145</v>
      </c>
      <c r="J957" s="19" t="n">
        <v>6066.394021906722</v>
      </c>
      <c r="K957" s="37" t="n">
        <v>-0.006416515706169745</v>
      </c>
    </row>
    <row r="958">
      <c r="A958" s="34" t="inlineStr">
        <is>
          <t>AGA SPK-tilskudd</t>
        </is>
      </c>
      <c r="B958" s="34" t="inlineStr">
        <is>
          <t>Region Sør</t>
        </is>
      </c>
      <c r="C958" s="34" t="inlineStr">
        <is>
          <t>Agder ungdomssenter</t>
        </is>
      </c>
      <c r="D958" s="18" t="n">
        <v>628</v>
      </c>
      <c r="E958" s="18" t="n"/>
      <c r="F958" s="18" t="n"/>
      <c r="G958" s="18" t="n"/>
      <c r="H958" s="18" t="n"/>
      <c r="I958" s="18" t="n"/>
      <c r="J958" s="19" t="n">
        <v>0</v>
      </c>
      <c r="K958" s="35" t="n">
        <v>0.065</v>
      </c>
    </row>
    <row r="959">
      <c r="A959" s="36" t="inlineStr">
        <is>
          <t>AGA SPK-tilskudd</t>
        </is>
      </c>
      <c r="B959" s="36" t="inlineStr">
        <is>
          <t>Region Sør</t>
        </is>
      </c>
      <c r="C959" s="36" t="inlineStr">
        <is>
          <t>Agder ungdomssenter</t>
        </is>
      </c>
      <c r="D959" s="26" t="n">
        <v>1572</v>
      </c>
      <c r="E959" s="26" t="n">
        <v>2050</v>
      </c>
      <c r="F959" s="26" t="n">
        <v>4332</v>
      </c>
      <c r="G959" s="26" t="n">
        <v>6604</v>
      </c>
      <c r="H959" s="26" t="n">
        <v>4522</v>
      </c>
      <c r="I959" s="26" t="n">
        <v>2735</v>
      </c>
      <c r="J959" s="19" t="n">
        <v>3413.180425150786</v>
      </c>
      <c r="K959" s="37" t="n">
        <v>0.1171229083573959</v>
      </c>
    </row>
    <row r="960">
      <c r="A960" s="34" t="inlineStr">
        <is>
          <t>AGA SPK-tilskudd</t>
        </is>
      </c>
      <c r="B960" s="34" t="inlineStr">
        <is>
          <t>Region Sør</t>
        </is>
      </c>
      <c r="C960" s="34" t="inlineStr">
        <is>
          <t>Avdeling Barkåker</t>
        </is>
      </c>
      <c r="D960" s="18" t="n">
        <v>269323</v>
      </c>
      <c r="E960" s="18" t="n">
        <v>242</v>
      </c>
      <c r="F960" s="18" t="n"/>
      <c r="G960" s="18" t="n"/>
      <c r="H960" s="18" t="n"/>
      <c r="I960" s="18" t="n"/>
      <c r="J960" s="19" t="n">
        <v>0</v>
      </c>
      <c r="K960" s="35" t="n">
        <v>0.065</v>
      </c>
    </row>
    <row r="961">
      <c r="A961" s="36" t="inlineStr">
        <is>
          <t>AGA SPK-tilskudd</t>
        </is>
      </c>
      <c r="B961" s="36" t="inlineStr">
        <is>
          <t>Region Sør</t>
        </is>
      </c>
      <c r="C961" s="36" t="inlineStr">
        <is>
          <t>Avdeling Barkåker</t>
        </is>
      </c>
      <c r="D961" s="26" t="n">
        <v>82437</v>
      </c>
      <c r="E961" s="26" t="n">
        <v>-8730</v>
      </c>
      <c r="F961" s="26" t="n"/>
      <c r="G961" s="26" t="n"/>
      <c r="H961" s="26" t="n"/>
      <c r="I961" s="26" t="n"/>
      <c r="J961" s="19" t="n">
        <v>0</v>
      </c>
      <c r="K961" s="37" t="n">
        <v>0.065</v>
      </c>
    </row>
    <row r="962">
      <c r="A962" s="34" t="inlineStr">
        <is>
          <t>AGA SPK-tilskudd</t>
        </is>
      </c>
      <c r="B962" s="34" t="inlineStr">
        <is>
          <t>Region Sør</t>
        </is>
      </c>
      <c r="C962" s="34" t="inlineStr">
        <is>
          <t>Avdeling Barkåker</t>
        </is>
      </c>
      <c r="D962" s="18" t="n">
        <v>12579</v>
      </c>
      <c r="E962" s="18" t="n"/>
      <c r="F962" s="18" t="n"/>
      <c r="G962" s="18" t="n"/>
      <c r="H962" s="18" t="n"/>
      <c r="I962" s="18" t="n"/>
      <c r="J962" s="19" t="n">
        <v>0</v>
      </c>
      <c r="K962" s="35" t="n">
        <v>0.065</v>
      </c>
    </row>
    <row r="963">
      <c r="A963" s="36" t="inlineStr">
        <is>
          <t>AGA SPK-tilskudd</t>
        </is>
      </c>
      <c r="B963" s="36" t="inlineStr">
        <is>
          <t>Region Sør</t>
        </is>
      </c>
      <c r="C963" s="36" t="inlineStr">
        <is>
          <t>Avdeling Barkåker</t>
        </is>
      </c>
      <c r="D963" s="26" t="n">
        <v>76220</v>
      </c>
      <c r="E963" s="26" t="n"/>
      <c r="F963" s="26" t="n"/>
      <c r="G963" s="26" t="n"/>
      <c r="H963" s="26" t="n"/>
      <c r="I963" s="26" t="n"/>
      <c r="J963" s="19" t="n">
        <v>0</v>
      </c>
      <c r="K963" s="37" t="n">
        <v>0.065</v>
      </c>
    </row>
    <row r="964">
      <c r="A964" s="34" t="inlineStr">
        <is>
          <t>AGA SPK-tilskudd</t>
        </is>
      </c>
      <c r="B964" s="34" t="inlineStr">
        <is>
          <t>Region Sør</t>
        </is>
      </c>
      <c r="C964" s="34" t="inlineStr">
        <is>
          <t>Avdeling Barkåker</t>
        </is>
      </c>
      <c r="D964" s="18" t="n">
        <v>32191</v>
      </c>
      <c r="E964" s="18" t="n"/>
      <c r="F964" s="18" t="n"/>
      <c r="G964" s="18" t="n"/>
      <c r="H964" s="18" t="n"/>
      <c r="I964" s="18" t="n"/>
      <c r="J964" s="19" t="n">
        <v>0</v>
      </c>
      <c r="K964" s="35" t="n">
        <v>0.065</v>
      </c>
    </row>
    <row r="965">
      <c r="A965" s="36" t="inlineStr">
        <is>
          <t>AGA SPK-tilskudd</t>
        </is>
      </c>
      <c r="B965" s="36" t="inlineStr">
        <is>
          <t>Region Sør</t>
        </is>
      </c>
      <c r="C965" s="36" t="inlineStr">
        <is>
          <t>Avdeling Barkåker</t>
        </is>
      </c>
      <c r="D965" s="26" t="n">
        <v>5047</v>
      </c>
      <c r="E965" s="26" t="n"/>
      <c r="F965" s="26" t="n"/>
      <c r="G965" s="26" t="n"/>
      <c r="H965" s="26" t="n"/>
      <c r="I965" s="26" t="n"/>
      <c r="J965" s="19" t="n">
        <v>0</v>
      </c>
      <c r="K965" s="37" t="n">
        <v>0.065</v>
      </c>
    </row>
    <row r="966">
      <c r="A966" s="34" t="inlineStr">
        <is>
          <t>AGA SPK-tilskudd</t>
        </is>
      </c>
      <c r="B966" s="34" t="inlineStr">
        <is>
          <t>Region Sør</t>
        </is>
      </c>
      <c r="C966" s="34" t="inlineStr">
        <is>
          <t>Avdeling Barkåker</t>
        </is>
      </c>
      <c r="D966" s="18" t="n">
        <v>904</v>
      </c>
      <c r="E966" s="18" t="n"/>
      <c r="F966" s="18" t="n"/>
      <c r="G966" s="18" t="n"/>
      <c r="H966" s="18" t="n"/>
      <c r="I966" s="18" t="n"/>
      <c r="J966" s="19" t="n">
        <v>0</v>
      </c>
      <c r="K966" s="35" t="n">
        <v>0.065</v>
      </c>
    </row>
    <row r="967">
      <c r="A967" s="36" t="inlineStr">
        <is>
          <t>AGA SPK-tilskudd</t>
        </is>
      </c>
      <c r="B967" s="36" t="inlineStr">
        <is>
          <t>Region Sør</t>
        </is>
      </c>
      <c r="C967" s="36" t="inlineStr">
        <is>
          <t>Avdeling Barkåker</t>
        </is>
      </c>
      <c r="D967" s="26" t="n">
        <v>200</v>
      </c>
      <c r="E967" s="26" t="n"/>
      <c r="F967" s="26" t="n"/>
      <c r="G967" s="26" t="n"/>
      <c r="H967" s="26" t="n"/>
      <c r="I967" s="26" t="n"/>
      <c r="J967" s="19" t="n">
        <v>0</v>
      </c>
      <c r="K967" s="37" t="n">
        <v>0.065</v>
      </c>
    </row>
    <row r="968">
      <c r="A968" s="34" t="inlineStr">
        <is>
          <t>AGA SPK-tilskudd</t>
        </is>
      </c>
      <c r="B968" s="34" t="inlineStr">
        <is>
          <t>Region Sør</t>
        </is>
      </c>
      <c r="C968" s="34" t="inlineStr">
        <is>
          <t>Avdeling Barkåker</t>
        </is>
      </c>
      <c r="D968" s="18" t="n">
        <v>7615</v>
      </c>
      <c r="E968" s="18" t="n"/>
      <c r="F968" s="18" t="n"/>
      <c r="G968" s="18" t="n"/>
      <c r="H968" s="18" t="n"/>
      <c r="I968" s="18" t="n"/>
      <c r="J968" s="19" t="n">
        <v>0</v>
      </c>
      <c r="K968" s="35" t="n">
        <v>0.065</v>
      </c>
    </row>
    <row r="969">
      <c r="A969" s="36" t="inlineStr">
        <is>
          <t>AGA SPK-tilskudd</t>
        </is>
      </c>
      <c r="B969" s="36" t="inlineStr">
        <is>
          <t>Region Sør</t>
        </is>
      </c>
      <c r="C969" s="36" t="inlineStr">
        <is>
          <t>Avdeling Barkåker</t>
        </is>
      </c>
      <c r="D969" s="26" t="n">
        <v>1116</v>
      </c>
      <c r="E969" s="26" t="n"/>
      <c r="F969" s="26" t="n"/>
      <c r="G969" s="26" t="n"/>
      <c r="H969" s="26" t="n"/>
      <c r="I969" s="26" t="n"/>
      <c r="J969" s="19" t="n">
        <v>0</v>
      </c>
      <c r="K969" s="37" t="n">
        <v>0.065</v>
      </c>
    </row>
    <row r="970">
      <c r="A970" s="34" t="inlineStr">
        <is>
          <t>AGA SPK-tilskudd</t>
        </is>
      </c>
      <c r="B970" s="34" t="inlineStr">
        <is>
          <t>Region Sør</t>
        </is>
      </c>
      <c r="C970" s="34" t="inlineStr">
        <is>
          <t>Avdeling Barkåker</t>
        </is>
      </c>
      <c r="D970" s="18" t="n">
        <v>16580</v>
      </c>
      <c r="E970" s="18" t="n"/>
      <c r="F970" s="18" t="n"/>
      <c r="G970" s="18" t="n"/>
      <c r="H970" s="18" t="n"/>
      <c r="I970" s="18" t="n"/>
      <c r="J970" s="19" t="n">
        <v>0</v>
      </c>
      <c r="K970" s="35" t="n">
        <v>0.065</v>
      </c>
    </row>
    <row r="971">
      <c r="A971" s="36" t="inlineStr">
        <is>
          <t>AGA SPK-tilskudd</t>
        </is>
      </c>
      <c r="B971" s="36" t="inlineStr">
        <is>
          <t>Region Sør</t>
        </is>
      </c>
      <c r="C971" s="36" t="inlineStr">
        <is>
          <t>Avdeling Barkåker</t>
        </is>
      </c>
      <c r="D971" s="26" t="n"/>
      <c r="E971" s="26" t="n">
        <v>-300</v>
      </c>
      <c r="F971" s="26" t="n"/>
      <c r="G971" s="26" t="n"/>
      <c r="H971" s="26" t="n"/>
      <c r="I971" s="26" t="n"/>
      <c r="J971" s="19" t="n">
        <v>0</v>
      </c>
      <c r="K971" s="37" t="n">
        <v>0.065</v>
      </c>
    </row>
    <row r="972">
      <c r="A972" s="34" t="inlineStr">
        <is>
          <t>AGA SPK-tilskudd</t>
        </is>
      </c>
      <c r="B972" s="34" t="inlineStr">
        <is>
          <t>Region Sør</t>
        </is>
      </c>
      <c r="C972" s="34" t="inlineStr">
        <is>
          <t>Avdeling Barkåker</t>
        </is>
      </c>
      <c r="D972" s="18" t="n">
        <v>6087</v>
      </c>
      <c r="E972" s="18" t="n"/>
      <c r="F972" s="18" t="n"/>
      <c r="G972" s="18" t="n"/>
      <c r="H972" s="18" t="n"/>
      <c r="I972" s="18" t="n"/>
      <c r="J972" s="19" t="n">
        <v>0</v>
      </c>
      <c r="K972" s="35" t="n">
        <v>0.065</v>
      </c>
    </row>
    <row r="973">
      <c r="A973" s="36" t="inlineStr">
        <is>
          <t>AGA SPK-tilskudd</t>
        </is>
      </c>
      <c r="B973" s="36" t="inlineStr">
        <is>
          <t>Region Sør</t>
        </is>
      </c>
      <c r="C973" s="36" t="inlineStr">
        <is>
          <t>Avdeling Barkåker</t>
        </is>
      </c>
      <c r="D973" s="26" t="n"/>
      <c r="E973" s="26" t="n">
        <v>300</v>
      </c>
      <c r="F973" s="26" t="n"/>
      <c r="G973" s="26" t="n"/>
      <c r="H973" s="26" t="n"/>
      <c r="I973" s="26" t="n"/>
      <c r="J973" s="19" t="n">
        <v>0</v>
      </c>
      <c r="K973" s="37" t="n">
        <v>0.065</v>
      </c>
    </row>
    <row r="974">
      <c r="A974" s="34" t="inlineStr">
        <is>
          <t>AGA SPK-tilskudd</t>
        </is>
      </c>
      <c r="B974" s="34" t="inlineStr">
        <is>
          <t>Region Sør</t>
        </is>
      </c>
      <c r="C974" s="34" t="inlineStr">
        <is>
          <t>Avdeling Barkåker</t>
        </is>
      </c>
      <c r="D974" s="18" t="n">
        <v>-730</v>
      </c>
      <c r="E974" s="18" t="n"/>
      <c r="F974" s="18" t="n"/>
      <c r="G974" s="18" t="n"/>
      <c r="H974" s="18" t="n"/>
      <c r="I974" s="18" t="n"/>
      <c r="J974" s="19" t="n">
        <v>0</v>
      </c>
      <c r="K974" s="35" t="n">
        <v>0.065</v>
      </c>
    </row>
    <row r="975">
      <c r="A975" s="36" t="inlineStr">
        <is>
          <t>AGA SPK-tilskudd</t>
        </is>
      </c>
      <c r="B975" s="36" t="inlineStr">
        <is>
          <t>Region Sør</t>
        </is>
      </c>
      <c r="C975" s="36" t="inlineStr">
        <is>
          <t>Avdeling Barkåker</t>
        </is>
      </c>
      <c r="D975" s="26" t="n">
        <v>-1597090</v>
      </c>
      <c r="E975" s="26" t="n">
        <v>-66835</v>
      </c>
      <c r="F975" s="26" t="n"/>
      <c r="G975" s="26" t="n"/>
      <c r="H975" s="26" t="n"/>
      <c r="I975" s="26" t="n"/>
      <c r="J975" s="19" t="n">
        <v>0</v>
      </c>
      <c r="K975" s="37" t="n">
        <v>0.065</v>
      </c>
    </row>
    <row r="976">
      <c r="A976" s="34" t="inlineStr">
        <is>
          <t>AGA SPK-tilskudd</t>
        </is>
      </c>
      <c r="B976" s="34" t="inlineStr">
        <is>
          <t>Region Sør</t>
        </is>
      </c>
      <c r="C976" s="34" t="inlineStr">
        <is>
          <t>Avdeling Familiebehandling</t>
        </is>
      </c>
      <c r="D976" s="18" t="n"/>
      <c r="E976" s="18" t="n"/>
      <c r="F976" s="18" t="n">
        <v>408</v>
      </c>
      <c r="G976" s="18" t="n"/>
      <c r="H976" s="18" t="n"/>
      <c r="I976" s="18" t="n"/>
      <c r="J976" s="19" t="n">
        <v>0</v>
      </c>
      <c r="K976" s="35" t="n">
        <v>0.065</v>
      </c>
    </row>
    <row r="977">
      <c r="A977" s="36" t="inlineStr">
        <is>
          <t>AGA SPK-tilskudd</t>
        </is>
      </c>
      <c r="B977" s="36" t="inlineStr">
        <is>
          <t>Region Sør</t>
        </is>
      </c>
      <c r="C977" s="36" t="inlineStr">
        <is>
          <t>Avdeling Familiebehandling</t>
        </is>
      </c>
      <c r="D977" s="26" t="n">
        <v>-700</v>
      </c>
      <c r="E977" s="26" t="n"/>
      <c r="F977" s="26" t="n">
        <v>205</v>
      </c>
      <c r="G977" s="26" t="n"/>
      <c r="H977" s="26" t="n"/>
      <c r="I977" s="26" t="n"/>
      <c r="J977" s="19" t="n">
        <v>0</v>
      </c>
      <c r="K977" s="37" t="n">
        <v>0.065</v>
      </c>
    </row>
    <row r="978">
      <c r="A978" s="34" t="inlineStr">
        <is>
          <t>AGA SPK-tilskudd</t>
        </is>
      </c>
      <c r="B978" s="34" t="inlineStr">
        <is>
          <t>Region Sør</t>
        </is>
      </c>
      <c r="C978" s="34" t="inlineStr">
        <is>
          <t>Avdeling Familiebehandling</t>
        </is>
      </c>
      <c r="D978" s="18" t="n"/>
      <c r="E978" s="18" t="n"/>
      <c r="F978" s="18" t="n">
        <v>-2351</v>
      </c>
      <c r="G978" s="18" t="n"/>
      <c r="H978" s="18" t="n"/>
      <c r="I978" s="18" t="n"/>
      <c r="J978" s="19" t="n">
        <v>0</v>
      </c>
      <c r="K978" s="35" t="n">
        <v>0.065</v>
      </c>
    </row>
    <row r="979">
      <c r="A979" s="36" t="inlineStr">
        <is>
          <t>AGA SPK-tilskudd</t>
        </is>
      </c>
      <c r="B979" s="36" t="inlineStr">
        <is>
          <t>Region Sør</t>
        </is>
      </c>
      <c r="C979" s="36" t="inlineStr">
        <is>
          <t>Avdeling Forvaltning og Økonomioppfølging</t>
        </is>
      </c>
      <c r="D979" s="26" t="n">
        <v>89901</v>
      </c>
      <c r="E979" s="26" t="n">
        <v>62645</v>
      </c>
      <c r="F979" s="26" t="n">
        <v>54679</v>
      </c>
      <c r="G979" s="26" t="n">
        <v>70101</v>
      </c>
      <c r="H979" s="26" t="n">
        <v>87810</v>
      </c>
      <c r="I979" s="26" t="n">
        <v>94566</v>
      </c>
      <c r="J979" s="19" t="n">
        <v>96499.09005663397</v>
      </c>
      <c r="K979" s="37" t="n">
        <v>0.01016914558431448</v>
      </c>
    </row>
    <row r="980">
      <c r="A980" s="34" t="inlineStr">
        <is>
          <t>AGA SPK-tilskudd</t>
        </is>
      </c>
      <c r="B980" s="34" t="inlineStr">
        <is>
          <t>Region Sør</t>
        </is>
      </c>
      <c r="C980" s="34" t="inlineStr">
        <is>
          <t>Avdeling Forvaltning og Økonomioppfølging</t>
        </is>
      </c>
      <c r="D980" s="18" t="n">
        <v>4377</v>
      </c>
      <c r="E980" s="18" t="n">
        <v>3230</v>
      </c>
      <c r="F980" s="18" t="n">
        <v>6399</v>
      </c>
      <c r="G980" s="18" t="n">
        <v>3821</v>
      </c>
      <c r="H980" s="18" t="n">
        <v>8336</v>
      </c>
      <c r="I980" s="18" t="n">
        <v>4390</v>
      </c>
      <c r="J980" s="19" t="n">
        <v>4395.210804643499</v>
      </c>
      <c r="K980" s="35" t="n">
        <v>0.000593309714285617</v>
      </c>
    </row>
    <row r="981">
      <c r="A981" s="36" t="inlineStr">
        <is>
          <t>AGA SPK-tilskudd</t>
        </is>
      </c>
      <c r="B981" s="36" t="inlineStr">
        <is>
          <t>Region Sør</t>
        </is>
      </c>
      <c r="C981" s="36" t="inlineStr">
        <is>
          <t>Avdeling Forvaltning og Økonomioppfølging</t>
        </is>
      </c>
      <c r="D981" s="26" t="n">
        <v>14200</v>
      </c>
      <c r="E981" s="26" t="n">
        <v>11452</v>
      </c>
      <c r="F981" s="26" t="n">
        <v>10736</v>
      </c>
      <c r="G981" s="26" t="n">
        <v>17656</v>
      </c>
      <c r="H981" s="26" t="n">
        <v>22894</v>
      </c>
      <c r="I981" s="26" t="n">
        <v>24221</v>
      </c>
      <c r="J981" s="19" t="n">
        <v>29988.41828052403</v>
      </c>
      <c r="K981" s="37" t="n">
        <v>0.1127068075081603</v>
      </c>
    </row>
    <row r="982">
      <c r="A982" s="34" t="inlineStr">
        <is>
          <t>AGA SPK-tilskudd</t>
        </is>
      </c>
      <c r="B982" s="34" t="inlineStr">
        <is>
          <t>Region Sør</t>
        </is>
      </c>
      <c r="C982" s="34" t="inlineStr">
        <is>
          <t>Avdeling Forvaltning og Økonomioppfølging</t>
        </is>
      </c>
      <c r="D982" s="18" t="n">
        <v>9187</v>
      </c>
      <c r="E982" s="18" t="n">
        <v>2293</v>
      </c>
      <c r="F982" s="18" t="n">
        <v>3027</v>
      </c>
      <c r="G982" s="18" t="n">
        <v>830</v>
      </c>
      <c r="H982" s="18" t="n">
        <v>3319</v>
      </c>
      <c r="I982" s="18" t="n">
        <v>4300</v>
      </c>
      <c r="J982" s="19" t="n">
        <v>3173.849661208419</v>
      </c>
      <c r="K982" s="35" t="n">
        <v>-0.1408698745975375</v>
      </c>
    </row>
    <row r="983">
      <c r="A983" s="36" t="inlineStr">
        <is>
          <t>AGA SPK-tilskudd</t>
        </is>
      </c>
      <c r="B983" s="36" t="inlineStr">
        <is>
          <t>Region Sør</t>
        </is>
      </c>
      <c r="C983" s="36" t="inlineStr">
        <is>
          <t>Avdeling Forvaltning og Økonomioppfølging</t>
        </is>
      </c>
      <c r="D983" s="26" t="n">
        <v>6632</v>
      </c>
      <c r="E983" s="26" t="n">
        <v>700</v>
      </c>
      <c r="F983" s="26" t="n">
        <v>3524</v>
      </c>
      <c r="G983" s="26" t="n">
        <v>3217</v>
      </c>
      <c r="H983" s="26" t="n">
        <v>10990</v>
      </c>
      <c r="I983" s="26" t="n">
        <v>7905</v>
      </c>
      <c r="J983" s="19" t="n">
        <v>8480.175045873362</v>
      </c>
      <c r="K983" s="37" t="n">
        <v>0.0357417229304906</v>
      </c>
    </row>
    <row r="984">
      <c r="A984" s="34" t="inlineStr">
        <is>
          <t>AGA SPK-tilskudd</t>
        </is>
      </c>
      <c r="B984" s="34" t="inlineStr">
        <is>
          <t>Region Sør</t>
        </is>
      </c>
      <c r="C984" s="34" t="inlineStr">
        <is>
          <t>Avdeling Forvaltning og Økonomioppfølging</t>
        </is>
      </c>
      <c r="D984" s="18" t="n">
        <v>829</v>
      </c>
      <c r="E984" s="18" t="n">
        <v>5146</v>
      </c>
      <c r="F984" s="18" t="n">
        <v>7542</v>
      </c>
      <c r="G984" s="18" t="n">
        <v>652</v>
      </c>
      <c r="H984" s="18" t="n">
        <v>529</v>
      </c>
      <c r="I984" s="18" t="n">
        <v>2295</v>
      </c>
      <c r="J984" s="19" t="n">
        <v>3448.847200618627</v>
      </c>
      <c r="K984" s="35" t="n">
        <v>0.2258734293382705</v>
      </c>
    </row>
    <row r="985">
      <c r="A985" s="36" t="inlineStr">
        <is>
          <t>AGA SPK-tilskudd</t>
        </is>
      </c>
      <c r="B985" s="36" t="inlineStr">
        <is>
          <t>Region Sør</t>
        </is>
      </c>
      <c r="C985" s="36" t="inlineStr">
        <is>
          <t>Avdeling Forvaltning og Økonomioppfølging</t>
        </is>
      </c>
      <c r="D985" s="26" t="n">
        <v>290</v>
      </c>
      <c r="E985" s="26" t="n"/>
      <c r="F985" s="26" t="n">
        <v>1195</v>
      </c>
      <c r="G985" s="26" t="n"/>
      <c r="H985" s="26" t="n"/>
      <c r="I985" s="26" t="n">
        <v>9</v>
      </c>
      <c r="J985" s="19" t="n">
        <v>5.0625</v>
      </c>
      <c r="K985" s="37" t="n">
        <v>-0.25</v>
      </c>
    </row>
    <row r="986">
      <c r="A986" s="34" t="inlineStr">
        <is>
          <t>AGA SPK-tilskudd</t>
        </is>
      </c>
      <c r="B986" s="34" t="inlineStr">
        <is>
          <t>Region Sør</t>
        </is>
      </c>
      <c r="C986" s="34" t="inlineStr">
        <is>
          <t>Avdeling Forvaltning og Økonomioppfølging</t>
        </is>
      </c>
      <c r="D986" s="18" t="n">
        <v>3752</v>
      </c>
      <c r="E986" s="18" t="n">
        <v>522</v>
      </c>
      <c r="F986" s="18" t="n">
        <v>1832</v>
      </c>
      <c r="G986" s="18" t="n">
        <v>927</v>
      </c>
      <c r="H986" s="18" t="n">
        <v>4546</v>
      </c>
      <c r="I986" s="18" t="n">
        <v>4744</v>
      </c>
      <c r="J986" s="19" t="n">
        <v>5210.71620618835</v>
      </c>
      <c r="K986" s="35" t="n">
        <v>0.04803640837400147</v>
      </c>
    </row>
    <row r="987">
      <c r="A987" s="36" t="inlineStr">
        <is>
          <t>AGA SPK-tilskudd</t>
        </is>
      </c>
      <c r="B987" s="36" t="inlineStr">
        <is>
          <t>Region Sør</t>
        </is>
      </c>
      <c r="C987" s="36" t="inlineStr">
        <is>
          <t>Avdeling Forvaltning og Økonomioppfølging</t>
        </is>
      </c>
      <c r="D987" s="26" t="n">
        <v>13525</v>
      </c>
      <c r="E987" s="26" t="n">
        <v>8596</v>
      </c>
      <c r="F987" s="26" t="n">
        <v>24386</v>
      </c>
      <c r="G987" s="26" t="n">
        <v>740</v>
      </c>
      <c r="H987" s="26" t="n">
        <v>8209</v>
      </c>
      <c r="I987" s="26" t="n">
        <v>9329</v>
      </c>
      <c r="J987" s="19" t="n">
        <v>8041.07699866341</v>
      </c>
      <c r="K987" s="37" t="n">
        <v>-0.07159052541509159</v>
      </c>
    </row>
    <row r="988">
      <c r="A988" s="34" t="inlineStr">
        <is>
          <t>AGA SPK-tilskudd</t>
        </is>
      </c>
      <c r="B988" s="34" t="inlineStr">
        <is>
          <t>Region Sør</t>
        </is>
      </c>
      <c r="C988" s="34" t="inlineStr">
        <is>
          <t>Avdeling Forvaltning og Økonomioppfølging</t>
        </is>
      </c>
      <c r="D988" s="18" t="n"/>
      <c r="E988" s="18" t="n"/>
      <c r="F988" s="18" t="n"/>
      <c r="G988" s="18" t="n">
        <v>-12972</v>
      </c>
      <c r="H988" s="18" t="n"/>
      <c r="I988" s="18" t="n"/>
      <c r="J988" s="19" t="n">
        <v>0</v>
      </c>
      <c r="K988" s="35" t="n">
        <v>0.065</v>
      </c>
    </row>
    <row r="989">
      <c r="A989" s="36" t="inlineStr">
        <is>
          <t>AGA SPK-tilskudd</t>
        </is>
      </c>
      <c r="B989" s="36" t="inlineStr">
        <is>
          <t>Region Sør</t>
        </is>
      </c>
      <c r="C989" s="36" t="inlineStr">
        <is>
          <t>Avdeling Forvaltning og Økonomioppfølging</t>
        </is>
      </c>
      <c r="D989" s="26" t="n"/>
      <c r="E989" s="26" t="n"/>
      <c r="F989" s="26" t="n"/>
      <c r="G989" s="26" t="n">
        <v>-4865</v>
      </c>
      <c r="H989" s="26" t="n"/>
      <c r="I989" s="26" t="n"/>
      <c r="J989" s="19" t="n">
        <v>0</v>
      </c>
      <c r="K989" s="37" t="n">
        <v>0.065</v>
      </c>
    </row>
    <row r="990">
      <c r="A990" s="34" t="inlineStr">
        <is>
          <t>AGA SPK-tilskudd</t>
        </is>
      </c>
      <c r="B990" s="34" t="inlineStr">
        <is>
          <t>Region Sør</t>
        </is>
      </c>
      <c r="C990" s="34" t="inlineStr">
        <is>
          <t>Avdeling Forvaltning og Økonomioppfølging</t>
        </is>
      </c>
      <c r="D990" s="18" t="n">
        <v>-4235</v>
      </c>
      <c r="E990" s="18" t="n">
        <v>845</v>
      </c>
      <c r="F990" s="18" t="n">
        <v>242</v>
      </c>
      <c r="G990" s="18" t="n"/>
      <c r="H990" s="18" t="n">
        <v>-7200</v>
      </c>
      <c r="I990" s="18" t="n">
        <v>-7950</v>
      </c>
      <c r="J990" s="19" t="n">
        <v>-9017.088749999999</v>
      </c>
      <c r="K990" s="35" t="n">
        <v>0.065</v>
      </c>
    </row>
    <row r="991">
      <c r="A991" s="36" t="inlineStr">
        <is>
          <t>AGA SPK-tilskudd</t>
        </is>
      </c>
      <c r="B991" s="36" t="inlineStr">
        <is>
          <t>Region Sør</t>
        </is>
      </c>
      <c r="C991" s="36" t="inlineStr">
        <is>
          <t>Avdeling Forvaltning og Økonomioppfølging</t>
        </is>
      </c>
      <c r="D991" s="26" t="n">
        <v>-232169</v>
      </c>
      <c r="E991" s="26" t="n">
        <v>-4335</v>
      </c>
      <c r="F991" s="26" t="n"/>
      <c r="G991" s="26" t="n"/>
      <c r="H991" s="26" t="n">
        <v>-358360</v>
      </c>
      <c r="I991" s="26" t="n">
        <v>-12900</v>
      </c>
      <c r="J991" s="19" t="n">
        <v>-14631.5025</v>
      </c>
      <c r="K991" s="37" t="n">
        <v>0.065</v>
      </c>
    </row>
    <row r="992">
      <c r="A992" s="34" t="inlineStr">
        <is>
          <t>AGA SPK-tilskudd</t>
        </is>
      </c>
      <c r="B992" s="34" t="inlineStr">
        <is>
          <t>Region Sør</t>
        </is>
      </c>
      <c r="C992" s="34" t="inlineStr">
        <is>
          <t>Avdeling Forvaltning og Økonomioppfølging</t>
        </is>
      </c>
      <c r="D992" s="18" t="n">
        <v>-130347</v>
      </c>
      <c r="E992" s="18" t="n">
        <v>-51249</v>
      </c>
      <c r="F992" s="18" t="n">
        <v>-4356</v>
      </c>
      <c r="G992" s="18" t="n">
        <v>-271366</v>
      </c>
      <c r="H992" s="18" t="n">
        <v>-243354</v>
      </c>
      <c r="I992" s="18" t="n">
        <v>-666155</v>
      </c>
      <c r="J992" s="19" t="n">
        <v>-755569.6548749999</v>
      </c>
      <c r="K992" s="35" t="n">
        <v>0.065</v>
      </c>
    </row>
    <row r="993">
      <c r="A993" s="36" t="inlineStr">
        <is>
          <t>AGA SPK-tilskudd</t>
        </is>
      </c>
      <c r="B993" s="36" t="inlineStr">
        <is>
          <t>Region Sør</t>
        </is>
      </c>
      <c r="C993" s="36" t="inlineStr">
        <is>
          <t>Avdeling Furuly</t>
        </is>
      </c>
      <c r="D993" s="26" t="n">
        <v>187237</v>
      </c>
      <c r="E993" s="26" t="n">
        <v>165222</v>
      </c>
      <c r="F993" s="26" t="n"/>
      <c r="G993" s="26" t="n"/>
      <c r="H993" s="26" t="n"/>
      <c r="I993" s="26" t="n"/>
      <c r="J993" s="19" t="n">
        <v>0</v>
      </c>
      <c r="K993" s="37" t="n">
        <v>0.065</v>
      </c>
    </row>
    <row r="994">
      <c r="A994" s="34" t="inlineStr">
        <is>
          <t>AGA SPK-tilskudd</t>
        </is>
      </c>
      <c r="B994" s="34" t="inlineStr">
        <is>
          <t>Region Sør</t>
        </is>
      </c>
      <c r="C994" s="34" t="inlineStr">
        <is>
          <t>Avdeling Furuly</t>
        </is>
      </c>
      <c r="D994" s="18" t="n">
        <v>205598</v>
      </c>
      <c r="E994" s="18" t="n">
        <v>44813</v>
      </c>
      <c r="F994" s="18" t="n"/>
      <c r="G994" s="18" t="n"/>
      <c r="H994" s="18" t="n"/>
      <c r="I994" s="18" t="n"/>
      <c r="J994" s="19" t="n">
        <v>0</v>
      </c>
      <c r="K994" s="35" t="n">
        <v>0.065</v>
      </c>
    </row>
    <row r="995">
      <c r="A995" s="36" t="inlineStr">
        <is>
          <t>AGA SPK-tilskudd</t>
        </is>
      </c>
      <c r="B995" s="36" t="inlineStr">
        <is>
          <t>Region Sør</t>
        </is>
      </c>
      <c r="C995" s="36" t="inlineStr">
        <is>
          <t>Avdeling Furuly</t>
        </is>
      </c>
      <c r="D995" s="26" t="n">
        <v>104834</v>
      </c>
      <c r="E995" s="26" t="n">
        <v>30756</v>
      </c>
      <c r="F995" s="26" t="n">
        <v>3395</v>
      </c>
      <c r="G995" s="26" t="n"/>
      <c r="H995" s="26" t="n"/>
      <c r="I995" s="26" t="n"/>
      <c r="J995" s="19" t="n">
        <v>0</v>
      </c>
      <c r="K995" s="37" t="n">
        <v>0.065</v>
      </c>
    </row>
    <row r="996">
      <c r="A996" s="34" t="inlineStr">
        <is>
          <t>AGA SPK-tilskudd</t>
        </is>
      </c>
      <c r="B996" s="34" t="inlineStr">
        <is>
          <t>Region Sør</t>
        </is>
      </c>
      <c r="C996" s="34" t="inlineStr">
        <is>
          <t>Avdeling Furuly</t>
        </is>
      </c>
      <c r="D996" s="18" t="n">
        <v>67000</v>
      </c>
      <c r="E996" s="18" t="n">
        <v>60910</v>
      </c>
      <c r="F996" s="18" t="n">
        <v>-614</v>
      </c>
      <c r="G996" s="18" t="n"/>
      <c r="H996" s="18" t="n"/>
      <c r="I996" s="18" t="n"/>
      <c r="J996" s="19" t="n">
        <v>0</v>
      </c>
      <c r="K996" s="35" t="n">
        <v>0.065</v>
      </c>
    </row>
    <row r="997">
      <c r="A997" s="36" t="inlineStr">
        <is>
          <t>AGA SPK-tilskudd</t>
        </is>
      </c>
      <c r="B997" s="36" t="inlineStr">
        <is>
          <t>Region Sør</t>
        </is>
      </c>
      <c r="C997" s="36" t="inlineStr">
        <is>
          <t>Avdeling Furuly</t>
        </is>
      </c>
      <c r="D997" s="26" t="n">
        <v>5958</v>
      </c>
      <c r="E997" s="26" t="n"/>
      <c r="F997" s="26" t="n"/>
      <c r="G997" s="26" t="n"/>
      <c r="H997" s="26" t="n"/>
      <c r="I997" s="26" t="n"/>
      <c r="J997" s="19" t="n">
        <v>0</v>
      </c>
      <c r="K997" s="37" t="n">
        <v>0.065</v>
      </c>
    </row>
    <row r="998">
      <c r="A998" s="34" t="inlineStr">
        <is>
          <t>AGA SPK-tilskudd</t>
        </is>
      </c>
      <c r="B998" s="34" t="inlineStr">
        <is>
          <t>Region Sør</t>
        </is>
      </c>
      <c r="C998" s="34" t="inlineStr">
        <is>
          <t>Avdeling Furuly</t>
        </is>
      </c>
      <c r="D998" s="18" t="n">
        <v>19393</v>
      </c>
      <c r="E998" s="18" t="n">
        <v>19681</v>
      </c>
      <c r="F998" s="18" t="n"/>
      <c r="G998" s="18" t="n"/>
      <c r="H998" s="18" t="n"/>
      <c r="I998" s="18" t="n"/>
      <c r="J998" s="19" t="n">
        <v>0</v>
      </c>
      <c r="K998" s="35" t="n">
        <v>0.065</v>
      </c>
    </row>
    <row r="999">
      <c r="A999" s="36" t="inlineStr">
        <is>
          <t>AGA SPK-tilskudd</t>
        </is>
      </c>
      <c r="B999" s="36" t="inlineStr">
        <is>
          <t>Region Sør</t>
        </is>
      </c>
      <c r="C999" s="36" t="inlineStr">
        <is>
          <t>Avdeling Furuly</t>
        </is>
      </c>
      <c r="D999" s="26" t="n">
        <v>8516</v>
      </c>
      <c r="E999" s="26" t="n">
        <v>2837</v>
      </c>
      <c r="F999" s="26" t="n"/>
      <c r="G999" s="26" t="n"/>
      <c r="H999" s="26" t="n"/>
      <c r="I999" s="26" t="n"/>
      <c r="J999" s="19" t="n">
        <v>0</v>
      </c>
      <c r="K999" s="37" t="n">
        <v>0.065</v>
      </c>
    </row>
    <row r="1000">
      <c r="A1000" s="34" t="inlineStr">
        <is>
          <t>AGA SPK-tilskudd</t>
        </is>
      </c>
      <c r="B1000" s="34" t="inlineStr">
        <is>
          <t>Region Sør</t>
        </is>
      </c>
      <c r="C1000" s="34" t="inlineStr">
        <is>
          <t>Avdeling Furuly</t>
        </is>
      </c>
      <c r="D1000" s="18" t="n"/>
      <c r="E1000" s="18" t="n">
        <v>1872</v>
      </c>
      <c r="F1000" s="18" t="n">
        <v>7400</v>
      </c>
      <c r="G1000" s="18" t="n"/>
      <c r="H1000" s="18" t="n"/>
      <c r="I1000" s="18" t="n"/>
      <c r="J1000" s="19" t="n">
        <v>0</v>
      </c>
      <c r="K1000" s="35" t="n">
        <v>0.065</v>
      </c>
    </row>
    <row r="1001">
      <c r="A1001" s="36" t="inlineStr">
        <is>
          <t>AGA SPK-tilskudd</t>
        </is>
      </c>
      <c r="B1001" s="36" t="inlineStr">
        <is>
          <t>Region Sør</t>
        </is>
      </c>
      <c r="C1001" s="36" t="inlineStr">
        <is>
          <t>Avdeling Furuly</t>
        </is>
      </c>
      <c r="D1001" s="26" t="n">
        <v>15677</v>
      </c>
      <c r="E1001" s="26" t="n">
        <v>8146</v>
      </c>
      <c r="F1001" s="26" t="n"/>
      <c r="G1001" s="26" t="n"/>
      <c r="H1001" s="26" t="n"/>
      <c r="I1001" s="26" t="n"/>
      <c r="J1001" s="19" t="n">
        <v>0</v>
      </c>
      <c r="K1001" s="37" t="n">
        <v>0.065</v>
      </c>
    </row>
    <row r="1002">
      <c r="A1002" s="34" t="inlineStr">
        <is>
          <t>AGA SPK-tilskudd</t>
        </is>
      </c>
      <c r="B1002" s="34" t="inlineStr">
        <is>
          <t>Region Sør</t>
        </is>
      </c>
      <c r="C1002" s="34" t="inlineStr">
        <is>
          <t>Avdeling Furuly</t>
        </is>
      </c>
      <c r="D1002" s="18" t="n">
        <v>5838</v>
      </c>
      <c r="E1002" s="18" t="n">
        <v>3516</v>
      </c>
      <c r="F1002" s="18" t="n"/>
      <c r="G1002" s="18" t="n"/>
      <c r="H1002" s="18" t="n"/>
      <c r="I1002" s="18" t="n"/>
      <c r="J1002" s="19" t="n">
        <v>0</v>
      </c>
      <c r="K1002" s="35" t="n">
        <v>0.065</v>
      </c>
    </row>
    <row r="1003">
      <c r="A1003" s="36" t="inlineStr">
        <is>
          <t>AGA SPK-tilskudd</t>
        </is>
      </c>
      <c r="B1003" s="36" t="inlineStr">
        <is>
          <t>Region Sør</t>
        </is>
      </c>
      <c r="C1003" s="36" t="inlineStr">
        <is>
          <t>Avdeling Furuly</t>
        </is>
      </c>
      <c r="D1003" s="26" t="n">
        <v>2775</v>
      </c>
      <c r="E1003" s="26" t="n">
        <v>14400</v>
      </c>
      <c r="F1003" s="26" t="n"/>
      <c r="G1003" s="26" t="n"/>
      <c r="H1003" s="26" t="n"/>
      <c r="I1003" s="26" t="n"/>
      <c r="J1003" s="19" t="n">
        <v>0</v>
      </c>
      <c r="K1003" s="37" t="n">
        <v>0.065</v>
      </c>
    </row>
    <row r="1004">
      <c r="A1004" s="34" t="inlineStr">
        <is>
          <t>AGA SPK-tilskudd</t>
        </is>
      </c>
      <c r="B1004" s="34" t="inlineStr">
        <is>
          <t>Region Sør</t>
        </is>
      </c>
      <c r="C1004" s="34" t="inlineStr">
        <is>
          <t>Avdeling Furuly</t>
        </is>
      </c>
      <c r="D1004" s="18" t="n"/>
      <c r="E1004" s="18" t="n">
        <v>5600</v>
      </c>
      <c r="F1004" s="18" t="n"/>
      <c r="G1004" s="18" t="n"/>
      <c r="H1004" s="18" t="n"/>
      <c r="I1004" s="18" t="n"/>
      <c r="J1004" s="19" t="n">
        <v>0</v>
      </c>
      <c r="K1004" s="35" t="n">
        <v>0.065</v>
      </c>
    </row>
    <row r="1005">
      <c r="A1005" s="36" t="inlineStr">
        <is>
          <t>AGA SPK-tilskudd</t>
        </is>
      </c>
      <c r="B1005" s="36" t="inlineStr">
        <is>
          <t>Region Sør</t>
        </is>
      </c>
      <c r="C1005" s="36" t="inlineStr">
        <is>
          <t>Avdeling Furuly</t>
        </is>
      </c>
      <c r="D1005" s="26" t="n"/>
      <c r="E1005" s="26" t="n">
        <v>409</v>
      </c>
      <c r="F1005" s="26" t="n">
        <v>-1943</v>
      </c>
      <c r="G1005" s="26" t="n"/>
      <c r="H1005" s="26" t="n"/>
      <c r="I1005" s="26" t="n"/>
      <c r="J1005" s="19" t="n">
        <v>0</v>
      </c>
      <c r="K1005" s="37" t="n">
        <v>0.065</v>
      </c>
    </row>
    <row r="1006">
      <c r="A1006" s="34" t="inlineStr">
        <is>
          <t>AGA SPK-tilskudd</t>
        </is>
      </c>
      <c r="B1006" s="34" t="inlineStr">
        <is>
          <t>Region Sør</t>
        </is>
      </c>
      <c r="C1006" s="34" t="inlineStr">
        <is>
          <t>Avdeling Furuly</t>
        </is>
      </c>
      <c r="D1006" s="18" t="n"/>
      <c r="E1006" s="18" t="n">
        <v>-409</v>
      </c>
      <c r="F1006" s="18" t="n">
        <v>1943</v>
      </c>
      <c r="G1006" s="18" t="n"/>
      <c r="H1006" s="18" t="n"/>
      <c r="I1006" s="18" t="n"/>
      <c r="J1006" s="19" t="n">
        <v>0</v>
      </c>
      <c r="K1006" s="35" t="n">
        <v>0.065</v>
      </c>
    </row>
    <row r="1007">
      <c r="A1007" s="36" t="inlineStr">
        <is>
          <t>AGA SPK-tilskudd</t>
        </is>
      </c>
      <c r="B1007" s="36" t="inlineStr">
        <is>
          <t>Region Sør</t>
        </is>
      </c>
      <c r="C1007" s="36" t="inlineStr">
        <is>
          <t>Avdeling Furuly</t>
        </is>
      </c>
      <c r="D1007" s="26" t="n">
        <v>32831</v>
      </c>
      <c r="E1007" s="26" t="n">
        <v>3486</v>
      </c>
      <c r="F1007" s="26" t="n"/>
      <c r="G1007" s="26" t="n"/>
      <c r="H1007" s="26" t="n"/>
      <c r="I1007" s="26" t="n"/>
      <c r="J1007" s="19" t="n">
        <v>0</v>
      </c>
      <c r="K1007" s="37" t="n">
        <v>0.065</v>
      </c>
    </row>
    <row r="1008">
      <c r="A1008" s="34" t="inlineStr">
        <is>
          <t>AGA SPK-tilskudd</t>
        </is>
      </c>
      <c r="B1008" s="34" t="inlineStr">
        <is>
          <t>Region Sør</t>
        </is>
      </c>
      <c r="C1008" s="34" t="inlineStr">
        <is>
          <t>Avdeling Furuly</t>
        </is>
      </c>
      <c r="D1008" s="18" t="n"/>
      <c r="E1008" s="18" t="n">
        <v>-233639</v>
      </c>
      <c r="F1008" s="18" t="n"/>
      <c r="G1008" s="18" t="n"/>
      <c r="H1008" s="18" t="n"/>
      <c r="I1008" s="18" t="n"/>
      <c r="J1008" s="19" t="n">
        <v>0</v>
      </c>
      <c r="K1008" s="35" t="n">
        <v>0.065</v>
      </c>
    </row>
    <row r="1009">
      <c r="A1009" s="36" t="inlineStr">
        <is>
          <t>AGA SPK-tilskudd</t>
        </is>
      </c>
      <c r="B1009" s="36" t="inlineStr">
        <is>
          <t>Region Sør</t>
        </is>
      </c>
      <c r="C1009" s="36" t="inlineStr">
        <is>
          <t>Avdeling Furuly</t>
        </is>
      </c>
      <c r="D1009" s="26" t="n">
        <v>-531564</v>
      </c>
      <c r="E1009" s="26" t="n">
        <v>-1448740</v>
      </c>
      <c r="F1009" s="26" t="n">
        <v>-833</v>
      </c>
      <c r="G1009" s="26" t="n"/>
      <c r="H1009" s="26" t="n"/>
      <c r="I1009" s="26" t="n"/>
      <c r="J1009" s="19" t="n">
        <v>0</v>
      </c>
      <c r="K1009" s="37" t="n">
        <v>0.065</v>
      </c>
    </row>
    <row r="1010">
      <c r="A1010" s="34" t="inlineStr">
        <is>
          <t>AGA SPK-tilskudd</t>
        </is>
      </c>
      <c r="B1010" s="34" t="inlineStr">
        <is>
          <t>Region Sør</t>
        </is>
      </c>
      <c r="C1010" s="34" t="inlineStr">
        <is>
          <t>Avdeling Geithus</t>
        </is>
      </c>
      <c r="D1010" s="18" t="n">
        <v>239348</v>
      </c>
      <c r="E1010" s="18" t="n">
        <v>196889</v>
      </c>
      <c r="F1010" s="18" t="n">
        <v>178903</v>
      </c>
      <c r="G1010" s="18" t="n">
        <v>129312</v>
      </c>
      <c r="H1010" s="18" t="n">
        <v>910</v>
      </c>
      <c r="I1010" s="18" t="n"/>
      <c r="J1010" s="19" t="n">
        <v>0</v>
      </c>
      <c r="K1010" s="35" t="n">
        <v>0.065</v>
      </c>
    </row>
    <row r="1011">
      <c r="A1011" s="36" t="inlineStr">
        <is>
          <t>AGA SPK-tilskudd</t>
        </is>
      </c>
      <c r="B1011" s="36" t="inlineStr">
        <is>
          <t>Region Sør</t>
        </is>
      </c>
      <c r="C1011" s="36" t="inlineStr">
        <is>
          <t>Avdeling Geithus</t>
        </is>
      </c>
      <c r="D1011" s="26" t="n">
        <v>587154</v>
      </c>
      <c r="E1011" s="26" t="n">
        <v>256473</v>
      </c>
      <c r="F1011" s="26" t="n">
        <v>42106</v>
      </c>
      <c r="G1011" s="26" t="n"/>
      <c r="H1011" s="26" t="n"/>
      <c r="I1011" s="26" t="n"/>
      <c r="J1011" s="19" t="n">
        <v>0</v>
      </c>
      <c r="K1011" s="37" t="n">
        <v>0.065</v>
      </c>
    </row>
    <row r="1012">
      <c r="A1012" s="34" t="inlineStr">
        <is>
          <t>AGA SPK-tilskudd</t>
        </is>
      </c>
      <c r="B1012" s="34" t="inlineStr">
        <is>
          <t>Region Sør</t>
        </is>
      </c>
      <c r="C1012" s="34" t="inlineStr">
        <is>
          <t>Avdeling Geithus</t>
        </is>
      </c>
      <c r="D1012" s="18" t="n">
        <v>21152</v>
      </c>
      <c r="E1012" s="18" t="n">
        <v>26722</v>
      </c>
      <c r="F1012" s="18" t="n">
        <v>20182</v>
      </c>
      <c r="G1012" s="18" t="n">
        <v>35817</v>
      </c>
      <c r="H1012" s="18" t="n">
        <v>104</v>
      </c>
      <c r="I1012" s="18" t="n"/>
      <c r="J1012" s="19" t="n">
        <v>0</v>
      </c>
      <c r="K1012" s="35" t="n">
        <v>0.065</v>
      </c>
    </row>
    <row r="1013">
      <c r="A1013" s="36" t="inlineStr">
        <is>
          <t>AGA SPK-tilskudd</t>
        </is>
      </c>
      <c r="B1013" s="36" t="inlineStr">
        <is>
          <t>Region Sør</t>
        </is>
      </c>
      <c r="C1013" s="36" t="inlineStr">
        <is>
          <t>Avdeling Geithus</t>
        </is>
      </c>
      <c r="D1013" s="26" t="n">
        <v>54200</v>
      </c>
      <c r="E1013" s="26" t="n">
        <v>53372</v>
      </c>
      <c r="F1013" s="26" t="n">
        <v>60430</v>
      </c>
      <c r="G1013" s="26" t="n">
        <v>34781</v>
      </c>
      <c r="H1013" s="26" t="n">
        <v>278</v>
      </c>
      <c r="I1013" s="26" t="n"/>
      <c r="J1013" s="19" t="n">
        <v>0</v>
      </c>
      <c r="K1013" s="37" t="n">
        <v>0.065</v>
      </c>
    </row>
    <row r="1014">
      <c r="A1014" s="34" t="inlineStr">
        <is>
          <t>AGA SPK-tilskudd</t>
        </is>
      </c>
      <c r="B1014" s="34" t="inlineStr">
        <is>
          <t>Region Sør</t>
        </is>
      </c>
      <c r="C1014" s="34" t="inlineStr">
        <is>
          <t>Avdeling Geithus</t>
        </is>
      </c>
      <c r="D1014" s="18" t="n">
        <v>16932</v>
      </c>
      <c r="E1014" s="18" t="n">
        <v>5297</v>
      </c>
      <c r="F1014" s="18" t="n">
        <v>24647</v>
      </c>
      <c r="G1014" s="18" t="n">
        <v>24338</v>
      </c>
      <c r="H1014" s="18" t="n"/>
      <c r="I1014" s="18" t="n"/>
      <c r="J1014" s="19" t="n">
        <v>0</v>
      </c>
      <c r="K1014" s="35" t="n">
        <v>0.065</v>
      </c>
    </row>
    <row r="1015">
      <c r="A1015" s="36" t="inlineStr">
        <is>
          <t>AGA SPK-tilskudd</t>
        </is>
      </c>
      <c r="B1015" s="36" t="inlineStr">
        <is>
          <t>Region Sør</t>
        </is>
      </c>
      <c r="C1015" s="36" t="inlineStr">
        <is>
          <t>Avdeling Geithus</t>
        </is>
      </c>
      <c r="D1015" s="26" t="n"/>
      <c r="E1015" s="26" t="n"/>
      <c r="F1015" s="26" t="n">
        <v>65714</v>
      </c>
      <c r="G1015" s="26" t="n"/>
      <c r="H1015" s="26" t="n"/>
      <c r="I1015" s="26" t="n"/>
      <c r="J1015" s="19" t="n">
        <v>0</v>
      </c>
      <c r="K1015" s="37" t="n">
        <v>0.065</v>
      </c>
    </row>
    <row r="1016">
      <c r="A1016" s="34" t="inlineStr">
        <is>
          <t>AGA SPK-tilskudd</t>
        </is>
      </c>
      <c r="B1016" s="34" t="inlineStr">
        <is>
          <t>Region Sør</t>
        </is>
      </c>
      <c r="C1016" s="34" t="inlineStr">
        <is>
          <t>Avdeling Geithus</t>
        </is>
      </c>
      <c r="D1016" s="18" t="n">
        <v>27186</v>
      </c>
      <c r="E1016" s="18" t="n">
        <v>8611</v>
      </c>
      <c r="F1016" s="18" t="n">
        <v>21715</v>
      </c>
      <c r="G1016" s="18" t="n">
        <v>23688</v>
      </c>
      <c r="H1016" s="18" t="n">
        <v>1694</v>
      </c>
      <c r="I1016" s="18" t="n"/>
      <c r="J1016" s="19" t="n">
        <v>0</v>
      </c>
      <c r="K1016" s="35" t="n">
        <v>0.065</v>
      </c>
    </row>
    <row r="1017">
      <c r="A1017" s="36" t="inlineStr">
        <is>
          <t>AGA SPK-tilskudd</t>
        </is>
      </c>
      <c r="B1017" s="36" t="inlineStr">
        <is>
          <t>Region Sør</t>
        </is>
      </c>
      <c r="C1017" s="36" t="inlineStr">
        <is>
          <t>Avdeling Geithus</t>
        </is>
      </c>
      <c r="D1017" s="26" t="n">
        <v>1000</v>
      </c>
      <c r="E1017" s="26" t="n">
        <v>8952</v>
      </c>
      <c r="F1017" s="26" t="n">
        <v>10457</v>
      </c>
      <c r="G1017" s="26" t="n">
        <v>4925</v>
      </c>
      <c r="H1017" s="26" t="n"/>
      <c r="I1017" s="26" t="n"/>
      <c r="J1017" s="19" t="n">
        <v>0</v>
      </c>
      <c r="K1017" s="37" t="n">
        <v>0.065</v>
      </c>
    </row>
    <row r="1018">
      <c r="A1018" s="34" t="inlineStr">
        <is>
          <t>AGA SPK-tilskudd</t>
        </is>
      </c>
      <c r="B1018" s="34" t="inlineStr">
        <is>
          <t>Region Sør</t>
        </is>
      </c>
      <c r="C1018" s="34" t="inlineStr">
        <is>
          <t>Avdeling Geithus</t>
        </is>
      </c>
      <c r="D1018" s="18" t="n">
        <v>1858</v>
      </c>
      <c r="E1018" s="18" t="n">
        <v>18692</v>
      </c>
      <c r="F1018" s="18" t="n">
        <v>12698</v>
      </c>
      <c r="G1018" s="18" t="n">
        <v>7461</v>
      </c>
      <c r="H1018" s="18" t="n"/>
      <c r="I1018" s="18" t="n"/>
      <c r="J1018" s="19" t="n">
        <v>0</v>
      </c>
      <c r="K1018" s="35" t="n">
        <v>0.065</v>
      </c>
    </row>
    <row r="1019">
      <c r="A1019" s="36" t="inlineStr">
        <is>
          <t>AGA SPK-tilskudd</t>
        </is>
      </c>
      <c r="B1019" s="36" t="inlineStr">
        <is>
          <t>Region Sør</t>
        </is>
      </c>
      <c r="C1019" s="36" t="inlineStr">
        <is>
          <t>Avdeling Geithus</t>
        </is>
      </c>
      <c r="D1019" s="26" t="n">
        <v>8191</v>
      </c>
      <c r="E1019" s="26" t="n">
        <v>19440</v>
      </c>
      <c r="F1019" s="26" t="n">
        <v>11492</v>
      </c>
      <c r="G1019" s="26" t="n">
        <v>17691</v>
      </c>
      <c r="H1019" s="26" t="n"/>
      <c r="I1019" s="26" t="n"/>
      <c r="J1019" s="19" t="n">
        <v>0</v>
      </c>
      <c r="K1019" s="37" t="n">
        <v>0.065</v>
      </c>
    </row>
    <row r="1020">
      <c r="A1020" s="34" t="inlineStr">
        <is>
          <t>AGA SPK-tilskudd</t>
        </is>
      </c>
      <c r="B1020" s="34" t="inlineStr">
        <is>
          <t>Region Sør</t>
        </is>
      </c>
      <c r="C1020" s="34" t="inlineStr">
        <is>
          <t>Avdeling Geithus</t>
        </is>
      </c>
      <c r="D1020" s="18" t="n">
        <v>4375</v>
      </c>
      <c r="E1020" s="18" t="n">
        <v>3776</v>
      </c>
      <c r="F1020" s="18" t="n">
        <v>6498</v>
      </c>
      <c r="G1020" s="18" t="n">
        <v>7633</v>
      </c>
      <c r="H1020" s="18" t="n">
        <v>431</v>
      </c>
      <c r="I1020" s="18" t="n"/>
      <c r="J1020" s="19" t="n">
        <v>0</v>
      </c>
      <c r="K1020" s="35" t="n">
        <v>0.065</v>
      </c>
    </row>
    <row r="1021">
      <c r="A1021" s="36" t="inlineStr">
        <is>
          <t>AGA SPK-tilskudd</t>
        </is>
      </c>
      <c r="B1021" s="36" t="inlineStr">
        <is>
          <t>Region Sør</t>
        </is>
      </c>
      <c r="C1021" s="36" t="inlineStr">
        <is>
          <t>Avdeling Geithus</t>
        </is>
      </c>
      <c r="D1021" s="26" t="n"/>
      <c r="E1021" s="26" t="n"/>
      <c r="F1021" s="26" t="n"/>
      <c r="G1021" s="26" t="n">
        <v>3140</v>
      </c>
      <c r="H1021" s="26" t="n"/>
      <c r="I1021" s="26" t="n"/>
      <c r="J1021" s="19" t="n">
        <v>0</v>
      </c>
      <c r="K1021" s="37" t="n">
        <v>0.065</v>
      </c>
    </row>
    <row r="1022">
      <c r="A1022" s="34" t="inlineStr">
        <is>
          <t>AGA SPK-tilskudd</t>
        </is>
      </c>
      <c r="B1022" s="34" t="inlineStr">
        <is>
          <t>Region Sør</t>
        </is>
      </c>
      <c r="C1022" s="34" t="inlineStr">
        <is>
          <t>Avdeling Geithus</t>
        </is>
      </c>
      <c r="D1022" s="18" t="n">
        <v>434</v>
      </c>
      <c r="E1022" s="18" t="n"/>
      <c r="F1022" s="18" t="n">
        <v>302</v>
      </c>
      <c r="G1022" s="18" t="n"/>
      <c r="H1022" s="18" t="n"/>
      <c r="I1022" s="18" t="n"/>
      <c r="J1022" s="19" t="n">
        <v>0</v>
      </c>
      <c r="K1022" s="35" t="n">
        <v>0.065</v>
      </c>
    </row>
    <row r="1023">
      <c r="A1023" s="36" t="inlineStr">
        <is>
          <t>AGA SPK-tilskudd</t>
        </is>
      </c>
      <c r="B1023" s="36" t="inlineStr">
        <is>
          <t>Region Sør</t>
        </is>
      </c>
      <c r="C1023" s="36" t="inlineStr">
        <is>
          <t>Avdeling Geithus</t>
        </is>
      </c>
      <c r="D1023" s="26" t="n">
        <v>4494</v>
      </c>
      <c r="E1023" s="26" t="n"/>
      <c r="F1023" s="26" t="n"/>
      <c r="G1023" s="26" t="n"/>
      <c r="H1023" s="26" t="n"/>
      <c r="I1023" s="26" t="n"/>
      <c r="J1023" s="19" t="n">
        <v>0</v>
      </c>
      <c r="K1023" s="37" t="n">
        <v>0.065</v>
      </c>
    </row>
    <row r="1024">
      <c r="A1024" s="34" t="inlineStr">
        <is>
          <t>AGA SPK-tilskudd</t>
        </is>
      </c>
      <c r="B1024" s="34" t="inlineStr">
        <is>
          <t>Region Sør</t>
        </is>
      </c>
      <c r="C1024" s="34" t="inlineStr">
        <is>
          <t>Avdeling Geithus</t>
        </is>
      </c>
      <c r="D1024" s="18" t="n">
        <v>25561</v>
      </c>
      <c r="E1024" s="18" t="n">
        <v>1819</v>
      </c>
      <c r="F1024" s="18" t="n">
        <v>9235</v>
      </c>
      <c r="G1024" s="18" t="n">
        <v>-926</v>
      </c>
      <c r="H1024" s="18" t="n"/>
      <c r="I1024" s="18" t="n"/>
      <c r="J1024" s="19" t="n">
        <v>0</v>
      </c>
      <c r="K1024" s="35" t="n">
        <v>0.065</v>
      </c>
    </row>
    <row r="1025">
      <c r="A1025" s="36" t="inlineStr">
        <is>
          <t>AGA SPK-tilskudd</t>
        </is>
      </c>
      <c r="B1025" s="36" t="inlineStr">
        <is>
          <t>Region Sør</t>
        </is>
      </c>
      <c r="C1025" s="36" t="inlineStr">
        <is>
          <t>Avdeling Geithus</t>
        </is>
      </c>
      <c r="D1025" s="26" t="n">
        <v>-43632</v>
      </c>
      <c r="E1025" s="26" t="n"/>
      <c r="F1025" s="26" t="n"/>
      <c r="G1025" s="26" t="n">
        <v>-125027</v>
      </c>
      <c r="H1025" s="26" t="n"/>
      <c r="I1025" s="26" t="n"/>
      <c r="J1025" s="19" t="n">
        <v>0</v>
      </c>
      <c r="K1025" s="37" t="n">
        <v>0.065</v>
      </c>
    </row>
    <row r="1026">
      <c r="A1026" s="34" t="inlineStr">
        <is>
          <t>AGA SPK-tilskudd</t>
        </is>
      </c>
      <c r="B1026" s="34" t="inlineStr">
        <is>
          <t>Region Sør</t>
        </is>
      </c>
      <c r="C1026" s="34" t="inlineStr">
        <is>
          <t>Avdeling Geithus</t>
        </is>
      </c>
      <c r="D1026" s="18" t="n">
        <v>-920921</v>
      </c>
      <c r="E1026" s="18" t="n">
        <v>-1704878</v>
      </c>
      <c r="F1026" s="18" t="n">
        <v>-2286347</v>
      </c>
      <c r="G1026" s="18" t="n">
        <v>-1739222</v>
      </c>
      <c r="H1026" s="18" t="n">
        <v>-105060</v>
      </c>
      <c r="I1026" s="18" t="n"/>
      <c r="J1026" s="19" t="n">
        <v>0</v>
      </c>
      <c r="K1026" s="35" t="n">
        <v>0.065</v>
      </c>
    </row>
    <row r="1027">
      <c r="A1027" s="36" t="inlineStr">
        <is>
          <t>AGA SPK-tilskudd</t>
        </is>
      </c>
      <c r="B1027" s="36" t="inlineStr">
        <is>
          <t>Region Sør</t>
        </is>
      </c>
      <c r="C1027" s="36" t="inlineStr">
        <is>
          <t>Avdeling Gemini</t>
        </is>
      </c>
      <c r="D1027" s="26" t="n">
        <v>128718</v>
      </c>
      <c r="E1027" s="26" t="n">
        <v>134767</v>
      </c>
      <c r="F1027" s="26" t="n">
        <v>-281</v>
      </c>
      <c r="G1027" s="26" t="n"/>
      <c r="H1027" s="26" t="n"/>
      <c r="I1027" s="26" t="n"/>
      <c r="J1027" s="19" t="n">
        <v>0</v>
      </c>
      <c r="K1027" s="37" t="n">
        <v>0.065</v>
      </c>
    </row>
    <row r="1028">
      <c r="A1028" s="34" t="inlineStr">
        <is>
          <t>AGA SPK-tilskudd</t>
        </is>
      </c>
      <c r="B1028" s="34" t="inlineStr">
        <is>
          <t>Region Sør</t>
        </is>
      </c>
      <c r="C1028" s="34" t="inlineStr">
        <is>
          <t>Avdeling Gemini</t>
        </is>
      </c>
      <c r="D1028" s="18" t="n">
        <v>78342</v>
      </c>
      <c r="E1028" s="18" t="n">
        <v>168328</v>
      </c>
      <c r="F1028" s="18" t="n">
        <v>2748</v>
      </c>
      <c r="G1028" s="18" t="n"/>
      <c r="H1028" s="18" t="n"/>
      <c r="I1028" s="18" t="n"/>
      <c r="J1028" s="19" t="n">
        <v>0</v>
      </c>
      <c r="K1028" s="35" t="n">
        <v>0.065</v>
      </c>
    </row>
    <row r="1029">
      <c r="A1029" s="36" t="inlineStr">
        <is>
          <t>AGA SPK-tilskudd</t>
        </is>
      </c>
      <c r="B1029" s="36" t="inlineStr">
        <is>
          <t>Region Sør</t>
        </is>
      </c>
      <c r="C1029" s="36" t="inlineStr">
        <is>
          <t>Avdeling Gemini</t>
        </is>
      </c>
      <c r="D1029" s="26" t="n">
        <v>8985</v>
      </c>
      <c r="E1029" s="26" t="n">
        <v>15779</v>
      </c>
      <c r="F1029" s="26" t="n">
        <v>786</v>
      </c>
      <c r="G1029" s="26" t="n"/>
      <c r="H1029" s="26" t="n"/>
      <c r="I1029" s="26" t="n"/>
      <c r="J1029" s="19" t="n">
        <v>0</v>
      </c>
      <c r="K1029" s="37" t="n">
        <v>0.065</v>
      </c>
    </row>
    <row r="1030">
      <c r="A1030" s="34" t="inlineStr">
        <is>
          <t>AGA SPK-tilskudd</t>
        </is>
      </c>
      <c r="B1030" s="34" t="inlineStr">
        <is>
          <t>Region Sør</t>
        </is>
      </c>
      <c r="C1030" s="34" t="inlineStr">
        <is>
          <t>Avdeling Gemini</t>
        </is>
      </c>
      <c r="D1030" s="18" t="n">
        <v>22100</v>
      </c>
      <c r="E1030" s="18" t="n">
        <v>31066</v>
      </c>
      <c r="F1030" s="18" t="n">
        <v>-1125</v>
      </c>
      <c r="G1030" s="18" t="n"/>
      <c r="H1030" s="18" t="n"/>
      <c r="I1030" s="18" t="n"/>
      <c r="J1030" s="19" t="n">
        <v>0</v>
      </c>
      <c r="K1030" s="35" t="n">
        <v>0.065</v>
      </c>
    </row>
    <row r="1031">
      <c r="A1031" s="36" t="inlineStr">
        <is>
          <t>AGA SPK-tilskudd</t>
        </is>
      </c>
      <c r="B1031" s="36" t="inlineStr">
        <is>
          <t>Region Sør</t>
        </is>
      </c>
      <c r="C1031" s="36" t="inlineStr">
        <is>
          <t>Avdeling Gemini</t>
        </is>
      </c>
      <c r="D1031" s="26" t="n">
        <v>3387</v>
      </c>
      <c r="E1031" s="26" t="n">
        <v>1263</v>
      </c>
      <c r="F1031" s="26" t="n"/>
      <c r="G1031" s="26" t="n"/>
      <c r="H1031" s="26" t="n"/>
      <c r="I1031" s="26" t="n"/>
      <c r="J1031" s="19" t="n">
        <v>0</v>
      </c>
      <c r="K1031" s="37" t="n">
        <v>0.065</v>
      </c>
    </row>
    <row r="1032">
      <c r="A1032" s="34" t="inlineStr">
        <is>
          <t>AGA SPK-tilskudd</t>
        </is>
      </c>
      <c r="B1032" s="34" t="inlineStr">
        <is>
          <t>Region Sør</t>
        </is>
      </c>
      <c r="C1032" s="34" t="inlineStr">
        <is>
          <t>Avdeling Gemini</t>
        </is>
      </c>
      <c r="D1032" s="18" t="n"/>
      <c r="E1032" s="18" t="n">
        <v>3844</v>
      </c>
      <c r="F1032" s="18" t="n"/>
      <c r="G1032" s="18" t="n"/>
      <c r="H1032" s="18" t="n"/>
      <c r="I1032" s="18" t="n"/>
      <c r="J1032" s="19" t="n">
        <v>0</v>
      </c>
      <c r="K1032" s="35" t="n">
        <v>0.065</v>
      </c>
    </row>
    <row r="1033">
      <c r="A1033" s="36" t="inlineStr">
        <is>
          <t>AGA SPK-tilskudd</t>
        </is>
      </c>
      <c r="B1033" s="36" t="inlineStr">
        <is>
          <t>Region Sør</t>
        </is>
      </c>
      <c r="C1033" s="36" t="inlineStr">
        <is>
          <t>Avdeling Gemini</t>
        </is>
      </c>
      <c r="D1033" s="26" t="n"/>
      <c r="E1033" s="26" t="n">
        <v>1792</v>
      </c>
      <c r="F1033" s="26" t="n"/>
      <c r="G1033" s="26" t="n"/>
      <c r="H1033" s="26" t="n"/>
      <c r="I1033" s="26" t="n"/>
      <c r="J1033" s="19" t="n">
        <v>0</v>
      </c>
      <c r="K1033" s="37" t="n">
        <v>0.065</v>
      </c>
    </row>
    <row r="1034">
      <c r="A1034" s="34" t="inlineStr">
        <is>
          <t>AGA SPK-tilskudd</t>
        </is>
      </c>
      <c r="B1034" s="34" t="inlineStr">
        <is>
          <t>Region Sør</t>
        </is>
      </c>
      <c r="C1034" s="34" t="inlineStr">
        <is>
          <t>Avdeling Gemini</t>
        </is>
      </c>
      <c r="D1034" s="18" t="n"/>
      <c r="E1034" s="18" t="n">
        <v>8674</v>
      </c>
      <c r="F1034" s="18" t="n"/>
      <c r="G1034" s="18" t="n"/>
      <c r="H1034" s="18" t="n"/>
      <c r="I1034" s="18" t="n"/>
      <c r="J1034" s="19" t="n">
        <v>0</v>
      </c>
      <c r="K1034" s="35" t="n">
        <v>0.065</v>
      </c>
    </row>
    <row r="1035">
      <c r="A1035" s="36" t="inlineStr">
        <is>
          <t>AGA SPK-tilskudd</t>
        </is>
      </c>
      <c r="B1035" s="36" t="inlineStr">
        <is>
          <t>Region Sør</t>
        </is>
      </c>
      <c r="C1035" s="36" t="inlineStr">
        <is>
          <t>Avdeling Gemini</t>
        </is>
      </c>
      <c r="D1035" s="26" t="n">
        <v>612</v>
      </c>
      <c r="E1035" s="26" t="n">
        <v>10444</v>
      </c>
      <c r="F1035" s="26" t="n"/>
      <c r="G1035" s="26" t="n"/>
      <c r="H1035" s="26" t="n"/>
      <c r="I1035" s="26" t="n"/>
      <c r="J1035" s="19" t="n">
        <v>0</v>
      </c>
      <c r="K1035" s="37" t="n">
        <v>0.065</v>
      </c>
    </row>
    <row r="1036">
      <c r="A1036" s="34" t="inlineStr">
        <is>
          <t>AGA SPK-tilskudd</t>
        </is>
      </c>
      <c r="B1036" s="34" t="inlineStr">
        <is>
          <t>Region Sør</t>
        </is>
      </c>
      <c r="C1036" s="34" t="inlineStr">
        <is>
          <t>Avdeling Gemini</t>
        </is>
      </c>
      <c r="D1036" s="18" t="n"/>
      <c r="E1036" s="18" t="n">
        <v>1061</v>
      </c>
      <c r="F1036" s="18" t="n"/>
      <c r="G1036" s="18" t="n"/>
      <c r="H1036" s="18" t="n"/>
      <c r="I1036" s="18" t="n"/>
      <c r="J1036" s="19" t="n">
        <v>0</v>
      </c>
      <c r="K1036" s="35" t="n">
        <v>0.065</v>
      </c>
    </row>
    <row r="1037">
      <c r="A1037" s="36" t="inlineStr">
        <is>
          <t>AGA SPK-tilskudd</t>
        </is>
      </c>
      <c r="B1037" s="36" t="inlineStr">
        <is>
          <t>Region Sør</t>
        </is>
      </c>
      <c r="C1037" s="36" t="inlineStr">
        <is>
          <t>Avdeling Gemini</t>
        </is>
      </c>
      <c r="D1037" s="26" t="n">
        <v>1830</v>
      </c>
      <c r="E1037" s="26" t="n">
        <v>10683</v>
      </c>
      <c r="F1037" s="26" t="n">
        <v>50</v>
      </c>
      <c r="G1037" s="26" t="n"/>
      <c r="H1037" s="26" t="n"/>
      <c r="I1037" s="26" t="n"/>
      <c r="J1037" s="19" t="n">
        <v>0</v>
      </c>
      <c r="K1037" s="37" t="n">
        <v>0.065</v>
      </c>
    </row>
    <row r="1038">
      <c r="A1038" s="34" t="inlineStr">
        <is>
          <t>AGA SPK-tilskudd</t>
        </is>
      </c>
      <c r="B1038" s="34" t="inlineStr">
        <is>
          <t>Region Sør</t>
        </is>
      </c>
      <c r="C1038" s="34" t="inlineStr">
        <is>
          <t>Avdeling Gemini</t>
        </is>
      </c>
      <c r="D1038" s="18" t="n">
        <v>-304207</v>
      </c>
      <c r="E1038" s="18" t="n">
        <v>-60086</v>
      </c>
      <c r="F1038" s="18" t="n"/>
      <c r="G1038" s="18" t="n"/>
      <c r="H1038" s="18" t="n"/>
      <c r="I1038" s="18" t="n"/>
      <c r="J1038" s="19" t="n">
        <v>0</v>
      </c>
      <c r="K1038" s="35" t="n">
        <v>0.065</v>
      </c>
    </row>
    <row r="1039">
      <c r="A1039" s="36" t="inlineStr">
        <is>
          <t>AGA SPK-tilskudd</t>
        </is>
      </c>
      <c r="B1039" s="36" t="inlineStr">
        <is>
          <t>Region Sør</t>
        </is>
      </c>
      <c r="C1039" s="36" t="inlineStr">
        <is>
          <t>Avdeling Gemini</t>
        </is>
      </c>
      <c r="D1039" s="26" t="n">
        <v>-13951</v>
      </c>
      <c r="E1039" s="26" t="n">
        <v>-135524</v>
      </c>
      <c r="F1039" s="26" t="n"/>
      <c r="G1039" s="26" t="n"/>
      <c r="H1039" s="26" t="n"/>
      <c r="I1039" s="26" t="n"/>
      <c r="J1039" s="19" t="n">
        <v>0</v>
      </c>
      <c r="K1039" s="37" t="n">
        <v>0.065</v>
      </c>
    </row>
    <row r="1040">
      <c r="A1040" s="34" t="inlineStr">
        <is>
          <t>AGA SPK-tilskudd</t>
        </is>
      </c>
      <c r="B1040" s="34" t="inlineStr">
        <is>
          <t>Region Sør</t>
        </is>
      </c>
      <c r="C1040" s="34" t="inlineStr">
        <is>
          <t>Avdeling Gemini</t>
        </is>
      </c>
      <c r="D1040" s="18" t="n">
        <v>-1025335</v>
      </c>
      <c r="E1040" s="18" t="n">
        <v>-1093624</v>
      </c>
      <c r="F1040" s="18" t="n"/>
      <c r="G1040" s="18" t="n"/>
      <c r="H1040" s="18" t="n"/>
      <c r="I1040" s="18" t="n"/>
      <c r="J1040" s="19" t="n">
        <v>0</v>
      </c>
      <c r="K1040" s="35" t="n">
        <v>0.065</v>
      </c>
    </row>
    <row r="1041">
      <c r="A1041" s="36" t="inlineStr">
        <is>
          <t>AGA SPK-tilskudd</t>
        </is>
      </c>
      <c r="B1041" s="36" t="inlineStr">
        <is>
          <t>Region Sør</t>
        </is>
      </c>
      <c r="C1041" s="36" t="inlineStr">
        <is>
          <t>Avdeling Holtanløkka</t>
        </is>
      </c>
      <c r="D1041" s="26" t="n"/>
      <c r="E1041" s="26" t="n">
        <v>40</v>
      </c>
      <c r="F1041" s="26" t="n"/>
      <c r="G1041" s="26" t="n"/>
      <c r="H1041" s="26" t="n"/>
      <c r="I1041" s="26" t="n"/>
      <c r="J1041" s="19" t="n">
        <v>0</v>
      </c>
      <c r="K1041" s="37" t="n">
        <v>0.065</v>
      </c>
    </row>
    <row r="1042">
      <c r="A1042" s="34" t="inlineStr">
        <is>
          <t>AGA SPK-tilskudd</t>
        </is>
      </c>
      <c r="B1042" s="34" t="inlineStr">
        <is>
          <t>Region Sør</t>
        </is>
      </c>
      <c r="C1042" s="34" t="inlineStr">
        <is>
          <t>Avdeling Holtanløkka</t>
        </is>
      </c>
      <c r="D1042" s="18" t="n">
        <v>200</v>
      </c>
      <c r="E1042" s="18" t="n"/>
      <c r="F1042" s="18" t="n"/>
      <c r="G1042" s="18" t="n"/>
      <c r="H1042" s="18" t="n"/>
      <c r="I1042" s="18" t="n"/>
      <c r="J1042" s="19" t="n">
        <v>0</v>
      </c>
      <c r="K1042" s="35" t="n">
        <v>0.065</v>
      </c>
    </row>
    <row r="1043">
      <c r="A1043" s="36" t="inlineStr">
        <is>
          <t>AGA SPK-tilskudd</t>
        </is>
      </c>
      <c r="B1043" s="36" t="inlineStr">
        <is>
          <t>Region Sør</t>
        </is>
      </c>
      <c r="C1043" s="36" t="inlineStr">
        <is>
          <t>Avdeling Holtanløkka</t>
        </is>
      </c>
      <c r="D1043" s="26" t="n"/>
      <c r="E1043" s="26" t="n"/>
      <c r="F1043" s="26" t="n"/>
      <c r="G1043" s="26" t="n">
        <v>250</v>
      </c>
      <c r="H1043" s="26" t="n"/>
      <c r="I1043" s="26" t="n"/>
      <c r="J1043" s="19" t="n">
        <v>0</v>
      </c>
      <c r="K1043" s="37" t="n">
        <v>0.065</v>
      </c>
    </row>
    <row r="1044">
      <c r="A1044" s="34" t="inlineStr">
        <is>
          <t>AGA SPK-tilskudd</t>
        </is>
      </c>
      <c r="B1044" s="34" t="inlineStr">
        <is>
          <t>Region Sør</t>
        </is>
      </c>
      <c r="C1044" s="34" t="inlineStr">
        <is>
          <t>Avdeling Holtanløkka</t>
        </is>
      </c>
      <c r="D1044" s="18" t="n"/>
      <c r="E1044" s="18" t="n">
        <v>-5000</v>
      </c>
      <c r="F1044" s="18" t="n"/>
      <c r="G1044" s="18" t="n"/>
      <c r="H1044" s="18" t="n"/>
      <c r="I1044" s="18" t="n"/>
      <c r="J1044" s="19" t="n">
        <v>0</v>
      </c>
      <c r="K1044" s="35" t="n">
        <v>0.065</v>
      </c>
    </row>
    <row r="1045">
      <c r="A1045" s="36" t="inlineStr">
        <is>
          <t>AGA SPK-tilskudd</t>
        </is>
      </c>
      <c r="B1045" s="36" t="inlineStr">
        <is>
          <t>Region Sør</t>
        </is>
      </c>
      <c r="C1045" s="36" t="inlineStr">
        <is>
          <t>Avdeling Kjørbekk</t>
        </is>
      </c>
      <c r="D1045" s="26" t="n">
        <v>170760</v>
      </c>
      <c r="E1045" s="26" t="n">
        <v>164253</v>
      </c>
      <c r="F1045" s="26" t="n">
        <v>162953</v>
      </c>
      <c r="G1045" s="26" t="n">
        <v>162050</v>
      </c>
      <c r="H1045" s="26" t="n">
        <v>177550</v>
      </c>
      <c r="I1045" s="26" t="n">
        <v>169332</v>
      </c>
      <c r="J1045" s="19" t="n">
        <v>168764.149318876</v>
      </c>
      <c r="K1045" s="37" t="n">
        <v>-0.001678145741361159</v>
      </c>
    </row>
    <row r="1046">
      <c r="A1046" s="34" t="inlineStr">
        <is>
          <t>AGA SPK-tilskudd</t>
        </is>
      </c>
      <c r="B1046" s="34" t="inlineStr">
        <is>
          <t>Region Sør</t>
        </is>
      </c>
      <c r="C1046" s="34" t="inlineStr">
        <is>
          <t>Avdeling Kjørbekk</t>
        </is>
      </c>
      <c r="D1046" s="18" t="n">
        <v>117348</v>
      </c>
      <c r="E1046" s="18" t="n">
        <v>159595</v>
      </c>
      <c r="F1046" s="18" t="n">
        <v>113477</v>
      </c>
      <c r="G1046" s="18" t="n">
        <v>38937</v>
      </c>
      <c r="H1046" s="18" t="n">
        <v>74425</v>
      </c>
      <c r="I1046" s="18" t="n">
        <v>51910</v>
      </c>
      <c r="J1046" s="19" t="n">
        <v>37459.42990477847</v>
      </c>
      <c r="K1046" s="35" t="n">
        <v>-0.1505162660580779</v>
      </c>
    </row>
    <row r="1047">
      <c r="A1047" s="36" t="inlineStr">
        <is>
          <t>AGA SPK-tilskudd</t>
        </is>
      </c>
      <c r="B1047" s="36" t="inlineStr">
        <is>
          <t>Region Sør</t>
        </is>
      </c>
      <c r="C1047" s="36" t="inlineStr">
        <is>
          <t>Avdeling Kjørbekk</t>
        </is>
      </c>
      <c r="D1047" s="26" t="n">
        <v>17852</v>
      </c>
      <c r="E1047" s="26" t="n">
        <v>8288</v>
      </c>
      <c r="F1047" s="26" t="n">
        <v>19406</v>
      </c>
      <c r="G1047" s="26" t="n">
        <v>73381</v>
      </c>
      <c r="H1047" s="26" t="n">
        <v>51778</v>
      </c>
      <c r="I1047" s="26" t="n">
        <v>40813</v>
      </c>
      <c r="J1047" s="19" t="n">
        <v>56812.40516352418</v>
      </c>
      <c r="K1047" s="37" t="n">
        <v>0.1798378600140276</v>
      </c>
    </row>
    <row r="1048">
      <c r="A1048" s="34" t="inlineStr">
        <is>
          <t>AGA SPK-tilskudd</t>
        </is>
      </c>
      <c r="B1048" s="34" t="inlineStr">
        <is>
          <t>Region Sør</t>
        </is>
      </c>
      <c r="C1048" s="34" t="inlineStr">
        <is>
          <t>Avdeling Kjørbekk</t>
        </is>
      </c>
      <c r="D1048" s="18" t="n">
        <v>44400</v>
      </c>
      <c r="E1048" s="18" t="n">
        <v>51016</v>
      </c>
      <c r="F1048" s="18" t="n">
        <v>47649</v>
      </c>
      <c r="G1048" s="18" t="n">
        <v>63455</v>
      </c>
      <c r="H1048" s="18" t="n">
        <v>73809</v>
      </c>
      <c r="I1048" s="18" t="n">
        <v>77126</v>
      </c>
      <c r="J1048" s="19" t="n">
        <v>96189.56112531303</v>
      </c>
      <c r="K1048" s="35" t="n">
        <v>0.116769559470669</v>
      </c>
    </row>
    <row r="1049">
      <c r="A1049" s="36" t="inlineStr">
        <is>
          <t>AGA SPK-tilskudd</t>
        </is>
      </c>
      <c r="B1049" s="36" t="inlineStr">
        <is>
          <t>Region Sør</t>
        </is>
      </c>
      <c r="C1049" s="36" t="inlineStr">
        <is>
          <t>Avdeling Kjørbekk</t>
        </is>
      </c>
      <c r="D1049" s="26" t="n">
        <v>4256</v>
      </c>
      <c r="E1049" s="26" t="n"/>
      <c r="F1049" s="26" t="n"/>
      <c r="G1049" s="26" t="n">
        <v>3244</v>
      </c>
      <c r="H1049" s="26" t="n">
        <v>3675</v>
      </c>
      <c r="I1049" s="26" t="n">
        <v>22566</v>
      </c>
      <c r="J1049" s="19" t="n">
        <v>35259.375</v>
      </c>
      <c r="K1049" s="37" t="n">
        <v>0.25</v>
      </c>
    </row>
    <row r="1050">
      <c r="A1050" s="34" t="inlineStr">
        <is>
          <t>AGA SPK-tilskudd</t>
        </is>
      </c>
      <c r="B1050" s="34" t="inlineStr">
        <is>
          <t>Region Sør</t>
        </is>
      </c>
      <c r="C1050" s="34" t="inlineStr">
        <is>
          <t>Avdeling Kjørbekk</t>
        </is>
      </c>
      <c r="D1050" s="18" t="n">
        <v>5952</v>
      </c>
      <c r="E1050" s="18" t="n">
        <v>5207</v>
      </c>
      <c r="F1050" s="18" t="n">
        <v>11763</v>
      </c>
      <c r="G1050" s="18" t="n">
        <v>14534</v>
      </c>
      <c r="H1050" s="18" t="n">
        <v>21763</v>
      </c>
      <c r="I1050" s="18" t="n">
        <v>15505</v>
      </c>
      <c r="J1050" s="19" t="n">
        <v>22740.25392168505</v>
      </c>
      <c r="K1050" s="35" t="n">
        <v>0.2110491511682386</v>
      </c>
    </row>
    <row r="1051">
      <c r="A1051" s="36" t="inlineStr">
        <is>
          <t>AGA SPK-tilskudd</t>
        </is>
      </c>
      <c r="B1051" s="36" t="inlineStr">
        <is>
          <t>Region Sør</t>
        </is>
      </c>
      <c r="C1051" s="36" t="inlineStr">
        <is>
          <t>Avdeling Kjørbekk</t>
        </is>
      </c>
      <c r="D1051" s="26" t="n">
        <v>809</v>
      </c>
      <c r="E1051" s="26" t="n">
        <v>1062</v>
      </c>
      <c r="F1051" s="26" t="n">
        <v>3867</v>
      </c>
      <c r="G1051" s="26" t="n">
        <v>5701</v>
      </c>
      <c r="H1051" s="26" t="n">
        <v>11475</v>
      </c>
      <c r="I1051" s="26" t="n">
        <v>4314</v>
      </c>
      <c r="J1051" s="19" t="n">
        <v>6740.625</v>
      </c>
      <c r="K1051" s="37" t="n">
        <v>0.25</v>
      </c>
    </row>
    <row r="1052">
      <c r="A1052" s="34" t="inlineStr">
        <is>
          <t>AGA SPK-tilskudd</t>
        </is>
      </c>
      <c r="B1052" s="34" t="inlineStr">
        <is>
          <t>Region Sør</t>
        </is>
      </c>
      <c r="C1052" s="34" t="inlineStr">
        <is>
          <t>Avdeling Kjørbekk</t>
        </is>
      </c>
      <c r="D1052" s="18" t="n"/>
      <c r="E1052" s="18" t="n">
        <v>10999</v>
      </c>
      <c r="F1052" s="18" t="n">
        <v>13146</v>
      </c>
      <c r="G1052" s="18" t="n">
        <v>265</v>
      </c>
      <c r="H1052" s="18" t="n">
        <v>13550</v>
      </c>
      <c r="I1052" s="18" t="n">
        <v>10400</v>
      </c>
      <c r="J1052" s="19" t="n">
        <v>10112.84632921225</v>
      </c>
      <c r="K1052" s="35" t="n">
        <v>-0.01390209912171381</v>
      </c>
    </row>
    <row r="1053">
      <c r="A1053" s="36" t="inlineStr">
        <is>
          <t>AGA SPK-tilskudd</t>
        </is>
      </c>
      <c r="B1053" s="36" t="inlineStr">
        <is>
          <t>Region Sør</t>
        </is>
      </c>
      <c r="C1053" s="36" t="inlineStr">
        <is>
          <t>Avdeling Kjørbekk</t>
        </is>
      </c>
      <c r="D1053" s="26" t="n">
        <v>14503</v>
      </c>
      <c r="E1053" s="26" t="n">
        <v>3284</v>
      </c>
      <c r="F1053" s="26" t="n">
        <v>6907</v>
      </c>
      <c r="G1053" s="26" t="n">
        <v>17574</v>
      </c>
      <c r="H1053" s="26" t="n">
        <v>6262</v>
      </c>
      <c r="I1053" s="26" t="n">
        <v>36652</v>
      </c>
      <c r="J1053" s="19" t="n">
        <v>53107.22516414136</v>
      </c>
      <c r="K1053" s="37" t="n">
        <v>0.2037269007102664</v>
      </c>
    </row>
    <row r="1054">
      <c r="A1054" s="34" t="inlineStr">
        <is>
          <t>AGA SPK-tilskudd</t>
        </is>
      </c>
      <c r="B1054" s="34" t="inlineStr">
        <is>
          <t>Region Sør</t>
        </is>
      </c>
      <c r="C1054" s="34" t="inlineStr">
        <is>
          <t>Avdeling Kjørbekk</t>
        </is>
      </c>
      <c r="D1054" s="18" t="n">
        <v>1006</v>
      </c>
      <c r="E1054" s="18" t="n">
        <v>992</v>
      </c>
      <c r="F1054" s="18" t="n">
        <v>2324</v>
      </c>
      <c r="G1054" s="18" t="n">
        <v>4783</v>
      </c>
      <c r="H1054" s="18" t="n">
        <v>10778</v>
      </c>
      <c r="I1054" s="18" t="n">
        <v>8306</v>
      </c>
      <c r="J1054" s="19" t="n">
        <v>12978.125</v>
      </c>
      <c r="K1054" s="35" t="n">
        <v>0.25</v>
      </c>
    </row>
    <row r="1055">
      <c r="A1055" s="36" t="inlineStr">
        <is>
          <t>AGA SPK-tilskudd</t>
        </is>
      </c>
      <c r="B1055" s="36" t="inlineStr">
        <is>
          <t>Region Sør</t>
        </is>
      </c>
      <c r="C1055" s="36" t="inlineStr">
        <is>
          <t>Avdeling Kjørbekk</t>
        </is>
      </c>
      <c r="D1055" s="26" t="n">
        <v>2709</v>
      </c>
      <c r="E1055" s="26" t="n"/>
      <c r="F1055" s="26" t="n">
        <v>6469</v>
      </c>
      <c r="G1055" s="26" t="n"/>
      <c r="H1055" s="26" t="n"/>
      <c r="I1055" s="26" t="n"/>
      <c r="J1055" s="19" t="n">
        <v>0</v>
      </c>
      <c r="K1055" s="37" t="n">
        <v>0.065</v>
      </c>
    </row>
    <row r="1056">
      <c r="A1056" s="34" t="inlineStr">
        <is>
          <t>AGA SPK-tilskudd</t>
        </is>
      </c>
      <c r="B1056" s="34" t="inlineStr">
        <is>
          <t>Region Sør</t>
        </is>
      </c>
      <c r="C1056" s="34" t="inlineStr">
        <is>
          <t>Avdeling Kjørbekk</t>
        </is>
      </c>
      <c r="D1056" s="18" t="n">
        <v>9000</v>
      </c>
      <c r="E1056" s="18" t="n"/>
      <c r="F1056" s="18" t="n"/>
      <c r="G1056" s="18" t="n"/>
      <c r="H1056" s="18" t="n"/>
      <c r="I1056" s="18" t="n"/>
      <c r="J1056" s="19" t="n">
        <v>0</v>
      </c>
      <c r="K1056" s="35" t="n">
        <v>0.065</v>
      </c>
    </row>
    <row r="1057">
      <c r="A1057" s="36" t="inlineStr">
        <is>
          <t>AGA SPK-tilskudd</t>
        </is>
      </c>
      <c r="B1057" s="36" t="inlineStr">
        <is>
          <t>Region Sør</t>
        </is>
      </c>
      <c r="C1057" s="36" t="inlineStr">
        <is>
          <t>Avdeling Kjørbekk</t>
        </is>
      </c>
      <c r="D1057" s="26" t="n">
        <v>-41528</v>
      </c>
      <c r="E1057" s="26" t="n">
        <v>-38675</v>
      </c>
      <c r="F1057" s="26" t="n">
        <v>-28903</v>
      </c>
      <c r="G1057" s="26" t="n">
        <v>-23768</v>
      </c>
      <c r="H1057" s="26" t="n">
        <v>-23893</v>
      </c>
      <c r="I1057" s="26" t="n">
        <v>-18600</v>
      </c>
      <c r="J1057" s="19" t="n">
        <v>-21096.585</v>
      </c>
      <c r="K1057" s="37" t="n">
        <v>0.065</v>
      </c>
    </row>
    <row r="1058">
      <c r="A1058" s="34" t="inlineStr">
        <is>
          <t>AGA SPK-tilskudd</t>
        </is>
      </c>
      <c r="B1058" s="34" t="inlineStr">
        <is>
          <t>Region Sør</t>
        </is>
      </c>
      <c r="C1058" s="34" t="inlineStr">
        <is>
          <t>Avdeling Kjørbekk</t>
        </is>
      </c>
      <c r="D1058" s="18" t="n"/>
      <c r="E1058" s="18" t="n"/>
      <c r="F1058" s="18" t="n"/>
      <c r="G1058" s="18" t="n"/>
      <c r="H1058" s="18" t="n">
        <v>-5000</v>
      </c>
      <c r="I1058" s="18" t="n"/>
      <c r="J1058" s="19" t="n">
        <v>0</v>
      </c>
      <c r="K1058" s="35" t="n">
        <v>0.065</v>
      </c>
    </row>
    <row r="1059">
      <c r="A1059" s="36" t="inlineStr">
        <is>
          <t>AGA SPK-tilskudd</t>
        </is>
      </c>
      <c r="B1059" s="36" t="inlineStr">
        <is>
          <t>Region Sør</t>
        </is>
      </c>
      <c r="C1059" s="36" t="inlineStr">
        <is>
          <t>Avdeling Kjørbekk</t>
        </is>
      </c>
      <c r="D1059" s="26" t="n">
        <v>-56235</v>
      </c>
      <c r="E1059" s="26" t="n">
        <v>-36890</v>
      </c>
      <c r="F1059" s="26" t="n"/>
      <c r="G1059" s="26" t="n"/>
      <c r="H1059" s="26" t="n">
        <v>-170100</v>
      </c>
      <c r="I1059" s="26" t="n"/>
      <c r="J1059" s="19" t="n">
        <v>0</v>
      </c>
      <c r="K1059" s="37" t="n">
        <v>0.065</v>
      </c>
    </row>
    <row r="1060">
      <c r="A1060" s="34" t="inlineStr">
        <is>
          <t>AGA SPK-tilskudd</t>
        </is>
      </c>
      <c r="B1060" s="34" t="inlineStr">
        <is>
          <t>Region Sør</t>
        </is>
      </c>
      <c r="C1060" s="34" t="inlineStr">
        <is>
          <t>Avdeling Kjørbekk</t>
        </is>
      </c>
      <c r="D1060" s="18" t="n">
        <v>-522634</v>
      </c>
      <c r="E1060" s="18" t="n">
        <v>-545555</v>
      </c>
      <c r="F1060" s="18" t="n">
        <v>-1409112</v>
      </c>
      <c r="G1060" s="18" t="n">
        <v>-820398</v>
      </c>
      <c r="H1060" s="18" t="n">
        <v>-1683076</v>
      </c>
      <c r="I1060" s="18" t="n">
        <v>-1407765</v>
      </c>
      <c r="J1060" s="19" t="n">
        <v>-1596722.257125</v>
      </c>
      <c r="K1060" s="35" t="n">
        <v>0.065</v>
      </c>
    </row>
    <row r="1061">
      <c r="A1061" s="36" t="inlineStr">
        <is>
          <t>AGA SPK-tilskudd</t>
        </is>
      </c>
      <c r="B1061" s="36" t="inlineStr">
        <is>
          <t>Region Sør</t>
        </is>
      </c>
      <c r="C1061" s="36" t="inlineStr">
        <is>
          <t>Avdeling Larønningen</t>
        </is>
      </c>
      <c r="D1061" s="26" t="n">
        <v>166066</v>
      </c>
      <c r="E1061" s="26" t="n">
        <v>86047</v>
      </c>
      <c r="F1061" s="26" t="n"/>
      <c r="G1061" s="26" t="n"/>
      <c r="H1061" s="26" t="n"/>
      <c r="I1061" s="26" t="n"/>
      <c r="J1061" s="19" t="n">
        <v>0</v>
      </c>
      <c r="K1061" s="37" t="n">
        <v>0.065</v>
      </c>
    </row>
    <row r="1062">
      <c r="A1062" s="34" t="inlineStr">
        <is>
          <t>AGA SPK-tilskudd</t>
        </is>
      </c>
      <c r="B1062" s="34" t="inlineStr">
        <is>
          <t>Region Sør</t>
        </is>
      </c>
      <c r="C1062" s="34" t="inlineStr">
        <is>
          <t>Avdeling Larønningen</t>
        </is>
      </c>
      <c r="D1062" s="18" t="n">
        <v>268318</v>
      </c>
      <c r="E1062" s="18" t="n">
        <v>51725</v>
      </c>
      <c r="F1062" s="18" t="n"/>
      <c r="G1062" s="18" t="n"/>
      <c r="H1062" s="18" t="n"/>
      <c r="I1062" s="18" t="n"/>
      <c r="J1062" s="19" t="n">
        <v>0</v>
      </c>
      <c r="K1062" s="35" t="n">
        <v>0.065</v>
      </c>
    </row>
    <row r="1063">
      <c r="A1063" s="36" t="inlineStr">
        <is>
          <t>AGA SPK-tilskudd</t>
        </is>
      </c>
      <c r="B1063" s="36" t="inlineStr">
        <is>
          <t>Region Sør</t>
        </is>
      </c>
      <c r="C1063" s="36" t="inlineStr">
        <is>
          <t>Avdeling Larønningen</t>
        </is>
      </c>
      <c r="D1063" s="26" t="n">
        <v>41361</v>
      </c>
      <c r="E1063" s="26" t="n">
        <v>18357</v>
      </c>
      <c r="F1063" s="26" t="n"/>
      <c r="G1063" s="26" t="n"/>
      <c r="H1063" s="26" t="n"/>
      <c r="I1063" s="26" t="n"/>
      <c r="J1063" s="19" t="n">
        <v>0</v>
      </c>
      <c r="K1063" s="37" t="n">
        <v>0.065</v>
      </c>
    </row>
    <row r="1064">
      <c r="A1064" s="34" t="inlineStr">
        <is>
          <t>AGA SPK-tilskudd</t>
        </is>
      </c>
      <c r="B1064" s="34" t="inlineStr">
        <is>
          <t>Region Sør</t>
        </is>
      </c>
      <c r="C1064" s="34" t="inlineStr">
        <is>
          <t>Avdeling Larønningen</t>
        </is>
      </c>
      <c r="D1064" s="18" t="n">
        <v>49000</v>
      </c>
      <c r="E1064" s="18" t="n">
        <v>27199</v>
      </c>
      <c r="F1064" s="18" t="n"/>
      <c r="G1064" s="18" t="n"/>
      <c r="H1064" s="18" t="n"/>
      <c r="I1064" s="18" t="n"/>
      <c r="J1064" s="19" t="n">
        <v>0</v>
      </c>
      <c r="K1064" s="35" t="n">
        <v>0.065</v>
      </c>
    </row>
    <row r="1065">
      <c r="A1065" s="36" t="inlineStr">
        <is>
          <t>AGA SPK-tilskudd</t>
        </is>
      </c>
      <c r="B1065" s="36" t="inlineStr">
        <is>
          <t>Region Sør</t>
        </is>
      </c>
      <c r="C1065" s="36" t="inlineStr">
        <is>
          <t>Avdeling Larønningen</t>
        </is>
      </c>
      <c r="D1065" s="26" t="n">
        <v>570</v>
      </c>
      <c r="E1065" s="26" t="n"/>
      <c r="F1065" s="26" t="n"/>
      <c r="G1065" s="26" t="n"/>
      <c r="H1065" s="26" t="n"/>
      <c r="I1065" s="26" t="n"/>
      <c r="J1065" s="19" t="n">
        <v>0</v>
      </c>
      <c r="K1065" s="37" t="n">
        <v>0.065</v>
      </c>
    </row>
    <row r="1066">
      <c r="A1066" s="34" t="inlineStr">
        <is>
          <t>AGA SPK-tilskudd</t>
        </is>
      </c>
      <c r="B1066" s="34" t="inlineStr">
        <is>
          <t>Region Sør</t>
        </is>
      </c>
      <c r="C1066" s="34" t="inlineStr">
        <is>
          <t>Avdeling Larønningen</t>
        </is>
      </c>
      <c r="D1066" s="18" t="n">
        <v>6682</v>
      </c>
      <c r="E1066" s="18" t="n">
        <v>521</v>
      </c>
      <c r="F1066" s="18" t="n"/>
      <c r="G1066" s="18" t="n"/>
      <c r="H1066" s="18" t="n"/>
      <c r="I1066" s="18" t="n"/>
      <c r="J1066" s="19" t="n">
        <v>0</v>
      </c>
      <c r="K1066" s="35" t="n">
        <v>0.065</v>
      </c>
    </row>
    <row r="1067">
      <c r="A1067" s="36" t="inlineStr">
        <is>
          <t>AGA SPK-tilskudd</t>
        </is>
      </c>
      <c r="B1067" s="36" t="inlineStr">
        <is>
          <t>Region Sør</t>
        </is>
      </c>
      <c r="C1067" s="36" t="inlineStr">
        <is>
          <t>Avdeling Larønningen</t>
        </is>
      </c>
      <c r="D1067" s="26" t="n">
        <v>2390</v>
      </c>
      <c r="E1067" s="26" t="n"/>
      <c r="F1067" s="26" t="n"/>
      <c r="G1067" s="26" t="n"/>
      <c r="H1067" s="26" t="n"/>
      <c r="I1067" s="26" t="n"/>
      <c r="J1067" s="19" t="n">
        <v>0</v>
      </c>
      <c r="K1067" s="37" t="n">
        <v>0.065</v>
      </c>
    </row>
    <row r="1068">
      <c r="A1068" s="34" t="inlineStr">
        <is>
          <t>AGA SPK-tilskudd</t>
        </is>
      </c>
      <c r="B1068" s="34" t="inlineStr">
        <is>
          <t>Region Sør</t>
        </is>
      </c>
      <c r="C1068" s="34" t="inlineStr">
        <is>
          <t>Avdeling Larønningen</t>
        </is>
      </c>
      <c r="D1068" s="18" t="n">
        <v>12075</v>
      </c>
      <c r="E1068" s="18" t="n">
        <v>490</v>
      </c>
      <c r="F1068" s="18" t="n"/>
      <c r="G1068" s="18" t="n"/>
      <c r="H1068" s="18" t="n"/>
      <c r="I1068" s="18" t="n"/>
      <c r="J1068" s="19" t="n">
        <v>0</v>
      </c>
      <c r="K1068" s="35" t="n">
        <v>0.065</v>
      </c>
    </row>
    <row r="1069">
      <c r="A1069" s="36" t="inlineStr">
        <is>
          <t>AGA SPK-tilskudd</t>
        </is>
      </c>
      <c r="B1069" s="36" t="inlineStr">
        <is>
          <t>Region Sør</t>
        </is>
      </c>
      <c r="C1069" s="36" t="inlineStr">
        <is>
          <t>Avdeling Larønningen</t>
        </is>
      </c>
      <c r="D1069" s="26" t="n">
        <v>1688</v>
      </c>
      <c r="E1069" s="26" t="n">
        <v>65</v>
      </c>
      <c r="F1069" s="26" t="n"/>
      <c r="G1069" s="26" t="n"/>
      <c r="H1069" s="26" t="n"/>
      <c r="I1069" s="26" t="n"/>
      <c r="J1069" s="19" t="n">
        <v>0</v>
      </c>
      <c r="K1069" s="37" t="n">
        <v>0.065</v>
      </c>
    </row>
    <row r="1070">
      <c r="A1070" s="34" t="inlineStr">
        <is>
          <t>AGA SPK-tilskudd</t>
        </is>
      </c>
      <c r="B1070" s="34" t="inlineStr">
        <is>
          <t>Region Sør</t>
        </is>
      </c>
      <c r="C1070" s="34" t="inlineStr">
        <is>
          <t>Avdeling Larønningen</t>
        </is>
      </c>
      <c r="D1070" s="18" t="n">
        <v>7540</v>
      </c>
      <c r="E1070" s="18" t="n">
        <v>1500</v>
      </c>
      <c r="F1070" s="18" t="n"/>
      <c r="G1070" s="18" t="n"/>
      <c r="H1070" s="18" t="n"/>
      <c r="I1070" s="18" t="n"/>
      <c r="J1070" s="19" t="n">
        <v>0</v>
      </c>
      <c r="K1070" s="35" t="n">
        <v>0.065</v>
      </c>
    </row>
    <row r="1071">
      <c r="A1071" s="36" t="inlineStr">
        <is>
          <t>AGA SPK-tilskudd</t>
        </is>
      </c>
      <c r="B1071" s="36" t="inlineStr">
        <is>
          <t>Region Sør</t>
        </is>
      </c>
      <c r="C1071" s="36" t="inlineStr">
        <is>
          <t>Avdeling Larønningen</t>
        </is>
      </c>
      <c r="D1071" s="26" t="n">
        <v>15443</v>
      </c>
      <c r="E1071" s="26" t="n"/>
      <c r="F1071" s="26" t="n"/>
      <c r="G1071" s="26" t="n"/>
      <c r="H1071" s="26" t="n"/>
      <c r="I1071" s="26" t="n"/>
      <c r="J1071" s="19" t="n">
        <v>0</v>
      </c>
      <c r="K1071" s="37" t="n">
        <v>0.065</v>
      </c>
    </row>
    <row r="1072">
      <c r="A1072" s="34" t="inlineStr">
        <is>
          <t>AGA SPK-tilskudd</t>
        </is>
      </c>
      <c r="B1072" s="34" t="inlineStr">
        <is>
          <t>Region Sør</t>
        </is>
      </c>
      <c r="C1072" s="34" t="inlineStr">
        <is>
          <t>Avdeling Larønningen</t>
        </is>
      </c>
      <c r="D1072" s="18" t="n">
        <v>-11364</v>
      </c>
      <c r="E1072" s="18" t="n">
        <v>-4528</v>
      </c>
      <c r="F1072" s="18" t="n"/>
      <c r="G1072" s="18" t="n"/>
      <c r="H1072" s="18" t="n"/>
      <c r="I1072" s="18" t="n"/>
      <c r="J1072" s="19" t="n">
        <v>0</v>
      </c>
      <c r="K1072" s="35" t="n">
        <v>0.065</v>
      </c>
    </row>
    <row r="1073">
      <c r="A1073" s="36" t="inlineStr">
        <is>
          <t>AGA SPK-tilskudd</t>
        </is>
      </c>
      <c r="B1073" s="36" t="inlineStr">
        <is>
          <t>Region Sør</t>
        </is>
      </c>
      <c r="C1073" s="36" t="inlineStr">
        <is>
          <t>Avdeling Larønningen</t>
        </is>
      </c>
      <c r="D1073" s="26" t="n">
        <v>-921411</v>
      </c>
      <c r="E1073" s="26" t="n">
        <v>-708229</v>
      </c>
      <c r="F1073" s="26" t="n"/>
      <c r="G1073" s="26" t="n"/>
      <c r="H1073" s="26" t="n"/>
      <c r="I1073" s="26" t="n"/>
      <c r="J1073" s="19" t="n">
        <v>0</v>
      </c>
      <c r="K1073" s="37" t="n">
        <v>0.065</v>
      </c>
    </row>
    <row r="1074">
      <c r="A1074" s="34" t="inlineStr">
        <is>
          <t>AGA SPK-tilskudd</t>
        </is>
      </c>
      <c r="B1074" s="34" t="inlineStr">
        <is>
          <t>Region Sør</t>
        </is>
      </c>
      <c r="C1074" s="34" t="inlineStr">
        <is>
          <t>Avdeling Miljøheimen</t>
        </is>
      </c>
      <c r="D1074" s="18" t="n">
        <v>111115</v>
      </c>
      <c r="E1074" s="18" t="n">
        <v>111123</v>
      </c>
      <c r="F1074" s="18" t="n">
        <v>96053</v>
      </c>
      <c r="G1074" s="18" t="n">
        <v>100231</v>
      </c>
      <c r="H1074" s="18" t="n">
        <v>107263</v>
      </c>
      <c r="I1074" s="18" t="n">
        <v>134354</v>
      </c>
      <c r="J1074" s="19" t="n">
        <v>144957.8586566934</v>
      </c>
      <c r="K1074" s="35" t="n">
        <v>0.03871303583072971</v>
      </c>
    </row>
    <row r="1075">
      <c r="A1075" s="36" t="inlineStr">
        <is>
          <t>AGA SPK-tilskudd</t>
        </is>
      </c>
      <c r="B1075" s="36" t="inlineStr">
        <is>
          <t>Region Sør</t>
        </is>
      </c>
      <c r="C1075" s="36" t="inlineStr">
        <is>
          <t>Avdeling Miljøheimen</t>
        </is>
      </c>
      <c r="D1075" s="26" t="n">
        <v>192465</v>
      </c>
      <c r="E1075" s="26" t="n">
        <v>114281</v>
      </c>
      <c r="F1075" s="26" t="n">
        <v>152499</v>
      </c>
      <c r="G1075" s="26" t="n">
        <v>101822</v>
      </c>
      <c r="H1075" s="26" t="n">
        <v>24864</v>
      </c>
      <c r="I1075" s="26" t="n">
        <v>151178</v>
      </c>
      <c r="J1075" s="19" t="n">
        <v>137259.7893928408</v>
      </c>
      <c r="K1075" s="37" t="n">
        <v>-0.0471437952993905</v>
      </c>
    </row>
    <row r="1076">
      <c r="A1076" s="34" t="inlineStr">
        <is>
          <t>AGA SPK-tilskudd</t>
        </is>
      </c>
      <c r="B1076" s="34" t="inlineStr">
        <is>
          <t>Region Sør</t>
        </is>
      </c>
      <c r="C1076" s="34" t="inlineStr">
        <is>
          <t>Avdeling Miljøheimen</t>
        </is>
      </c>
      <c r="D1076" s="18" t="n">
        <v>123765</v>
      </c>
      <c r="E1076" s="18" t="n">
        <v>32538</v>
      </c>
      <c r="F1076" s="18" t="n">
        <v>100984</v>
      </c>
      <c r="G1076" s="18" t="n">
        <v>142532</v>
      </c>
      <c r="H1076" s="18" t="n">
        <v>331049</v>
      </c>
      <c r="I1076" s="18" t="n">
        <v>104465</v>
      </c>
      <c r="J1076" s="19" t="n">
        <v>97615.77206735873</v>
      </c>
      <c r="K1076" s="35" t="n">
        <v>-0.03333812040402728</v>
      </c>
    </row>
    <row r="1077">
      <c r="A1077" s="36" t="inlineStr">
        <is>
          <t>AGA SPK-tilskudd</t>
        </is>
      </c>
      <c r="B1077" s="36" t="inlineStr">
        <is>
          <t>Region Sør</t>
        </is>
      </c>
      <c r="C1077" s="36" t="inlineStr">
        <is>
          <t>Avdeling Miljøheimen</t>
        </is>
      </c>
      <c r="D1077" s="26" t="n">
        <v>39100</v>
      </c>
      <c r="E1077" s="26" t="n">
        <v>36606</v>
      </c>
      <c r="F1077" s="26" t="n">
        <v>34663</v>
      </c>
      <c r="G1077" s="26" t="n">
        <v>50876</v>
      </c>
      <c r="H1077" s="26" t="n">
        <v>52719</v>
      </c>
      <c r="I1077" s="26" t="n">
        <v>66313</v>
      </c>
      <c r="J1077" s="19" t="n">
        <v>81915.75590646583</v>
      </c>
      <c r="K1077" s="37" t="n">
        <v>0.1114358054597318</v>
      </c>
    </row>
    <row r="1078">
      <c r="A1078" s="34" t="inlineStr">
        <is>
          <t>AGA SPK-tilskudd</t>
        </is>
      </c>
      <c r="B1078" s="34" t="inlineStr">
        <is>
          <t>Region Sør</t>
        </is>
      </c>
      <c r="C1078" s="34" t="inlineStr">
        <is>
          <t>Avdeling Miljøheimen</t>
        </is>
      </c>
      <c r="D1078" s="18" t="n">
        <v>570</v>
      </c>
      <c r="E1078" s="18" t="n"/>
      <c r="F1078" s="18" t="n"/>
      <c r="G1078" s="18" t="n"/>
      <c r="H1078" s="18" t="n"/>
      <c r="I1078" s="18" t="n"/>
      <c r="J1078" s="19" t="n">
        <v>0</v>
      </c>
      <c r="K1078" s="35" t="n">
        <v>0.065</v>
      </c>
    </row>
    <row r="1079">
      <c r="A1079" s="36" t="inlineStr">
        <is>
          <t>AGA SPK-tilskudd</t>
        </is>
      </c>
      <c r="B1079" s="36" t="inlineStr">
        <is>
          <t>Region Sør</t>
        </is>
      </c>
      <c r="C1079" s="36" t="inlineStr">
        <is>
          <t>Avdeling Miljøheimen</t>
        </is>
      </c>
      <c r="D1079" s="26" t="n">
        <v>10671</v>
      </c>
      <c r="E1079" s="26" t="n">
        <v>8246</v>
      </c>
      <c r="F1079" s="26" t="n">
        <v>20419</v>
      </c>
      <c r="G1079" s="26" t="n">
        <v>20786</v>
      </c>
      <c r="H1079" s="26" t="n">
        <v>25179</v>
      </c>
      <c r="I1079" s="26" t="n">
        <v>11478</v>
      </c>
      <c r="J1079" s="19" t="n">
        <v>11817.63740549024</v>
      </c>
      <c r="K1079" s="37" t="n">
        <v>0.01468728924467988</v>
      </c>
    </row>
    <row r="1080">
      <c r="A1080" s="34" t="inlineStr">
        <is>
          <t>AGA SPK-tilskudd</t>
        </is>
      </c>
      <c r="B1080" s="34" t="inlineStr">
        <is>
          <t>Region Sør</t>
        </is>
      </c>
      <c r="C1080" s="34" t="inlineStr">
        <is>
          <t>Avdeling Miljøheimen</t>
        </is>
      </c>
      <c r="D1080" s="18" t="n">
        <v>10974</v>
      </c>
      <c r="E1080" s="18" t="n">
        <v>15935</v>
      </c>
      <c r="F1080" s="18" t="n">
        <v>25049</v>
      </c>
      <c r="G1080" s="18" t="n">
        <v>26402</v>
      </c>
      <c r="H1080" s="18" t="n">
        <v>49092</v>
      </c>
      <c r="I1080" s="18" t="n">
        <v>13407</v>
      </c>
      <c r="J1080" s="19" t="n">
        <v>14525.07122895184</v>
      </c>
      <c r="K1080" s="35" t="n">
        <v>0.040862424664174</v>
      </c>
    </row>
    <row r="1081">
      <c r="A1081" s="36" t="inlineStr">
        <is>
          <t>AGA SPK-tilskudd</t>
        </is>
      </c>
      <c r="B1081" s="36" t="inlineStr">
        <is>
          <t>Region Sør</t>
        </is>
      </c>
      <c r="C1081" s="36" t="inlineStr">
        <is>
          <t>Avdeling Miljøheimen</t>
        </is>
      </c>
      <c r="D1081" s="26" t="n">
        <v>6750</v>
      </c>
      <c r="E1081" s="26" t="n">
        <v>12045</v>
      </c>
      <c r="F1081" s="26" t="n">
        <v>30614</v>
      </c>
      <c r="G1081" s="26" t="n">
        <v>8147</v>
      </c>
      <c r="H1081" s="26" t="n">
        <v>4835</v>
      </c>
      <c r="I1081" s="26" t="n">
        <v>7641</v>
      </c>
      <c r="J1081" s="19" t="n">
        <v>8029.50495467209</v>
      </c>
      <c r="K1081" s="37" t="n">
        <v>0.02510720355572893</v>
      </c>
    </row>
    <row r="1082">
      <c r="A1082" s="34" t="inlineStr">
        <is>
          <t>AGA SPK-tilskudd</t>
        </is>
      </c>
      <c r="B1082" s="34" t="inlineStr">
        <is>
          <t>Region Sør</t>
        </is>
      </c>
      <c r="C1082" s="34" t="inlineStr">
        <is>
          <t>Avdeling Miljøheimen</t>
        </is>
      </c>
      <c r="D1082" s="18" t="n">
        <v>1079</v>
      </c>
      <c r="E1082" s="18" t="n">
        <v>1038</v>
      </c>
      <c r="F1082" s="18" t="n">
        <v>4068</v>
      </c>
      <c r="G1082" s="18" t="n">
        <v>10775</v>
      </c>
      <c r="H1082" s="18" t="n">
        <v>12753</v>
      </c>
      <c r="I1082" s="18" t="n">
        <v>2424</v>
      </c>
      <c r="J1082" s="19" t="n">
        <v>3350.711867351826</v>
      </c>
      <c r="K1082" s="35" t="n">
        <v>0.1757154740710973</v>
      </c>
    </row>
    <row r="1083">
      <c r="A1083" s="36" t="inlineStr">
        <is>
          <t>AGA SPK-tilskudd</t>
        </is>
      </c>
      <c r="B1083" s="36" t="inlineStr">
        <is>
          <t>Region Sør</t>
        </is>
      </c>
      <c r="C1083" s="36" t="inlineStr">
        <is>
          <t>Avdeling Miljøheimen</t>
        </is>
      </c>
      <c r="D1083" s="26" t="n">
        <v>21339</v>
      </c>
      <c r="E1083" s="26" t="n">
        <v>8692</v>
      </c>
      <c r="F1083" s="26" t="n">
        <v>14840</v>
      </c>
      <c r="G1083" s="26" t="n">
        <v>17268</v>
      </c>
      <c r="H1083" s="26" t="n">
        <v>31965</v>
      </c>
      <c r="I1083" s="26" t="n">
        <v>11979</v>
      </c>
      <c r="J1083" s="19" t="n">
        <v>9508.656646895004</v>
      </c>
      <c r="K1083" s="37" t="n">
        <v>-0.1090582712967023</v>
      </c>
    </row>
    <row r="1084">
      <c r="A1084" s="34" t="inlineStr">
        <is>
          <t>AGA SPK-tilskudd</t>
        </is>
      </c>
      <c r="B1084" s="34" t="inlineStr">
        <is>
          <t>Region Sør</t>
        </is>
      </c>
      <c r="C1084" s="34" t="inlineStr">
        <is>
          <t>Avdeling Miljøheimen</t>
        </is>
      </c>
      <c r="D1084" s="18" t="n"/>
      <c r="E1084" s="18" t="n"/>
      <c r="F1084" s="18" t="n"/>
      <c r="G1084" s="18" t="n"/>
      <c r="H1084" s="18" t="n"/>
      <c r="I1084" s="18" t="n">
        <v>14106</v>
      </c>
      <c r="J1084" s="19" t="n">
        <v>15999.37785</v>
      </c>
      <c r="K1084" s="35" t="n">
        <v>0.065</v>
      </c>
    </row>
    <row r="1085">
      <c r="A1085" s="36" t="inlineStr">
        <is>
          <t>AGA SPK-tilskudd</t>
        </is>
      </c>
      <c r="B1085" s="36" t="inlineStr">
        <is>
          <t>Region Sør</t>
        </is>
      </c>
      <c r="C1085" s="36" t="inlineStr">
        <is>
          <t>Avdeling Miljøheimen</t>
        </is>
      </c>
      <c r="D1085" s="26" t="n">
        <v>1209</v>
      </c>
      <c r="E1085" s="26" t="n">
        <v>-46704</v>
      </c>
      <c r="F1085" s="26" t="n">
        <v>-41066</v>
      </c>
      <c r="G1085" s="26" t="n">
        <v>-31690</v>
      </c>
      <c r="H1085" s="26" t="n">
        <v>-17454</v>
      </c>
      <c r="I1085" s="26" t="n">
        <v>9117</v>
      </c>
      <c r="J1085" s="19" t="n">
        <v>14245.3125</v>
      </c>
      <c r="K1085" s="37" t="n">
        <v>0.25</v>
      </c>
    </row>
    <row r="1086">
      <c r="A1086" s="34" t="inlineStr">
        <is>
          <t>AGA SPK-tilskudd</t>
        </is>
      </c>
      <c r="B1086" s="34" t="inlineStr">
        <is>
          <t>Region Sør</t>
        </is>
      </c>
      <c r="C1086" s="34" t="inlineStr">
        <is>
          <t>Avdeling Miljøheimen</t>
        </is>
      </c>
      <c r="D1086" s="18" t="n">
        <v>-275408</v>
      </c>
      <c r="E1086" s="18" t="n">
        <v>-64486</v>
      </c>
      <c r="F1086" s="18" t="n">
        <v>-89643</v>
      </c>
      <c r="G1086" s="18" t="n">
        <v>-469398</v>
      </c>
      <c r="H1086" s="18" t="n">
        <v>-226169</v>
      </c>
      <c r="I1086" s="18" t="n">
        <v>-544825</v>
      </c>
      <c r="J1086" s="19" t="n">
        <v>-617954.1356249999</v>
      </c>
      <c r="K1086" s="35" t="n">
        <v>0.065</v>
      </c>
    </row>
    <row r="1087">
      <c r="A1087" s="36" t="inlineStr">
        <is>
          <t>AGA SPK-tilskudd</t>
        </is>
      </c>
      <c r="B1087" s="36" t="inlineStr">
        <is>
          <t>Region Sør</t>
        </is>
      </c>
      <c r="C1087" s="36" t="inlineStr">
        <is>
          <t>Avdeling Miljøheimen</t>
        </is>
      </c>
      <c r="D1087" s="26" t="n">
        <v>-467730</v>
      </c>
      <c r="E1087" s="26" t="n">
        <v>-657609</v>
      </c>
      <c r="F1087" s="26" t="n">
        <v>-857952</v>
      </c>
      <c r="G1087" s="26" t="n">
        <v>-846951</v>
      </c>
      <c r="H1087" s="26" t="n">
        <v>-865792</v>
      </c>
      <c r="I1087" s="26" t="n">
        <v>-941327</v>
      </c>
      <c r="J1087" s="19" t="n">
        <v>-1067676.616575</v>
      </c>
      <c r="K1087" s="37" t="n">
        <v>0.065</v>
      </c>
    </row>
    <row r="1088">
      <c r="A1088" s="34" t="inlineStr">
        <is>
          <t>AGA SPK-tilskudd</t>
        </is>
      </c>
      <c r="B1088" s="34" t="inlineStr">
        <is>
          <t>Region Sør</t>
        </is>
      </c>
      <c r="C1088" s="34" t="inlineStr">
        <is>
          <t>Avdeling Nes</t>
        </is>
      </c>
      <c r="D1088" s="18" t="n">
        <v>181413</v>
      </c>
      <c r="E1088" s="18" t="n">
        <v>179264</v>
      </c>
      <c r="F1088" s="18" t="n">
        <v>150118</v>
      </c>
      <c r="G1088" s="18" t="n">
        <v>148754</v>
      </c>
      <c r="H1088" s="18" t="n">
        <v>187781</v>
      </c>
      <c r="I1088" s="18" t="n">
        <v>202160</v>
      </c>
      <c r="J1088" s="19" t="n">
        <v>211108.6159015975</v>
      </c>
      <c r="K1088" s="35" t="n">
        <v>0.02189286000095025</v>
      </c>
    </row>
    <row r="1089">
      <c r="A1089" s="36" t="inlineStr">
        <is>
          <t>AGA SPK-tilskudd</t>
        </is>
      </c>
      <c r="B1089" s="36" t="inlineStr">
        <is>
          <t>Region Sør</t>
        </is>
      </c>
      <c r="C1089" s="36" t="inlineStr">
        <is>
          <t>Avdeling Nes</t>
        </is>
      </c>
      <c r="D1089" s="26" t="n">
        <v>534684</v>
      </c>
      <c r="E1089" s="26" t="n">
        <v>913913</v>
      </c>
      <c r="F1089" s="26" t="n">
        <v>387981</v>
      </c>
      <c r="G1089" s="26" t="n">
        <v>381069</v>
      </c>
      <c r="H1089" s="26" t="n">
        <v>-70825</v>
      </c>
      <c r="I1089" s="26" t="n">
        <v>108953</v>
      </c>
      <c r="J1089" s="19" t="n">
        <v>61286.0625</v>
      </c>
      <c r="K1089" s="37" t="n">
        <v>-0.25</v>
      </c>
    </row>
    <row r="1090">
      <c r="A1090" s="34" t="inlineStr">
        <is>
          <t>AGA SPK-tilskudd</t>
        </is>
      </c>
      <c r="B1090" s="34" t="inlineStr">
        <is>
          <t>Region Sør</t>
        </is>
      </c>
      <c r="C1090" s="34" t="inlineStr">
        <is>
          <t>Avdeling Nes</t>
        </is>
      </c>
      <c r="D1090" s="18" t="n">
        <v>9105</v>
      </c>
      <c r="E1090" s="18" t="n">
        <v>9929</v>
      </c>
      <c r="F1090" s="18" t="n">
        <v>91563</v>
      </c>
      <c r="G1090" s="18" t="n">
        <v>38107</v>
      </c>
      <c r="H1090" s="18" t="n">
        <v>47641</v>
      </c>
      <c r="I1090" s="18" t="n">
        <v>75095</v>
      </c>
      <c r="J1090" s="19" t="n">
        <v>117335.9375</v>
      </c>
      <c r="K1090" s="35" t="n">
        <v>0.25</v>
      </c>
    </row>
    <row r="1091">
      <c r="A1091" s="36" t="inlineStr">
        <is>
          <t>AGA SPK-tilskudd</t>
        </is>
      </c>
      <c r="B1091" s="36" t="inlineStr">
        <is>
          <t>Region Sør</t>
        </is>
      </c>
      <c r="C1091" s="36" t="inlineStr">
        <is>
          <t>Avdeling Nes</t>
        </is>
      </c>
      <c r="D1091" s="26" t="n">
        <v>49300</v>
      </c>
      <c r="E1091" s="26" t="n">
        <v>55011</v>
      </c>
      <c r="F1091" s="26" t="n">
        <v>51330</v>
      </c>
      <c r="G1091" s="26" t="n">
        <v>60269</v>
      </c>
      <c r="H1091" s="26" t="n">
        <v>81030</v>
      </c>
      <c r="I1091" s="26" t="n">
        <v>85204</v>
      </c>
      <c r="J1091" s="19" t="n">
        <v>106048.665909562</v>
      </c>
      <c r="K1091" s="37" t="n">
        <v>0.1156362388878636</v>
      </c>
    </row>
    <row r="1092">
      <c r="A1092" s="34" t="inlineStr">
        <is>
          <t>AGA SPK-tilskudd</t>
        </is>
      </c>
      <c r="B1092" s="34" t="inlineStr">
        <is>
          <t>Region Sør</t>
        </is>
      </c>
      <c r="C1092" s="34" t="inlineStr">
        <is>
          <t>Avdeling Nes</t>
        </is>
      </c>
      <c r="D1092" s="18" t="n"/>
      <c r="E1092" s="18" t="n"/>
      <c r="F1092" s="18" t="n">
        <v>9557</v>
      </c>
      <c r="G1092" s="18" t="n">
        <v>39969</v>
      </c>
      <c r="H1092" s="18" t="n">
        <v>100089</v>
      </c>
      <c r="I1092" s="18" t="n">
        <v>21938</v>
      </c>
      <c r="J1092" s="19" t="n">
        <v>24882.62805</v>
      </c>
      <c r="K1092" s="35" t="n">
        <v>0.065</v>
      </c>
    </row>
    <row r="1093">
      <c r="A1093" s="36" t="inlineStr">
        <is>
          <t>AGA SPK-tilskudd</t>
        </is>
      </c>
      <c r="B1093" s="36" t="inlineStr">
        <is>
          <t>Region Sør</t>
        </is>
      </c>
      <c r="C1093" s="36" t="inlineStr">
        <is>
          <t>Avdeling Nes</t>
        </is>
      </c>
      <c r="D1093" s="26" t="n">
        <v>6722</v>
      </c>
      <c r="E1093" s="26" t="n">
        <v>5733</v>
      </c>
      <c r="F1093" s="26" t="n">
        <v>11933</v>
      </c>
      <c r="G1093" s="26" t="n">
        <v>19004</v>
      </c>
      <c r="H1093" s="26" t="n">
        <v>15607</v>
      </c>
      <c r="I1093" s="26" t="n">
        <v>17770</v>
      </c>
      <c r="J1093" s="19" t="n">
        <v>26215.7927873398</v>
      </c>
      <c r="K1093" s="37" t="n">
        <v>0.2146126052952133</v>
      </c>
    </row>
    <row r="1094">
      <c r="A1094" s="34" t="inlineStr">
        <is>
          <t>AGA SPK-tilskudd</t>
        </is>
      </c>
      <c r="B1094" s="34" t="inlineStr">
        <is>
          <t>Region Sør</t>
        </is>
      </c>
      <c r="C1094" s="34" t="inlineStr">
        <is>
          <t>Avdeling Nes</t>
        </is>
      </c>
      <c r="D1094" s="18" t="n">
        <v>75</v>
      </c>
      <c r="E1094" s="18" t="n">
        <v>1595</v>
      </c>
      <c r="F1094" s="18" t="n">
        <v>6483</v>
      </c>
      <c r="G1094" s="18" t="n">
        <v>10450</v>
      </c>
      <c r="H1094" s="18" t="n">
        <v>2568</v>
      </c>
      <c r="I1094" s="18" t="n">
        <v>8335</v>
      </c>
      <c r="J1094" s="19" t="n">
        <v>13023.4375</v>
      </c>
      <c r="K1094" s="35" t="n">
        <v>0.25</v>
      </c>
    </row>
    <row r="1095">
      <c r="A1095" s="36" t="inlineStr">
        <is>
          <t>AGA SPK-tilskudd</t>
        </is>
      </c>
      <c r="B1095" s="36" t="inlineStr">
        <is>
          <t>Region Sør</t>
        </is>
      </c>
      <c r="C1095" s="36" t="inlineStr">
        <is>
          <t>Avdeling Nes</t>
        </is>
      </c>
      <c r="D1095" s="26" t="n">
        <v>1821</v>
      </c>
      <c r="E1095" s="26" t="n"/>
      <c r="F1095" s="26" t="n">
        <v>3431</v>
      </c>
      <c r="G1095" s="26" t="n"/>
      <c r="H1095" s="26" t="n"/>
      <c r="I1095" s="26" t="n">
        <v>200</v>
      </c>
      <c r="J1095" s="19" t="n">
        <v>112.5</v>
      </c>
      <c r="K1095" s="37" t="n">
        <v>-0.25</v>
      </c>
    </row>
    <row r="1096">
      <c r="A1096" s="34" t="inlineStr">
        <is>
          <t>AGA SPK-tilskudd</t>
        </is>
      </c>
      <c r="B1096" s="34" t="inlineStr">
        <is>
          <t>Region Sør</t>
        </is>
      </c>
      <c r="C1096" s="34" t="inlineStr">
        <is>
          <t>Avdeling Nes</t>
        </is>
      </c>
      <c r="D1096" s="18" t="n">
        <v>23369</v>
      </c>
      <c r="E1096" s="18" t="n">
        <v>8246</v>
      </c>
      <c r="F1096" s="18" t="n">
        <v>17957</v>
      </c>
      <c r="G1096" s="18" t="n">
        <v>12806</v>
      </c>
      <c r="H1096" s="18" t="n">
        <v>20834</v>
      </c>
      <c r="I1096" s="18" t="n">
        <v>17917</v>
      </c>
      <c r="J1096" s="19" t="n">
        <v>16110.73520729882</v>
      </c>
      <c r="K1096" s="35" t="n">
        <v>-0.05174523652058827</v>
      </c>
    </row>
    <row r="1097">
      <c r="A1097" s="36" t="inlineStr">
        <is>
          <t>AGA SPK-tilskudd</t>
        </is>
      </c>
      <c r="B1097" s="36" t="inlineStr">
        <is>
          <t>Region Sør</t>
        </is>
      </c>
      <c r="C1097" s="36" t="inlineStr">
        <is>
          <t>Avdeling Nes</t>
        </is>
      </c>
      <c r="D1097" s="26" t="n">
        <v>982</v>
      </c>
      <c r="E1097" s="26" t="n">
        <v>1353</v>
      </c>
      <c r="F1097" s="26" t="n">
        <v>3551</v>
      </c>
      <c r="G1097" s="26" t="n">
        <v>7275</v>
      </c>
      <c r="H1097" s="26" t="n">
        <v>6848</v>
      </c>
      <c r="I1097" s="26" t="n">
        <v>9704</v>
      </c>
      <c r="J1097" s="19" t="n">
        <v>15162.5</v>
      </c>
      <c r="K1097" s="37" t="n">
        <v>0.25</v>
      </c>
    </row>
    <row r="1098">
      <c r="A1098" s="34" t="inlineStr">
        <is>
          <t>AGA SPK-tilskudd</t>
        </is>
      </c>
      <c r="B1098" s="34" t="inlineStr">
        <is>
          <t>Region Sør</t>
        </is>
      </c>
      <c r="C1098" s="34" t="inlineStr">
        <is>
          <t>Avdeling Nes</t>
        </is>
      </c>
      <c r="D1098" s="18" t="n">
        <v>5160</v>
      </c>
      <c r="E1098" s="18" t="n"/>
      <c r="F1098" s="18" t="n"/>
      <c r="G1098" s="18" t="n"/>
      <c r="H1098" s="18" t="n"/>
      <c r="I1098" s="18" t="n"/>
      <c r="J1098" s="19" t="n">
        <v>0</v>
      </c>
      <c r="K1098" s="35" t="n">
        <v>0.065</v>
      </c>
    </row>
    <row r="1099">
      <c r="A1099" s="36" t="inlineStr">
        <is>
          <t>AGA SPK-tilskudd</t>
        </is>
      </c>
      <c r="B1099" s="36" t="inlineStr">
        <is>
          <t>Region Sør</t>
        </is>
      </c>
      <c r="C1099" s="36" t="inlineStr">
        <is>
          <t>Avdeling Nes</t>
        </is>
      </c>
      <c r="D1099" s="26" t="n"/>
      <c r="E1099" s="26" t="n"/>
      <c r="F1099" s="26" t="n"/>
      <c r="G1099" s="26" t="n"/>
      <c r="H1099" s="26" t="n">
        <v>-80295</v>
      </c>
      <c r="I1099" s="26" t="n">
        <v>-21938</v>
      </c>
      <c r="J1099" s="19" t="n">
        <v>-24882.62805</v>
      </c>
      <c r="K1099" s="37" t="n">
        <v>0.065</v>
      </c>
    </row>
    <row r="1100">
      <c r="A1100" s="34" t="inlineStr">
        <is>
          <t>AGA SPK-tilskudd</t>
        </is>
      </c>
      <c r="B1100" s="34" t="inlineStr">
        <is>
          <t>Region Sør</t>
        </is>
      </c>
      <c r="C1100" s="34" t="inlineStr">
        <is>
          <t>Avdeling Nes</t>
        </is>
      </c>
      <c r="D1100" s="18" t="n">
        <v>-32481</v>
      </c>
      <c r="E1100" s="18" t="n">
        <v>-35452</v>
      </c>
      <c r="F1100" s="18" t="n">
        <v>-21322</v>
      </c>
      <c r="G1100" s="18" t="n">
        <v>-10048</v>
      </c>
      <c r="H1100" s="18" t="n">
        <v>-23219</v>
      </c>
      <c r="I1100" s="18" t="n">
        <v>-18587</v>
      </c>
      <c r="J1100" s="19" t="n">
        <v>-21081.840075</v>
      </c>
      <c r="K1100" s="35" t="n">
        <v>0.065</v>
      </c>
    </row>
    <row r="1101">
      <c r="A1101" s="36" t="inlineStr">
        <is>
          <t>AGA SPK-tilskudd</t>
        </is>
      </c>
      <c r="B1101" s="36" t="inlineStr">
        <is>
          <t>Region Sør</t>
        </is>
      </c>
      <c r="C1101" s="36" t="inlineStr">
        <is>
          <t>Avdeling Nes</t>
        </is>
      </c>
      <c r="D1101" s="26" t="n"/>
      <c r="E1101" s="26" t="n"/>
      <c r="F1101" s="26" t="n"/>
      <c r="G1101" s="26" t="n">
        <v>-9104</v>
      </c>
      <c r="H1101" s="26" t="n">
        <v>-13858</v>
      </c>
      <c r="I1101" s="26" t="n">
        <v>-5460</v>
      </c>
      <c r="J1101" s="19" t="n">
        <v>-6192.868499999999</v>
      </c>
      <c r="K1101" s="37" t="n">
        <v>0.065</v>
      </c>
    </row>
    <row r="1102">
      <c r="A1102" s="34" t="inlineStr">
        <is>
          <t>AGA SPK-tilskudd</t>
        </is>
      </c>
      <c r="B1102" s="34" t="inlineStr">
        <is>
          <t>Region Sør</t>
        </is>
      </c>
      <c r="C1102" s="34" t="inlineStr">
        <is>
          <t>Avdeling Nes</t>
        </is>
      </c>
      <c r="D1102" s="18" t="n"/>
      <c r="E1102" s="18" t="n"/>
      <c r="F1102" s="18" t="n"/>
      <c r="G1102" s="18" t="n"/>
      <c r="H1102" s="18" t="n">
        <v>-422110</v>
      </c>
      <c r="I1102" s="18" t="n">
        <v>-1012126</v>
      </c>
      <c r="J1102" s="19" t="n">
        <v>-1147978.61235</v>
      </c>
      <c r="K1102" s="35" t="n">
        <v>0.065</v>
      </c>
    </row>
    <row r="1103">
      <c r="A1103" s="36" t="inlineStr">
        <is>
          <t>AGA SPK-tilskudd</t>
        </is>
      </c>
      <c r="B1103" s="36" t="inlineStr">
        <is>
          <t>Region Sør</t>
        </is>
      </c>
      <c r="C1103" s="36" t="inlineStr">
        <is>
          <t>Avdeling Nes</t>
        </is>
      </c>
      <c r="D1103" s="26" t="n">
        <v>-475140</v>
      </c>
      <c r="E1103" s="26" t="n">
        <v>-879840</v>
      </c>
      <c r="F1103" s="26" t="n">
        <v>-1321446</v>
      </c>
      <c r="G1103" s="26" t="n">
        <v>-1942297</v>
      </c>
      <c r="H1103" s="26" t="n">
        <v>-1709068</v>
      </c>
      <c r="I1103" s="26" t="n">
        <v>-1636801</v>
      </c>
      <c r="J1103" s="19" t="n">
        <v>-1856500.614225</v>
      </c>
      <c r="K1103" s="37" t="n">
        <v>0.065</v>
      </c>
    </row>
    <row r="1104">
      <c r="A1104" s="34" t="inlineStr">
        <is>
          <t>AGA SPK-tilskudd</t>
        </is>
      </c>
      <c r="B1104" s="34" t="inlineStr">
        <is>
          <t>Region Sør</t>
        </is>
      </c>
      <c r="C1104" s="34" t="inlineStr">
        <is>
          <t>Avdeling Nyli</t>
        </is>
      </c>
      <c r="D1104" s="18" t="n">
        <v>157825</v>
      </c>
      <c r="E1104" s="18" t="n">
        <v>64602</v>
      </c>
      <c r="F1104" s="18" t="n"/>
      <c r="G1104" s="18" t="n"/>
      <c r="H1104" s="18" t="n"/>
      <c r="I1104" s="18" t="n"/>
      <c r="J1104" s="19" t="n">
        <v>0</v>
      </c>
      <c r="K1104" s="35" t="n">
        <v>0.065</v>
      </c>
    </row>
    <row r="1105">
      <c r="A1105" s="36" t="inlineStr">
        <is>
          <t>AGA SPK-tilskudd</t>
        </is>
      </c>
      <c r="B1105" s="36" t="inlineStr">
        <is>
          <t>Region Sør</t>
        </is>
      </c>
      <c r="C1105" s="36" t="inlineStr">
        <is>
          <t>Avdeling Nyli</t>
        </is>
      </c>
      <c r="D1105" s="26" t="n">
        <v>146545</v>
      </c>
      <c r="E1105" s="26" t="n">
        <v>39662</v>
      </c>
      <c r="F1105" s="26" t="n"/>
      <c r="G1105" s="26" t="n"/>
      <c r="H1105" s="26" t="n"/>
      <c r="I1105" s="26" t="n"/>
      <c r="J1105" s="19" t="n">
        <v>0</v>
      </c>
      <c r="K1105" s="37" t="n">
        <v>0.065</v>
      </c>
    </row>
    <row r="1106">
      <c r="A1106" s="34" t="inlineStr">
        <is>
          <t>AGA SPK-tilskudd</t>
        </is>
      </c>
      <c r="B1106" s="34" t="inlineStr">
        <is>
          <t>Region Sør</t>
        </is>
      </c>
      <c r="C1106" s="34" t="inlineStr">
        <is>
          <t>Avdeling Nyli</t>
        </is>
      </c>
      <c r="D1106" s="18" t="n">
        <v>4146</v>
      </c>
      <c r="E1106" s="18" t="n">
        <v>93</v>
      </c>
      <c r="F1106" s="18" t="n"/>
      <c r="G1106" s="18" t="n"/>
      <c r="H1106" s="18" t="n"/>
      <c r="I1106" s="18" t="n"/>
      <c r="J1106" s="19" t="n">
        <v>0</v>
      </c>
      <c r="K1106" s="35" t="n">
        <v>0.065</v>
      </c>
    </row>
    <row r="1107">
      <c r="A1107" s="36" t="inlineStr">
        <is>
          <t>AGA SPK-tilskudd</t>
        </is>
      </c>
      <c r="B1107" s="36" t="inlineStr">
        <is>
          <t>Region Sør</t>
        </is>
      </c>
      <c r="C1107" s="36" t="inlineStr">
        <is>
          <t>Avdeling Nyli</t>
        </is>
      </c>
      <c r="D1107" s="26" t="n">
        <v>55947</v>
      </c>
      <c r="E1107" s="26" t="n">
        <v>22488</v>
      </c>
      <c r="F1107" s="26" t="n"/>
      <c r="G1107" s="26" t="n"/>
      <c r="H1107" s="26" t="n"/>
      <c r="I1107" s="26" t="n"/>
      <c r="J1107" s="19" t="n">
        <v>0</v>
      </c>
      <c r="K1107" s="37" t="n">
        <v>0.065</v>
      </c>
    </row>
    <row r="1108">
      <c r="A1108" s="34" t="inlineStr">
        <is>
          <t>AGA SPK-tilskudd</t>
        </is>
      </c>
      <c r="B1108" s="34" t="inlineStr">
        <is>
          <t>Region Sør</t>
        </is>
      </c>
      <c r="C1108" s="34" t="inlineStr">
        <is>
          <t>Avdeling Nyli</t>
        </is>
      </c>
      <c r="D1108" s="18" t="n">
        <v>3441</v>
      </c>
      <c r="E1108" s="18" t="n"/>
      <c r="F1108" s="18" t="n"/>
      <c r="G1108" s="18" t="n"/>
      <c r="H1108" s="18" t="n"/>
      <c r="I1108" s="18" t="n"/>
      <c r="J1108" s="19" t="n">
        <v>0</v>
      </c>
      <c r="K1108" s="35" t="n">
        <v>0.065</v>
      </c>
    </row>
    <row r="1109">
      <c r="A1109" s="36" t="inlineStr">
        <is>
          <t>AGA SPK-tilskudd</t>
        </is>
      </c>
      <c r="B1109" s="36" t="inlineStr">
        <is>
          <t>Region Sør</t>
        </is>
      </c>
      <c r="C1109" s="36" t="inlineStr">
        <is>
          <t>Avdeling Nyli</t>
        </is>
      </c>
      <c r="D1109" s="26" t="n"/>
      <c r="E1109" s="26" t="n">
        <v>375438</v>
      </c>
      <c r="F1109" s="26" t="n"/>
      <c r="G1109" s="26" t="n"/>
      <c r="H1109" s="26" t="n"/>
      <c r="I1109" s="26" t="n"/>
      <c r="J1109" s="19" t="n">
        <v>0</v>
      </c>
      <c r="K1109" s="37" t="n">
        <v>0.065</v>
      </c>
    </row>
    <row r="1110">
      <c r="A1110" s="34" t="inlineStr">
        <is>
          <t>AGA SPK-tilskudd</t>
        </is>
      </c>
      <c r="B1110" s="34" t="inlineStr">
        <is>
          <t>Region Sør</t>
        </is>
      </c>
      <c r="C1110" s="34" t="inlineStr">
        <is>
          <t>Avdeling Nyli</t>
        </is>
      </c>
      <c r="D1110" s="18" t="n">
        <v>5299</v>
      </c>
      <c r="E1110" s="18" t="n">
        <v>224</v>
      </c>
      <c r="F1110" s="18" t="n"/>
      <c r="G1110" s="18" t="n"/>
      <c r="H1110" s="18" t="n"/>
      <c r="I1110" s="18" t="n"/>
      <c r="J1110" s="19" t="n">
        <v>0</v>
      </c>
      <c r="K1110" s="35" t="n">
        <v>0.065</v>
      </c>
    </row>
    <row r="1111">
      <c r="A1111" s="36" t="inlineStr">
        <is>
          <t>AGA SPK-tilskudd</t>
        </is>
      </c>
      <c r="B1111" s="36" t="inlineStr">
        <is>
          <t>Region Sør</t>
        </is>
      </c>
      <c r="C1111" s="36" t="inlineStr">
        <is>
          <t>Avdeling Nyli</t>
        </is>
      </c>
      <c r="D1111" s="26" t="n">
        <v>1126</v>
      </c>
      <c r="E1111" s="26" t="n">
        <v>12602</v>
      </c>
      <c r="F1111" s="26" t="n"/>
      <c r="G1111" s="26" t="n"/>
      <c r="H1111" s="26" t="n"/>
      <c r="I1111" s="26" t="n"/>
      <c r="J1111" s="19" t="n">
        <v>0</v>
      </c>
      <c r="K1111" s="37" t="n">
        <v>0.065</v>
      </c>
    </row>
    <row r="1112">
      <c r="A1112" s="34" t="inlineStr">
        <is>
          <t>AGA SPK-tilskudd</t>
        </is>
      </c>
      <c r="B1112" s="34" t="inlineStr">
        <is>
          <t>Region Sør</t>
        </is>
      </c>
      <c r="C1112" s="34" t="inlineStr">
        <is>
          <t>Avdeling Nyli</t>
        </is>
      </c>
      <c r="D1112" s="18" t="n">
        <v>12738</v>
      </c>
      <c r="E1112" s="18" t="n">
        <v>28598</v>
      </c>
      <c r="F1112" s="18" t="n"/>
      <c r="G1112" s="18" t="n"/>
      <c r="H1112" s="18" t="n"/>
      <c r="I1112" s="18" t="n"/>
      <c r="J1112" s="19" t="n">
        <v>0</v>
      </c>
      <c r="K1112" s="35" t="n">
        <v>0.065</v>
      </c>
    </row>
    <row r="1113">
      <c r="A1113" s="36" t="inlineStr">
        <is>
          <t>AGA SPK-tilskudd</t>
        </is>
      </c>
      <c r="B1113" s="36" t="inlineStr">
        <is>
          <t>Region Sør</t>
        </is>
      </c>
      <c r="C1113" s="36" t="inlineStr">
        <is>
          <t>Avdeling Nyli</t>
        </is>
      </c>
      <c r="D1113" s="26" t="n">
        <v>568</v>
      </c>
      <c r="E1113" s="26" t="n">
        <v>34</v>
      </c>
      <c r="F1113" s="26" t="n"/>
      <c r="G1113" s="26" t="n"/>
      <c r="H1113" s="26" t="n"/>
      <c r="I1113" s="26" t="n"/>
      <c r="J1113" s="19" t="n">
        <v>0</v>
      </c>
      <c r="K1113" s="37" t="n">
        <v>0.065</v>
      </c>
    </row>
    <row r="1114">
      <c r="A1114" s="34" t="inlineStr">
        <is>
          <t>AGA SPK-tilskudd</t>
        </is>
      </c>
      <c r="B1114" s="34" t="inlineStr">
        <is>
          <t>Region Sør</t>
        </is>
      </c>
      <c r="C1114" s="34" t="inlineStr">
        <is>
          <t>Avdeling Nyli</t>
        </is>
      </c>
      <c r="D1114" s="18" t="n"/>
      <c r="E1114" s="18" t="n">
        <v>5390</v>
      </c>
      <c r="F1114" s="18" t="n"/>
      <c r="G1114" s="18" t="n"/>
      <c r="H1114" s="18" t="n"/>
      <c r="I1114" s="18" t="n"/>
      <c r="J1114" s="19" t="n">
        <v>0</v>
      </c>
      <c r="K1114" s="35" t="n">
        <v>0.065</v>
      </c>
    </row>
    <row r="1115">
      <c r="A1115" s="36" t="inlineStr">
        <is>
          <t>AGA SPK-tilskudd</t>
        </is>
      </c>
      <c r="B1115" s="36" t="inlineStr">
        <is>
          <t>Region Sør</t>
        </is>
      </c>
      <c r="C1115" s="36" t="inlineStr">
        <is>
          <t>Avdeling Nyli</t>
        </is>
      </c>
      <c r="D1115" s="26" t="n">
        <v>-22512</v>
      </c>
      <c r="E1115" s="26" t="n">
        <v>-2217</v>
      </c>
      <c r="F1115" s="26" t="n"/>
      <c r="G1115" s="26" t="n"/>
      <c r="H1115" s="26" t="n"/>
      <c r="I1115" s="26" t="n"/>
      <c r="J1115" s="19" t="n">
        <v>0</v>
      </c>
      <c r="K1115" s="37" t="n">
        <v>0.065</v>
      </c>
    </row>
    <row r="1116">
      <c r="A1116" s="34" t="inlineStr">
        <is>
          <t>AGA SPK-tilskudd</t>
        </is>
      </c>
      <c r="B1116" s="34" t="inlineStr">
        <is>
          <t>Region Sør</t>
        </is>
      </c>
      <c r="C1116" s="34" t="inlineStr">
        <is>
          <t>Avdeling Nyli</t>
        </is>
      </c>
      <c r="D1116" s="18" t="n">
        <v>-323552</v>
      </c>
      <c r="E1116" s="18" t="n">
        <v>-42473</v>
      </c>
      <c r="F1116" s="18" t="n"/>
      <c r="G1116" s="18" t="n"/>
      <c r="H1116" s="18" t="n"/>
      <c r="I1116" s="18" t="n"/>
      <c r="J1116" s="19" t="n">
        <v>0</v>
      </c>
      <c r="K1116" s="35" t="n">
        <v>0.065</v>
      </c>
    </row>
    <row r="1117">
      <c r="A1117" s="36" t="inlineStr">
        <is>
          <t>AGA SPK-tilskudd</t>
        </is>
      </c>
      <c r="B1117" s="36" t="inlineStr">
        <is>
          <t>Region Sør</t>
        </is>
      </c>
      <c r="C1117" s="36" t="inlineStr">
        <is>
          <t>Avdeling Nyli</t>
        </is>
      </c>
      <c r="D1117" s="26" t="n">
        <v>-1364177</v>
      </c>
      <c r="E1117" s="26" t="n">
        <v>-435003</v>
      </c>
      <c r="F1117" s="26" t="n">
        <v>-11080</v>
      </c>
      <c r="G1117" s="26" t="n"/>
      <c r="H1117" s="26" t="n"/>
      <c r="I1117" s="26" t="n"/>
      <c r="J1117" s="19" t="n">
        <v>0</v>
      </c>
      <c r="K1117" s="37" t="n">
        <v>0.065</v>
      </c>
    </row>
    <row r="1118">
      <c r="A1118" s="34" t="inlineStr">
        <is>
          <t>AGA SPK-tilskudd</t>
        </is>
      </c>
      <c r="B1118" s="34" t="inlineStr">
        <is>
          <t>Region Sør</t>
        </is>
      </c>
      <c r="C1118" s="34" t="inlineStr">
        <is>
          <t>Avdeling Orion</t>
        </is>
      </c>
      <c r="D1118" s="18" t="n">
        <v>158268</v>
      </c>
      <c r="E1118" s="18" t="n">
        <v>131533</v>
      </c>
      <c r="F1118" s="18" t="n">
        <v>4609</v>
      </c>
      <c r="G1118" s="18" t="n"/>
      <c r="H1118" s="18" t="n"/>
      <c r="I1118" s="18" t="n"/>
      <c r="J1118" s="19" t="n">
        <v>0</v>
      </c>
      <c r="K1118" s="35" t="n">
        <v>0.065</v>
      </c>
    </row>
    <row r="1119">
      <c r="A1119" s="36" t="inlineStr">
        <is>
          <t>AGA SPK-tilskudd</t>
        </is>
      </c>
      <c r="B1119" s="36" t="inlineStr">
        <is>
          <t>Region Sør</t>
        </is>
      </c>
      <c r="C1119" s="36" t="inlineStr">
        <is>
          <t>Avdeling Orion</t>
        </is>
      </c>
      <c r="D1119" s="26" t="n">
        <v>304802</v>
      </c>
      <c r="E1119" s="26" t="n">
        <v>212091</v>
      </c>
      <c r="F1119" s="26" t="n">
        <v>31387</v>
      </c>
      <c r="G1119" s="26" t="n"/>
      <c r="H1119" s="26" t="n"/>
      <c r="I1119" s="26" t="n"/>
      <c r="J1119" s="19" t="n">
        <v>0</v>
      </c>
      <c r="K1119" s="37" t="n">
        <v>0.065</v>
      </c>
    </row>
    <row r="1120">
      <c r="A1120" s="34" t="inlineStr">
        <is>
          <t>AGA SPK-tilskudd</t>
        </is>
      </c>
      <c r="B1120" s="34" t="inlineStr">
        <is>
          <t>Region Sør</t>
        </is>
      </c>
      <c r="C1120" s="34" t="inlineStr">
        <is>
          <t>Avdeling Orion</t>
        </is>
      </c>
      <c r="D1120" s="18" t="n">
        <v>11882</v>
      </c>
      <c r="E1120" s="18" t="n">
        <v>15875</v>
      </c>
      <c r="F1120" s="18" t="n"/>
      <c r="G1120" s="18" t="n"/>
      <c r="H1120" s="18" t="n"/>
      <c r="I1120" s="18" t="n"/>
      <c r="J1120" s="19" t="n">
        <v>0</v>
      </c>
      <c r="K1120" s="35" t="n">
        <v>0.065</v>
      </c>
    </row>
    <row r="1121">
      <c r="A1121" s="36" t="inlineStr">
        <is>
          <t>AGA SPK-tilskudd</t>
        </is>
      </c>
      <c r="B1121" s="36" t="inlineStr">
        <is>
          <t>Region Sør</t>
        </is>
      </c>
      <c r="C1121" s="36" t="inlineStr">
        <is>
          <t>Avdeling Orion</t>
        </is>
      </c>
      <c r="D1121" s="26" t="n">
        <v>31100</v>
      </c>
      <c r="E1121" s="26" t="n">
        <v>34681</v>
      </c>
      <c r="F1121" s="26" t="n">
        <v>-920</v>
      </c>
      <c r="G1121" s="26" t="n"/>
      <c r="H1121" s="26" t="n"/>
      <c r="I1121" s="26" t="n"/>
      <c r="J1121" s="19" t="n">
        <v>0</v>
      </c>
      <c r="K1121" s="37" t="n">
        <v>0.065</v>
      </c>
    </row>
    <row r="1122">
      <c r="A1122" s="34" t="inlineStr">
        <is>
          <t>AGA SPK-tilskudd</t>
        </is>
      </c>
      <c r="B1122" s="34" t="inlineStr">
        <is>
          <t>Region Sør</t>
        </is>
      </c>
      <c r="C1122" s="34" t="inlineStr">
        <is>
          <t>Avdeling Orion</t>
        </is>
      </c>
      <c r="D1122" s="18" t="n">
        <v>10247</v>
      </c>
      <c r="E1122" s="18" t="n">
        <v>9957</v>
      </c>
      <c r="F1122" s="18" t="n"/>
      <c r="G1122" s="18" t="n"/>
      <c r="H1122" s="18" t="n"/>
      <c r="I1122" s="18" t="n"/>
      <c r="J1122" s="19" t="n">
        <v>0</v>
      </c>
      <c r="K1122" s="35" t="n">
        <v>0.065</v>
      </c>
    </row>
    <row r="1123">
      <c r="A1123" s="36" t="inlineStr">
        <is>
          <t>AGA SPK-tilskudd</t>
        </is>
      </c>
      <c r="B1123" s="36" t="inlineStr">
        <is>
          <t>Region Sør</t>
        </is>
      </c>
      <c r="C1123" s="36" t="inlineStr">
        <is>
          <t>Avdeling Orion</t>
        </is>
      </c>
      <c r="D1123" s="26" t="n"/>
      <c r="E1123" s="26" t="n">
        <v>280</v>
      </c>
      <c r="F1123" s="26" t="n"/>
      <c r="G1123" s="26" t="n"/>
      <c r="H1123" s="26" t="n"/>
      <c r="I1123" s="26" t="n"/>
      <c r="J1123" s="19" t="n">
        <v>0</v>
      </c>
      <c r="K1123" s="37" t="n">
        <v>0.065</v>
      </c>
    </row>
    <row r="1124">
      <c r="A1124" s="34" t="inlineStr">
        <is>
          <t>AGA SPK-tilskudd</t>
        </is>
      </c>
      <c r="B1124" s="34" t="inlineStr">
        <is>
          <t>Region Sør</t>
        </is>
      </c>
      <c r="C1124" s="34" t="inlineStr">
        <is>
          <t>Avdeling Orion</t>
        </is>
      </c>
      <c r="D1124" s="18" t="n"/>
      <c r="E1124" s="18" t="n">
        <v>529</v>
      </c>
      <c r="F1124" s="18" t="n"/>
      <c r="G1124" s="18" t="n"/>
      <c r="H1124" s="18" t="n"/>
      <c r="I1124" s="18" t="n"/>
      <c r="J1124" s="19" t="n">
        <v>0</v>
      </c>
      <c r="K1124" s="35" t="n">
        <v>0.065</v>
      </c>
    </row>
    <row r="1125">
      <c r="A1125" s="36" t="inlineStr">
        <is>
          <t>AGA SPK-tilskudd</t>
        </is>
      </c>
      <c r="B1125" s="36" t="inlineStr">
        <is>
          <t>Region Sør</t>
        </is>
      </c>
      <c r="C1125" s="36" t="inlineStr">
        <is>
          <t>Avdeling Orion</t>
        </is>
      </c>
      <c r="D1125" s="26" t="n">
        <v>5241</v>
      </c>
      <c r="E1125" s="26" t="n">
        <v>2492</v>
      </c>
      <c r="F1125" s="26" t="n"/>
      <c r="G1125" s="26" t="n"/>
      <c r="H1125" s="26" t="n"/>
      <c r="I1125" s="26" t="n"/>
      <c r="J1125" s="19" t="n">
        <v>0</v>
      </c>
      <c r="K1125" s="37" t="n">
        <v>0.065</v>
      </c>
    </row>
    <row r="1126">
      <c r="A1126" s="34" t="inlineStr">
        <is>
          <t>AGA SPK-tilskudd</t>
        </is>
      </c>
      <c r="B1126" s="34" t="inlineStr">
        <is>
          <t>Region Sør</t>
        </is>
      </c>
      <c r="C1126" s="34" t="inlineStr">
        <is>
          <t>Avdeling Orion</t>
        </is>
      </c>
      <c r="D1126" s="18" t="n">
        <v>6636</v>
      </c>
      <c r="E1126" s="18" t="n">
        <v>9770</v>
      </c>
      <c r="F1126" s="18" t="n">
        <v>375</v>
      </c>
      <c r="G1126" s="18" t="n"/>
      <c r="H1126" s="18" t="n"/>
      <c r="I1126" s="18" t="n"/>
      <c r="J1126" s="19" t="n">
        <v>0</v>
      </c>
      <c r="K1126" s="35" t="n">
        <v>0.065</v>
      </c>
    </row>
    <row r="1127">
      <c r="A1127" s="36" t="inlineStr">
        <is>
          <t>AGA SPK-tilskudd</t>
        </is>
      </c>
      <c r="B1127" s="36" t="inlineStr">
        <is>
          <t>Region Sør</t>
        </is>
      </c>
      <c r="C1127" s="36" t="inlineStr">
        <is>
          <t>Avdeling Orion</t>
        </is>
      </c>
      <c r="D1127" s="26" t="n"/>
      <c r="E1127" s="26" t="n">
        <v>139</v>
      </c>
      <c r="F1127" s="26" t="n"/>
      <c r="G1127" s="26" t="n"/>
      <c r="H1127" s="26" t="n"/>
      <c r="I1127" s="26" t="n"/>
      <c r="J1127" s="19" t="n">
        <v>0</v>
      </c>
      <c r="K1127" s="37" t="n">
        <v>0.065</v>
      </c>
    </row>
    <row r="1128">
      <c r="A1128" s="34" t="inlineStr">
        <is>
          <t>AGA SPK-tilskudd</t>
        </is>
      </c>
      <c r="B1128" s="34" t="inlineStr">
        <is>
          <t>Region Sør</t>
        </is>
      </c>
      <c r="C1128" s="34" t="inlineStr">
        <is>
          <t>Avdeling Orion</t>
        </is>
      </c>
      <c r="D1128" s="18" t="n">
        <v>420</v>
      </c>
      <c r="E1128" s="18" t="n"/>
      <c r="F1128" s="18" t="n"/>
      <c r="G1128" s="18" t="n"/>
      <c r="H1128" s="18" t="n"/>
      <c r="I1128" s="18" t="n"/>
      <c r="J1128" s="19" t="n">
        <v>0</v>
      </c>
      <c r="K1128" s="35" t="n">
        <v>0.065</v>
      </c>
    </row>
    <row r="1129">
      <c r="A1129" s="36" t="inlineStr">
        <is>
          <t>AGA SPK-tilskudd</t>
        </is>
      </c>
      <c r="B1129" s="36" t="inlineStr">
        <is>
          <t>Region Sør</t>
        </is>
      </c>
      <c r="C1129" s="36" t="inlineStr">
        <is>
          <t>Avdeling Orion</t>
        </is>
      </c>
      <c r="D1129" s="26" t="n">
        <v>2859</v>
      </c>
      <c r="E1129" s="26" t="n"/>
      <c r="F1129" s="26" t="n"/>
      <c r="G1129" s="26" t="n"/>
      <c r="H1129" s="26" t="n"/>
      <c r="I1129" s="26" t="n"/>
      <c r="J1129" s="19" t="n">
        <v>0</v>
      </c>
      <c r="K1129" s="37" t="n">
        <v>0.065</v>
      </c>
    </row>
    <row r="1130">
      <c r="A1130" s="34" t="inlineStr">
        <is>
          <t>AGA SPK-tilskudd</t>
        </is>
      </c>
      <c r="B1130" s="34" t="inlineStr">
        <is>
          <t>Region Sør</t>
        </is>
      </c>
      <c r="C1130" s="34" t="inlineStr">
        <is>
          <t>Avdeling Orion</t>
        </is>
      </c>
      <c r="D1130" s="18" t="n">
        <v>1746</v>
      </c>
      <c r="E1130" s="18" t="n">
        <v>9462</v>
      </c>
      <c r="F1130" s="18" t="n"/>
      <c r="G1130" s="18" t="n"/>
      <c r="H1130" s="18" t="n"/>
      <c r="I1130" s="18" t="n"/>
      <c r="J1130" s="19" t="n">
        <v>0</v>
      </c>
      <c r="K1130" s="35" t="n">
        <v>0.065</v>
      </c>
    </row>
    <row r="1131">
      <c r="A1131" s="36" t="inlineStr">
        <is>
          <t>AGA SPK-tilskudd</t>
        </is>
      </c>
      <c r="B1131" s="36" t="inlineStr">
        <is>
          <t>Region Sør</t>
        </is>
      </c>
      <c r="C1131" s="36" t="inlineStr">
        <is>
          <t>Avdeling Orion</t>
        </is>
      </c>
      <c r="D1131" s="26" t="n"/>
      <c r="E1131" s="26" t="n">
        <v>-76955</v>
      </c>
      <c r="F1131" s="26" t="n">
        <v>-417220</v>
      </c>
      <c r="G1131" s="26" t="n"/>
      <c r="H1131" s="26" t="n"/>
      <c r="I1131" s="26" t="n"/>
      <c r="J1131" s="19" t="n">
        <v>0</v>
      </c>
      <c r="K1131" s="37" t="n">
        <v>0.065</v>
      </c>
    </row>
    <row r="1132">
      <c r="A1132" s="34" t="inlineStr">
        <is>
          <t>AGA SPK-tilskudd</t>
        </is>
      </c>
      <c r="B1132" s="34" t="inlineStr">
        <is>
          <t>Region Sør</t>
        </is>
      </c>
      <c r="C1132" s="34" t="inlineStr">
        <is>
          <t>Avdeling Orion</t>
        </is>
      </c>
      <c r="D1132" s="18" t="n">
        <v>-222506</v>
      </c>
      <c r="E1132" s="18" t="n">
        <v>-247928</v>
      </c>
      <c r="F1132" s="18" t="n"/>
      <c r="G1132" s="18" t="n"/>
      <c r="H1132" s="18" t="n"/>
      <c r="I1132" s="18" t="n"/>
      <c r="J1132" s="19" t="n">
        <v>0</v>
      </c>
      <c r="K1132" s="35" t="n">
        <v>0.065</v>
      </c>
    </row>
    <row r="1133">
      <c r="A1133" s="36" t="inlineStr">
        <is>
          <t>AGA SPK-tilskudd</t>
        </is>
      </c>
      <c r="B1133" s="36" t="inlineStr">
        <is>
          <t>Region Sør</t>
        </is>
      </c>
      <c r="C1133" s="36" t="inlineStr">
        <is>
          <t>Avdeling Orion</t>
        </is>
      </c>
      <c r="D1133" s="26" t="n">
        <v>-2039003</v>
      </c>
      <c r="E1133" s="26" t="n">
        <v>-1144550</v>
      </c>
      <c r="F1133" s="26" t="n">
        <v>-196898</v>
      </c>
      <c r="G1133" s="26" t="n">
        <v>-2078</v>
      </c>
      <c r="H1133" s="26" t="n"/>
      <c r="I1133" s="26" t="n"/>
      <c r="J1133" s="19" t="n">
        <v>0</v>
      </c>
      <c r="K1133" s="37" t="n">
        <v>0.065</v>
      </c>
    </row>
    <row r="1134">
      <c r="A1134" s="34" t="inlineStr">
        <is>
          <t>AGA SPK-tilskudd</t>
        </is>
      </c>
      <c r="B1134" s="34" t="inlineStr">
        <is>
          <t>Region Sør</t>
        </is>
      </c>
      <c r="C1134" s="34" t="inlineStr">
        <is>
          <t>Avdeling Skomrak</t>
        </is>
      </c>
      <c r="D1134" s="18" t="n">
        <v>179105</v>
      </c>
      <c r="E1134" s="18" t="n">
        <v>162456</v>
      </c>
      <c r="F1134" s="18" t="n">
        <v>155011</v>
      </c>
      <c r="G1134" s="18" t="n">
        <v>167103</v>
      </c>
      <c r="H1134" s="18" t="n">
        <v>161331</v>
      </c>
      <c r="I1134" s="18" t="n">
        <v>161882</v>
      </c>
      <c r="J1134" s="19" t="n">
        <v>155465.8128277501</v>
      </c>
      <c r="K1134" s="35" t="n">
        <v>-0.02001783871725415</v>
      </c>
    </row>
    <row r="1135">
      <c r="A1135" s="36" t="inlineStr">
        <is>
          <t>AGA SPK-tilskudd</t>
        </is>
      </c>
      <c r="B1135" s="36" t="inlineStr">
        <is>
          <t>Region Sør</t>
        </is>
      </c>
      <c r="C1135" s="36" t="inlineStr">
        <is>
          <t>Avdeling Skomrak</t>
        </is>
      </c>
      <c r="D1135" s="26" t="n">
        <v>177897</v>
      </c>
      <c r="E1135" s="26" t="n">
        <v>82906</v>
      </c>
      <c r="F1135" s="26" t="n">
        <v>42298</v>
      </c>
      <c r="G1135" s="26" t="n">
        <v>55052</v>
      </c>
      <c r="H1135" s="26" t="n">
        <v>20412</v>
      </c>
      <c r="I1135" s="26" t="n">
        <v>29233</v>
      </c>
      <c r="J1135" s="19" t="n">
        <v>16443.5625</v>
      </c>
      <c r="K1135" s="37" t="n">
        <v>-0.25</v>
      </c>
    </row>
    <row r="1136">
      <c r="A1136" s="34" t="inlineStr">
        <is>
          <t>AGA SPK-tilskudd</t>
        </is>
      </c>
      <c r="B1136" s="34" t="inlineStr">
        <is>
          <t>Region Sør</t>
        </is>
      </c>
      <c r="C1136" s="34" t="inlineStr">
        <is>
          <t>Avdeling Skomrak</t>
        </is>
      </c>
      <c r="D1136" s="18" t="n">
        <v>41668</v>
      </c>
      <c r="E1136" s="18" t="n">
        <v>34067</v>
      </c>
      <c r="F1136" s="18" t="n">
        <v>89519</v>
      </c>
      <c r="G1136" s="18" t="n">
        <v>241680</v>
      </c>
      <c r="H1136" s="18" t="n">
        <v>75409</v>
      </c>
      <c r="I1136" s="18" t="n">
        <v>108806</v>
      </c>
      <c r="J1136" s="19" t="n">
        <v>159732.3644836674</v>
      </c>
      <c r="K1136" s="35" t="n">
        <v>0.2116300555606283</v>
      </c>
    </row>
    <row r="1137">
      <c r="A1137" s="36" t="inlineStr">
        <is>
          <t>AGA SPK-tilskudd</t>
        </is>
      </c>
      <c r="B1137" s="36" t="inlineStr">
        <is>
          <t>Region Sør</t>
        </is>
      </c>
      <c r="C1137" s="36" t="inlineStr">
        <is>
          <t>Avdeling Skomrak</t>
        </is>
      </c>
      <c r="D1137" s="26" t="n">
        <v>58300</v>
      </c>
      <c r="E1137" s="26" t="n">
        <v>61434</v>
      </c>
      <c r="F1137" s="26" t="n">
        <v>55113</v>
      </c>
      <c r="G1137" s="26" t="n">
        <v>62525</v>
      </c>
      <c r="H1137" s="26" t="n">
        <v>75872</v>
      </c>
      <c r="I1137" s="26" t="n">
        <v>84484</v>
      </c>
      <c r="J1137" s="19" t="n">
        <v>97997.91440946794</v>
      </c>
      <c r="K1137" s="37" t="n">
        <v>0.07701358818420712</v>
      </c>
    </row>
    <row r="1138">
      <c r="A1138" s="34" t="inlineStr">
        <is>
          <t>AGA SPK-tilskudd</t>
        </is>
      </c>
      <c r="B1138" s="34" t="inlineStr">
        <is>
          <t>Region Sør</t>
        </is>
      </c>
      <c r="C1138" s="34" t="inlineStr">
        <is>
          <t>Avdeling Skomrak</t>
        </is>
      </c>
      <c r="D1138" s="18" t="n">
        <v>16727</v>
      </c>
      <c r="E1138" s="18" t="n">
        <v>14466</v>
      </c>
      <c r="F1138" s="18" t="n">
        <v>3648</v>
      </c>
      <c r="G1138" s="18" t="n"/>
      <c r="H1138" s="18" t="n"/>
      <c r="I1138" s="18" t="n">
        <v>18675</v>
      </c>
      <c r="J1138" s="19" t="n">
        <v>19516.30658590501</v>
      </c>
      <c r="K1138" s="35" t="n">
        <v>0.02227681384157054</v>
      </c>
    </row>
    <row r="1139">
      <c r="A1139" s="36" t="inlineStr">
        <is>
          <t>AGA SPK-tilskudd</t>
        </is>
      </c>
      <c r="B1139" s="36" t="inlineStr">
        <is>
          <t>Region Sør</t>
        </is>
      </c>
      <c r="C1139" s="36" t="inlineStr">
        <is>
          <t>Avdeling Skomrak</t>
        </is>
      </c>
      <c r="D1139" s="26" t="n">
        <v>36090</v>
      </c>
      <c r="E1139" s="26" t="n">
        <v>10232</v>
      </c>
      <c r="F1139" s="26" t="n">
        <v>18587</v>
      </c>
      <c r="G1139" s="26" t="n">
        <v>12554</v>
      </c>
      <c r="H1139" s="26" t="n">
        <v>12657</v>
      </c>
      <c r="I1139" s="26" t="n">
        <v>7251</v>
      </c>
      <c r="J1139" s="19" t="n">
        <v>4078.6875</v>
      </c>
      <c r="K1139" s="37" t="n">
        <v>-0.25</v>
      </c>
    </row>
    <row r="1140">
      <c r="A1140" s="34" t="inlineStr">
        <is>
          <t>AGA SPK-tilskudd</t>
        </is>
      </c>
      <c r="B1140" s="34" t="inlineStr">
        <is>
          <t>Region Sør</t>
        </is>
      </c>
      <c r="C1140" s="34" t="inlineStr">
        <is>
          <t>Avdeling Skomrak</t>
        </is>
      </c>
      <c r="D1140" s="18" t="n">
        <v>2118</v>
      </c>
      <c r="E1140" s="18" t="n"/>
      <c r="F1140" s="18" t="n">
        <v>1967</v>
      </c>
      <c r="G1140" s="18" t="n">
        <v>10481</v>
      </c>
      <c r="H1140" s="18" t="n">
        <v>4726</v>
      </c>
      <c r="I1140" s="18" t="n">
        <v>15249</v>
      </c>
      <c r="J1140" s="19" t="n">
        <v>23826.5625</v>
      </c>
      <c r="K1140" s="35" t="n">
        <v>0.25</v>
      </c>
    </row>
    <row r="1141">
      <c r="A1141" s="36" t="inlineStr">
        <is>
          <t>AGA SPK-tilskudd</t>
        </is>
      </c>
      <c r="B1141" s="36" t="inlineStr">
        <is>
          <t>Region Sør</t>
        </is>
      </c>
      <c r="C1141" s="36" t="inlineStr">
        <is>
          <t>Avdeling Skomrak</t>
        </is>
      </c>
      <c r="D1141" s="26" t="n">
        <v>6833</v>
      </c>
      <c r="E1141" s="26" t="n">
        <v>824</v>
      </c>
      <c r="F1141" s="26" t="n"/>
      <c r="G1141" s="26" t="n">
        <v>12296</v>
      </c>
      <c r="H1141" s="26" t="n">
        <v>9689</v>
      </c>
      <c r="I1141" s="26" t="n"/>
      <c r="J1141" s="19" t="n">
        <v>0</v>
      </c>
      <c r="K1141" s="37" t="n">
        <v>0.065</v>
      </c>
    </row>
    <row r="1142">
      <c r="A1142" s="34" t="inlineStr">
        <is>
          <t>AGA SPK-tilskudd</t>
        </is>
      </c>
      <c r="B1142" s="34" t="inlineStr">
        <is>
          <t>Region Sør</t>
        </is>
      </c>
      <c r="C1142" s="34" t="inlineStr">
        <is>
          <t>Avdeling Skomrak</t>
        </is>
      </c>
      <c r="D1142" s="18" t="n">
        <v>11178</v>
      </c>
      <c r="E1142" s="18" t="n">
        <v>4718</v>
      </c>
      <c r="F1142" s="18" t="n">
        <v>3308</v>
      </c>
      <c r="G1142" s="18" t="n">
        <v>6118</v>
      </c>
      <c r="H1142" s="18" t="n">
        <v>4849</v>
      </c>
      <c r="I1142" s="18" t="n">
        <v>3054</v>
      </c>
      <c r="J1142" s="19" t="n">
        <v>1817.485704965209</v>
      </c>
      <c r="K1142" s="35" t="n">
        <v>-0.2285620751941102</v>
      </c>
    </row>
    <row r="1143">
      <c r="A1143" s="36" t="inlineStr">
        <is>
          <t>AGA SPK-tilskudd</t>
        </is>
      </c>
      <c r="B1143" s="36" t="inlineStr">
        <is>
          <t>Region Sør</t>
        </is>
      </c>
      <c r="C1143" s="36" t="inlineStr">
        <is>
          <t>Avdeling Skomrak</t>
        </is>
      </c>
      <c r="D1143" s="26" t="n">
        <v>3012</v>
      </c>
      <c r="E1143" s="26" t="n">
        <v>1514</v>
      </c>
      <c r="F1143" s="26" t="n">
        <v>5211</v>
      </c>
      <c r="G1143" s="26" t="n">
        <v>8312</v>
      </c>
      <c r="H1143" s="26" t="n">
        <v>5971</v>
      </c>
      <c r="I1143" s="26" t="n">
        <v>8094</v>
      </c>
      <c r="J1143" s="19" t="n">
        <v>12019.50252597015</v>
      </c>
      <c r="K1143" s="37" t="n">
        <v>0.2186013264114195</v>
      </c>
    </row>
    <row r="1144">
      <c r="A1144" s="34" t="inlineStr">
        <is>
          <t>AGA SPK-tilskudd</t>
        </is>
      </c>
      <c r="B1144" s="34" t="inlineStr">
        <is>
          <t>Region Sør</t>
        </is>
      </c>
      <c r="C1144" s="34" t="inlineStr">
        <is>
          <t>Avdeling Skomrak</t>
        </is>
      </c>
      <c r="D1144" s="18" t="n"/>
      <c r="E1144" s="18" t="n">
        <v>8800</v>
      </c>
      <c r="F1144" s="18" t="n"/>
      <c r="G1144" s="18" t="n"/>
      <c r="H1144" s="18" t="n"/>
      <c r="I1144" s="18" t="n"/>
      <c r="J1144" s="19" t="n">
        <v>0</v>
      </c>
      <c r="K1144" s="35" t="n">
        <v>0.065</v>
      </c>
    </row>
    <row r="1145">
      <c r="A1145" s="36" t="inlineStr">
        <is>
          <t>AGA SPK-tilskudd</t>
        </is>
      </c>
      <c r="B1145" s="36" t="inlineStr">
        <is>
          <t>Region Sør</t>
        </is>
      </c>
      <c r="C1145" s="36" t="inlineStr">
        <is>
          <t>Avdeling Skomrak</t>
        </is>
      </c>
      <c r="D1145" s="26" t="n"/>
      <c r="E1145" s="26" t="n">
        <v>3690</v>
      </c>
      <c r="F1145" s="26" t="n"/>
      <c r="G1145" s="26" t="n"/>
      <c r="H1145" s="26" t="n">
        <v>1000</v>
      </c>
      <c r="I1145" s="26" t="n"/>
      <c r="J1145" s="19" t="n">
        <v>0</v>
      </c>
      <c r="K1145" s="37" t="n">
        <v>0.065</v>
      </c>
    </row>
    <row r="1146">
      <c r="A1146" s="34" t="inlineStr">
        <is>
          <t>AGA SPK-tilskudd</t>
        </is>
      </c>
      <c r="B1146" s="34" t="inlineStr">
        <is>
          <t>Region Sør</t>
        </is>
      </c>
      <c r="C1146" s="34" t="inlineStr">
        <is>
          <t>Avdeling Skomrak</t>
        </is>
      </c>
      <c r="D1146" s="18" t="n"/>
      <c r="E1146" s="18" t="n"/>
      <c r="F1146" s="18" t="n"/>
      <c r="G1146" s="18" t="n">
        <v>376</v>
      </c>
      <c r="H1146" s="18" t="n"/>
      <c r="I1146" s="18" t="n"/>
      <c r="J1146" s="19" t="n">
        <v>0</v>
      </c>
      <c r="K1146" s="35" t="n">
        <v>0.065</v>
      </c>
    </row>
    <row r="1147">
      <c r="A1147" s="36" t="inlineStr">
        <is>
          <t>AGA SPK-tilskudd</t>
        </is>
      </c>
      <c r="B1147" s="36" t="inlineStr">
        <is>
          <t>Region Sør</t>
        </is>
      </c>
      <c r="C1147" s="36" t="inlineStr">
        <is>
          <t>Avdeling Skomrak</t>
        </is>
      </c>
      <c r="D1147" s="26" t="n">
        <v>16651</v>
      </c>
      <c r="E1147" s="26" t="n">
        <v>12557</v>
      </c>
      <c r="F1147" s="26" t="n">
        <v>7865</v>
      </c>
      <c r="G1147" s="26" t="n">
        <v>71341</v>
      </c>
      <c r="H1147" s="26" t="n">
        <v>27447</v>
      </c>
      <c r="I1147" s="26" t="n">
        <v>6448</v>
      </c>
      <c r="J1147" s="19" t="n">
        <v>4411.831447267057</v>
      </c>
      <c r="K1147" s="37" t="n">
        <v>-0.1728258733093261</v>
      </c>
    </row>
    <row r="1148">
      <c r="A1148" s="34" t="inlineStr">
        <is>
          <t>AGA SPK-tilskudd</t>
        </is>
      </c>
      <c r="B1148" s="34" t="inlineStr">
        <is>
          <t>Region Sør</t>
        </is>
      </c>
      <c r="C1148" s="34" t="inlineStr">
        <is>
          <t>Avdeling Skomrak</t>
        </is>
      </c>
      <c r="D1148" s="18" t="n"/>
      <c r="E1148" s="18" t="n"/>
      <c r="F1148" s="18" t="n"/>
      <c r="G1148" s="18" t="n">
        <v>-8208</v>
      </c>
      <c r="H1148" s="18" t="n"/>
      <c r="I1148" s="18" t="n"/>
      <c r="J1148" s="19" t="n">
        <v>0</v>
      </c>
      <c r="K1148" s="35" t="n">
        <v>0.065</v>
      </c>
    </row>
    <row r="1149">
      <c r="A1149" s="36" t="inlineStr">
        <is>
          <t>AGA SPK-tilskudd</t>
        </is>
      </c>
      <c r="B1149" s="36" t="inlineStr">
        <is>
          <t>Region Sør</t>
        </is>
      </c>
      <c r="C1149" s="36" t="inlineStr">
        <is>
          <t>Avdeling Skomrak</t>
        </is>
      </c>
      <c r="D1149" s="26" t="n">
        <v>-60672</v>
      </c>
      <c r="E1149" s="26" t="n">
        <v>-5806</v>
      </c>
      <c r="F1149" s="26" t="n">
        <v>-23320</v>
      </c>
      <c r="G1149" s="26" t="n">
        <v>-163735</v>
      </c>
      <c r="H1149" s="26" t="n">
        <v>-500818</v>
      </c>
      <c r="I1149" s="26" t="n">
        <v>-318789</v>
      </c>
      <c r="J1149" s="19" t="n">
        <v>-361578.453525</v>
      </c>
      <c r="K1149" s="37" t="n">
        <v>0.065</v>
      </c>
    </row>
    <row r="1150">
      <c r="A1150" s="34" t="inlineStr">
        <is>
          <t>AGA SPK-tilskudd</t>
        </is>
      </c>
      <c r="B1150" s="34" t="inlineStr">
        <is>
          <t>Region Sør</t>
        </is>
      </c>
      <c r="C1150" s="34" t="inlineStr">
        <is>
          <t>Avdeling Skomrak</t>
        </is>
      </c>
      <c r="D1150" s="18" t="n">
        <v>-1417692</v>
      </c>
      <c r="E1150" s="18" t="n">
        <v>-792881</v>
      </c>
      <c r="F1150" s="18" t="n">
        <v>-1447793</v>
      </c>
      <c r="G1150" s="18" t="n">
        <v>-2098257</v>
      </c>
      <c r="H1150" s="18" t="n">
        <v>-1772814</v>
      </c>
      <c r="I1150" s="18" t="n">
        <v>-532842</v>
      </c>
      <c r="J1150" s="19" t="n">
        <v>-604362.7174499999</v>
      </c>
      <c r="K1150" s="35" t="n">
        <v>0.065</v>
      </c>
    </row>
    <row r="1151">
      <c r="A1151" s="36" t="inlineStr">
        <is>
          <t>AGA SPK-tilskudd</t>
        </is>
      </c>
      <c r="B1151" s="36" t="inlineStr">
        <is>
          <t>Region Sør</t>
        </is>
      </c>
      <c r="C1151" s="36" t="inlineStr">
        <is>
          <t>Avdeling Vestre Kjenner</t>
        </is>
      </c>
      <c r="D1151" s="26" t="n">
        <v>132587</v>
      </c>
      <c r="E1151" s="26" t="n">
        <v>139145</v>
      </c>
      <c r="F1151" s="26" t="n">
        <v>27812</v>
      </c>
      <c r="G1151" s="26" t="n"/>
      <c r="H1151" s="26" t="n"/>
      <c r="I1151" s="26" t="n"/>
      <c r="J1151" s="19" t="n">
        <v>0</v>
      </c>
      <c r="K1151" s="37" t="n">
        <v>0.065</v>
      </c>
    </row>
    <row r="1152">
      <c r="A1152" s="34" t="inlineStr">
        <is>
          <t>AGA SPK-tilskudd</t>
        </is>
      </c>
      <c r="B1152" s="34" t="inlineStr">
        <is>
          <t>Region Sør</t>
        </is>
      </c>
      <c r="C1152" s="34" t="inlineStr">
        <is>
          <t>Avdeling Vestre Kjenner</t>
        </is>
      </c>
      <c r="D1152" s="18" t="n">
        <v>74482</v>
      </c>
      <c r="E1152" s="18" t="n">
        <v>322757</v>
      </c>
      <c r="F1152" s="18" t="n">
        <v>132463</v>
      </c>
      <c r="G1152" s="18" t="n"/>
      <c r="H1152" s="18" t="n"/>
      <c r="I1152" s="18" t="n"/>
      <c r="J1152" s="19" t="n">
        <v>0</v>
      </c>
      <c r="K1152" s="35" t="n">
        <v>0.065</v>
      </c>
    </row>
    <row r="1153">
      <c r="A1153" s="36" t="inlineStr">
        <is>
          <t>AGA SPK-tilskudd</t>
        </is>
      </c>
      <c r="B1153" s="36" t="inlineStr">
        <is>
          <t>Region Sør</t>
        </is>
      </c>
      <c r="C1153" s="36" t="inlineStr">
        <is>
          <t>Avdeling Vestre Kjenner</t>
        </is>
      </c>
      <c r="D1153" s="26" t="n">
        <v>14764</v>
      </c>
      <c r="E1153" s="26" t="n">
        <v>14230</v>
      </c>
      <c r="F1153" s="26" t="n">
        <v>1324</v>
      </c>
      <c r="G1153" s="26" t="n"/>
      <c r="H1153" s="26" t="n"/>
      <c r="I1153" s="26" t="n"/>
      <c r="J1153" s="19" t="n">
        <v>0</v>
      </c>
      <c r="K1153" s="37" t="n">
        <v>0.065</v>
      </c>
    </row>
    <row r="1154">
      <c r="A1154" s="34" t="inlineStr">
        <is>
          <t>AGA SPK-tilskudd</t>
        </is>
      </c>
      <c r="B1154" s="34" t="inlineStr">
        <is>
          <t>Region Sør</t>
        </is>
      </c>
      <c r="C1154" s="34" t="inlineStr">
        <is>
          <t>Avdeling Vestre Kjenner</t>
        </is>
      </c>
      <c r="D1154" s="18" t="n">
        <v>29100</v>
      </c>
      <c r="E1154" s="18" t="n">
        <v>35276</v>
      </c>
      <c r="F1154" s="18" t="n">
        <v>4295</v>
      </c>
      <c r="G1154" s="18" t="n"/>
      <c r="H1154" s="18" t="n"/>
      <c r="I1154" s="18" t="n"/>
      <c r="J1154" s="19" t="n">
        <v>0</v>
      </c>
      <c r="K1154" s="35" t="n">
        <v>0.065</v>
      </c>
    </row>
    <row r="1155">
      <c r="A1155" s="36" t="inlineStr">
        <is>
          <t>AGA SPK-tilskudd</t>
        </is>
      </c>
      <c r="B1155" s="36" t="inlineStr">
        <is>
          <t>Region Sør</t>
        </is>
      </c>
      <c r="C1155" s="36" t="inlineStr">
        <is>
          <t>Avdeling Vestre Kjenner</t>
        </is>
      </c>
      <c r="D1155" s="26" t="n">
        <v>1392</v>
      </c>
      <c r="E1155" s="26" t="n">
        <v>1263</v>
      </c>
      <c r="F1155" s="26" t="n"/>
      <c r="G1155" s="26" t="n"/>
      <c r="H1155" s="26" t="n"/>
      <c r="I1155" s="26" t="n"/>
      <c r="J1155" s="19" t="n">
        <v>0</v>
      </c>
      <c r="K1155" s="37" t="n">
        <v>0.065</v>
      </c>
    </row>
    <row r="1156">
      <c r="A1156" s="34" t="inlineStr">
        <is>
          <t>AGA SPK-tilskudd</t>
        </is>
      </c>
      <c r="B1156" s="34" t="inlineStr">
        <is>
          <t>Region Sør</t>
        </is>
      </c>
      <c r="C1156" s="34" t="inlineStr">
        <is>
          <t>Avdeling Vestre Kjenner</t>
        </is>
      </c>
      <c r="D1156" s="18" t="n">
        <v>6115</v>
      </c>
      <c r="E1156" s="18" t="n">
        <v>1141</v>
      </c>
      <c r="F1156" s="18" t="n">
        <v>217</v>
      </c>
      <c r="G1156" s="18" t="n"/>
      <c r="H1156" s="18" t="n"/>
      <c r="I1156" s="18" t="n"/>
      <c r="J1156" s="19" t="n">
        <v>0</v>
      </c>
      <c r="K1156" s="35" t="n">
        <v>0.065</v>
      </c>
    </row>
    <row r="1157">
      <c r="A1157" s="36" t="inlineStr">
        <is>
          <t>AGA SPK-tilskudd</t>
        </is>
      </c>
      <c r="B1157" s="36" t="inlineStr">
        <is>
          <t>Region Sør</t>
        </is>
      </c>
      <c r="C1157" s="36" t="inlineStr">
        <is>
          <t>Avdeling Vestre Kjenner</t>
        </is>
      </c>
      <c r="D1157" s="26" t="n"/>
      <c r="E1157" s="26" t="n">
        <v>379</v>
      </c>
      <c r="F1157" s="26" t="n"/>
      <c r="G1157" s="26" t="n"/>
      <c r="H1157" s="26" t="n"/>
      <c r="I1157" s="26" t="n"/>
      <c r="J1157" s="19" t="n">
        <v>0</v>
      </c>
      <c r="K1157" s="37" t="n">
        <v>0.065</v>
      </c>
    </row>
    <row r="1158">
      <c r="A1158" s="34" t="inlineStr">
        <is>
          <t>AGA SPK-tilskudd</t>
        </is>
      </c>
      <c r="B1158" s="34" t="inlineStr">
        <is>
          <t>Region Sør</t>
        </is>
      </c>
      <c r="C1158" s="34" t="inlineStr">
        <is>
          <t>Avdeling Vestre Kjenner</t>
        </is>
      </c>
      <c r="D1158" s="18" t="n"/>
      <c r="E1158" s="18" t="n">
        <v>4450</v>
      </c>
      <c r="F1158" s="18" t="n"/>
      <c r="G1158" s="18" t="n"/>
      <c r="H1158" s="18" t="n"/>
      <c r="I1158" s="18" t="n"/>
      <c r="J1158" s="19" t="n">
        <v>0</v>
      </c>
      <c r="K1158" s="35" t="n">
        <v>0.065</v>
      </c>
    </row>
    <row r="1159">
      <c r="A1159" s="36" t="inlineStr">
        <is>
          <t>AGA SPK-tilskudd</t>
        </is>
      </c>
      <c r="B1159" s="36" t="inlineStr">
        <is>
          <t>Region Sør</t>
        </is>
      </c>
      <c r="C1159" s="36" t="inlineStr">
        <is>
          <t>Avdeling Vestre Kjenner</t>
        </is>
      </c>
      <c r="D1159" s="26" t="n">
        <v>5416</v>
      </c>
      <c r="E1159" s="26" t="n">
        <v>3152</v>
      </c>
      <c r="F1159" s="26" t="n">
        <v>2580</v>
      </c>
      <c r="G1159" s="26" t="n"/>
      <c r="H1159" s="26" t="n"/>
      <c r="I1159" s="26" t="n"/>
      <c r="J1159" s="19" t="n">
        <v>0</v>
      </c>
      <c r="K1159" s="37" t="n">
        <v>0.065</v>
      </c>
    </row>
    <row r="1160">
      <c r="A1160" s="34" t="inlineStr">
        <is>
          <t>AGA SPK-tilskudd</t>
        </is>
      </c>
      <c r="B1160" s="34" t="inlineStr">
        <is>
          <t>Region Sør</t>
        </is>
      </c>
      <c r="C1160" s="34" t="inlineStr">
        <is>
          <t>Avdeling Vestre Kjenner</t>
        </is>
      </c>
      <c r="D1160" s="18" t="n">
        <v>871</v>
      </c>
      <c r="E1160" s="18" t="n">
        <v>270</v>
      </c>
      <c r="F1160" s="18" t="n">
        <v>33</v>
      </c>
      <c r="G1160" s="18" t="n"/>
      <c r="H1160" s="18" t="n"/>
      <c r="I1160" s="18" t="n"/>
      <c r="J1160" s="19" t="n">
        <v>0</v>
      </c>
      <c r="K1160" s="35" t="n">
        <v>0.065</v>
      </c>
    </row>
    <row r="1161">
      <c r="A1161" s="36" t="inlineStr">
        <is>
          <t>AGA SPK-tilskudd</t>
        </is>
      </c>
      <c r="B1161" s="36" t="inlineStr">
        <is>
          <t>Region Sør</t>
        </is>
      </c>
      <c r="C1161" s="36" t="inlineStr">
        <is>
          <t>Avdeling Vestre Kjenner</t>
        </is>
      </c>
      <c r="D1161" s="26" t="n">
        <v>3527</v>
      </c>
      <c r="E1161" s="26" t="n"/>
      <c r="F1161" s="26" t="n"/>
      <c r="G1161" s="26" t="n"/>
      <c r="H1161" s="26" t="n"/>
      <c r="I1161" s="26" t="n"/>
      <c r="J1161" s="19" t="n">
        <v>0</v>
      </c>
      <c r="K1161" s="37" t="n">
        <v>0.065</v>
      </c>
    </row>
    <row r="1162">
      <c r="A1162" s="34" t="inlineStr">
        <is>
          <t>AGA SPK-tilskudd</t>
        </is>
      </c>
      <c r="B1162" s="34" t="inlineStr">
        <is>
          <t>Region Sør</t>
        </is>
      </c>
      <c r="C1162" s="34" t="inlineStr">
        <is>
          <t>Avdeling Vestre Kjenner</t>
        </is>
      </c>
      <c r="D1162" s="18" t="n">
        <v>4172</v>
      </c>
      <c r="E1162" s="18" t="n"/>
      <c r="F1162" s="18" t="n"/>
      <c r="G1162" s="18" t="n"/>
      <c r="H1162" s="18" t="n"/>
      <c r="I1162" s="18" t="n"/>
      <c r="J1162" s="19" t="n">
        <v>0</v>
      </c>
      <c r="K1162" s="35" t="n">
        <v>0.065</v>
      </c>
    </row>
    <row r="1163">
      <c r="A1163" s="36" t="inlineStr">
        <is>
          <t>AGA SPK-tilskudd</t>
        </is>
      </c>
      <c r="B1163" s="36" t="inlineStr">
        <is>
          <t>Region Sør</t>
        </is>
      </c>
      <c r="C1163" s="36" t="inlineStr">
        <is>
          <t>Avdeling Vestre Kjenner</t>
        </is>
      </c>
      <c r="D1163" s="26" t="n">
        <v>1118</v>
      </c>
      <c r="E1163" s="26" t="n">
        <v>9120</v>
      </c>
      <c r="F1163" s="26" t="n">
        <v>2440</v>
      </c>
      <c r="G1163" s="26" t="n">
        <v>400</v>
      </c>
      <c r="H1163" s="26" t="n"/>
      <c r="I1163" s="26" t="n"/>
      <c r="J1163" s="19" t="n">
        <v>0</v>
      </c>
      <c r="K1163" s="37" t="n">
        <v>0.065</v>
      </c>
    </row>
    <row r="1164">
      <c r="A1164" s="34" t="inlineStr">
        <is>
          <t>AGA SPK-tilskudd</t>
        </is>
      </c>
      <c r="B1164" s="34" t="inlineStr">
        <is>
          <t>Region Sør</t>
        </is>
      </c>
      <c r="C1164" s="34" t="inlineStr">
        <is>
          <t>Avdeling Vestre Kjenner</t>
        </is>
      </c>
      <c r="D1164" s="18" t="n">
        <v>-323763</v>
      </c>
      <c r="E1164" s="18" t="n">
        <v>-193168</v>
      </c>
      <c r="F1164" s="18" t="n">
        <v>-88220</v>
      </c>
      <c r="G1164" s="18" t="n"/>
      <c r="H1164" s="18" t="n"/>
      <c r="I1164" s="18" t="n"/>
      <c r="J1164" s="19" t="n">
        <v>0</v>
      </c>
      <c r="K1164" s="35" t="n">
        <v>0.065</v>
      </c>
    </row>
    <row r="1165">
      <c r="A1165" s="36" t="inlineStr">
        <is>
          <t>AGA SPK-tilskudd</t>
        </is>
      </c>
      <c r="B1165" s="36" t="inlineStr">
        <is>
          <t>Region Sør</t>
        </is>
      </c>
      <c r="C1165" s="36" t="inlineStr">
        <is>
          <t>Avdeling Vestre Kjenner</t>
        </is>
      </c>
      <c r="D1165" s="26" t="n">
        <v>-633100</v>
      </c>
      <c r="E1165" s="26" t="n">
        <v>-1613653</v>
      </c>
      <c r="F1165" s="26" t="n">
        <v>-291895</v>
      </c>
      <c r="G1165" s="26" t="n">
        <v>-8420</v>
      </c>
      <c r="H1165" s="26" t="n"/>
      <c r="I1165" s="26" t="n"/>
      <c r="J1165" s="19" t="n">
        <v>0</v>
      </c>
      <c r="K1165" s="37" t="n">
        <v>0.065</v>
      </c>
    </row>
    <row r="1166">
      <c r="A1166" s="34" t="inlineStr">
        <is>
          <t>AGA SPK-tilskudd</t>
        </is>
      </c>
      <c r="B1166" s="34" t="inlineStr">
        <is>
          <t>Region Sør</t>
        </is>
      </c>
      <c r="C1166" s="34" t="inlineStr">
        <is>
          <t>Avdeling akutt</t>
        </is>
      </c>
      <c r="D1166" s="18" t="n">
        <v>-2545</v>
      </c>
      <c r="E1166" s="18" t="n"/>
      <c r="F1166" s="18" t="n"/>
      <c r="G1166" s="18" t="n"/>
      <c r="H1166" s="18" t="n"/>
      <c r="I1166" s="18" t="n"/>
      <c r="J1166" s="19" t="n">
        <v>0</v>
      </c>
      <c r="K1166" s="35" t="n">
        <v>0.065</v>
      </c>
    </row>
    <row r="1167">
      <c r="A1167" s="36" t="inlineStr">
        <is>
          <t>AGA SPK-tilskudd</t>
        </is>
      </c>
      <c r="B1167" s="36" t="inlineStr">
        <is>
          <t>Region Sør</t>
        </is>
      </c>
      <c r="C1167" s="36" t="inlineStr">
        <is>
          <t>Avdeling akutt</t>
        </is>
      </c>
      <c r="D1167" s="26" t="n">
        <v>40</v>
      </c>
      <c r="E1167" s="26" t="n"/>
      <c r="F1167" s="26" t="n"/>
      <c r="G1167" s="26" t="n">
        <v>148</v>
      </c>
      <c r="H1167" s="26" t="n"/>
      <c r="I1167" s="26" t="n"/>
      <c r="J1167" s="19" t="n">
        <v>0</v>
      </c>
      <c r="K1167" s="37" t="n">
        <v>0.065</v>
      </c>
    </row>
    <row r="1168">
      <c r="A1168" s="34" t="inlineStr">
        <is>
          <t>AGA SPK-tilskudd</t>
        </is>
      </c>
      <c r="B1168" s="34" t="inlineStr">
        <is>
          <t>Region Sør</t>
        </is>
      </c>
      <c r="C1168" s="34" t="inlineStr">
        <is>
          <t>Avdeling akutt</t>
        </is>
      </c>
      <c r="D1168" s="18" t="n"/>
      <c r="E1168" s="18" t="n">
        <v>-7515</v>
      </c>
      <c r="F1168" s="18" t="n"/>
      <c r="G1168" s="18" t="n"/>
      <c r="H1168" s="18" t="n"/>
      <c r="I1168" s="18" t="n"/>
      <c r="J1168" s="19" t="n">
        <v>0</v>
      </c>
      <c r="K1168" s="35" t="n">
        <v>0.065</v>
      </c>
    </row>
    <row r="1169">
      <c r="A1169" s="36" t="inlineStr">
        <is>
          <t>AGA SPK-tilskudd</t>
        </is>
      </c>
      <c r="B1169" s="36" t="inlineStr">
        <is>
          <t>Region Sør</t>
        </is>
      </c>
      <c r="C1169" s="36" t="inlineStr">
        <is>
          <t>Avdeling akutt</t>
        </is>
      </c>
      <c r="D1169" s="26" t="n">
        <v>-145543</v>
      </c>
      <c r="E1169" s="26" t="n"/>
      <c r="F1169" s="26" t="n"/>
      <c r="G1169" s="26" t="n"/>
      <c r="H1169" s="26" t="n"/>
      <c r="I1169" s="26" t="n"/>
      <c r="J1169" s="19" t="n">
        <v>0</v>
      </c>
      <c r="K1169" s="37" t="n">
        <v>0.065</v>
      </c>
    </row>
    <row r="1170">
      <c r="A1170" s="34" t="inlineStr">
        <is>
          <t>AGA SPK-tilskudd</t>
        </is>
      </c>
      <c r="B1170" s="34" t="inlineStr">
        <is>
          <t>Region Sør</t>
        </is>
      </c>
      <c r="C1170" s="34" t="inlineStr">
        <is>
          <t>Avdeling akutt</t>
        </is>
      </c>
      <c r="D1170" s="18" t="n"/>
      <c r="E1170" s="18" t="n"/>
      <c r="F1170" s="18" t="n"/>
      <c r="G1170" s="18" t="n">
        <v>180</v>
      </c>
      <c r="H1170" s="18" t="n"/>
      <c r="I1170" s="18" t="n"/>
      <c r="J1170" s="19" t="n">
        <v>0</v>
      </c>
      <c r="K1170" s="35" t="n">
        <v>0.065</v>
      </c>
    </row>
    <row r="1171">
      <c r="A1171" s="36" t="inlineStr">
        <is>
          <t>AGA SPK-tilskudd</t>
        </is>
      </c>
      <c r="B1171" s="36" t="inlineStr">
        <is>
          <t>Region Sør</t>
        </is>
      </c>
      <c r="C1171" s="36" t="inlineStr">
        <is>
          <t>Avdeling akutt</t>
        </is>
      </c>
      <c r="D1171" s="26" t="n">
        <v>22</v>
      </c>
      <c r="E1171" s="26" t="n"/>
      <c r="F1171" s="26" t="n"/>
      <c r="G1171" s="26" t="n">
        <v>47</v>
      </c>
      <c r="H1171" s="26" t="n"/>
      <c r="I1171" s="26" t="n"/>
      <c r="J1171" s="19" t="n">
        <v>0</v>
      </c>
      <c r="K1171" s="37" t="n">
        <v>0.065</v>
      </c>
    </row>
    <row r="1172">
      <c r="A1172" s="34" t="inlineStr">
        <is>
          <t>AGA SPK-tilskudd</t>
        </is>
      </c>
      <c r="B1172" s="34" t="inlineStr">
        <is>
          <t>Region Sør</t>
        </is>
      </c>
      <c r="C1172" s="34" t="inlineStr">
        <is>
          <t>Avdeling akutt</t>
        </is>
      </c>
      <c r="D1172" s="18" t="n">
        <v>-24937</v>
      </c>
      <c r="E1172" s="18" t="n">
        <v>-2010</v>
      </c>
      <c r="F1172" s="18" t="n"/>
      <c r="G1172" s="18" t="n"/>
      <c r="H1172" s="18" t="n"/>
      <c r="I1172" s="18" t="n"/>
      <c r="J1172" s="19" t="n">
        <v>0</v>
      </c>
      <c r="K1172" s="35" t="n">
        <v>0.065</v>
      </c>
    </row>
    <row r="1173">
      <c r="A1173" s="36" t="inlineStr">
        <is>
          <t>AGA SPK-tilskudd</t>
        </is>
      </c>
      <c r="B1173" s="36" t="inlineStr">
        <is>
          <t>Region Sør</t>
        </is>
      </c>
      <c r="C1173" s="36" t="inlineStr">
        <is>
          <t>Avdeling familiehjem</t>
        </is>
      </c>
      <c r="D1173" s="26" t="n"/>
      <c r="E1173" s="26" t="n">
        <v>-2203</v>
      </c>
      <c r="F1173" s="26" t="n"/>
      <c r="G1173" s="26" t="n"/>
      <c r="H1173" s="26" t="n"/>
      <c r="I1173" s="26" t="n"/>
      <c r="J1173" s="19" t="n">
        <v>0</v>
      </c>
      <c r="K1173" s="37" t="n">
        <v>0.065</v>
      </c>
    </row>
    <row r="1174">
      <c r="A1174" s="34" t="inlineStr">
        <is>
          <t>AGA SPK-tilskudd</t>
        </is>
      </c>
      <c r="B1174" s="34" t="inlineStr">
        <is>
          <t>Region Sør</t>
        </is>
      </c>
      <c r="C1174" s="34" t="inlineStr">
        <is>
          <t>Avdeling familiehjem</t>
        </is>
      </c>
      <c r="D1174" s="18" t="n">
        <v>-1</v>
      </c>
      <c r="E1174" s="18" t="n"/>
      <c r="F1174" s="18" t="n"/>
      <c r="G1174" s="18" t="n"/>
      <c r="H1174" s="18" t="n"/>
      <c r="I1174" s="18" t="n"/>
      <c r="J1174" s="19" t="n">
        <v>0</v>
      </c>
      <c r="K1174" s="35" t="n">
        <v>0.065</v>
      </c>
    </row>
    <row r="1175">
      <c r="A1175" s="36" t="inlineStr">
        <is>
          <t>AGA SPK-tilskudd</t>
        </is>
      </c>
      <c r="B1175" s="36" t="inlineStr">
        <is>
          <t>Region Sør</t>
        </is>
      </c>
      <c r="C1175" s="36" t="inlineStr">
        <is>
          <t>BVT behandling ungdom Adm</t>
        </is>
      </c>
      <c r="D1175" s="26" t="n">
        <v>17074</v>
      </c>
      <c r="E1175" s="26" t="n">
        <v>22097</v>
      </c>
      <c r="F1175" s="26" t="n">
        <v>17029</v>
      </c>
      <c r="G1175" s="26" t="n">
        <v>16284</v>
      </c>
      <c r="H1175" s="26" t="n"/>
      <c r="I1175" s="26" t="n"/>
      <c r="J1175" s="19" t="n">
        <v>0</v>
      </c>
      <c r="K1175" s="37" t="n">
        <v>0.065</v>
      </c>
    </row>
    <row r="1176">
      <c r="A1176" s="34" t="inlineStr">
        <is>
          <t>AGA SPK-tilskudd</t>
        </is>
      </c>
      <c r="B1176" s="34" t="inlineStr">
        <is>
          <t>Region Sør</t>
        </is>
      </c>
      <c r="C1176" s="34" t="inlineStr">
        <is>
          <t>BVT behandling ungdom Adm</t>
        </is>
      </c>
      <c r="D1176" s="18" t="n">
        <v>10489</v>
      </c>
      <c r="E1176" s="18" t="n">
        <v>3678</v>
      </c>
      <c r="F1176" s="18" t="n">
        <v>8450</v>
      </c>
      <c r="G1176" s="18" t="n"/>
      <c r="H1176" s="18" t="n"/>
      <c r="I1176" s="18" t="n"/>
      <c r="J1176" s="19" t="n">
        <v>0</v>
      </c>
      <c r="K1176" s="35" t="n">
        <v>0.065</v>
      </c>
    </row>
    <row r="1177">
      <c r="A1177" s="36" t="inlineStr">
        <is>
          <t>AGA SPK-tilskudd</t>
        </is>
      </c>
      <c r="B1177" s="36" t="inlineStr">
        <is>
          <t>Region Sør</t>
        </is>
      </c>
      <c r="C1177" s="36" t="inlineStr">
        <is>
          <t>BVT behandling ungdom Adm</t>
        </is>
      </c>
      <c r="D1177" s="26" t="n">
        <v>1968</v>
      </c>
      <c r="E1177" s="26" t="n">
        <v>3239</v>
      </c>
      <c r="F1177" s="26" t="n">
        <v>2556</v>
      </c>
      <c r="G1177" s="26" t="n">
        <v>3186</v>
      </c>
      <c r="H1177" s="26" t="n">
        <v>1665</v>
      </c>
      <c r="I1177" s="26" t="n">
        <v>1730</v>
      </c>
      <c r="J1177" s="19" t="n">
        <v>1643.064100277104</v>
      </c>
      <c r="K1177" s="37" t="n">
        <v>-0.02544982948939134</v>
      </c>
    </row>
    <row r="1178">
      <c r="A1178" s="34" t="inlineStr">
        <is>
          <t>AGA SPK-tilskudd</t>
        </is>
      </c>
      <c r="B1178" s="34" t="inlineStr">
        <is>
          <t>Region Sør</t>
        </is>
      </c>
      <c r="C1178" s="34" t="inlineStr">
        <is>
          <t>BVT behandling ungdom Adm</t>
        </is>
      </c>
      <c r="D1178" s="18" t="n"/>
      <c r="E1178" s="18" t="n">
        <v>2164</v>
      </c>
      <c r="F1178" s="18" t="n">
        <v>5151</v>
      </c>
      <c r="G1178" s="18" t="n"/>
      <c r="H1178" s="18" t="n"/>
      <c r="I1178" s="18" t="n"/>
      <c r="J1178" s="19" t="n">
        <v>0</v>
      </c>
      <c r="K1178" s="35" t="n">
        <v>0.065</v>
      </c>
    </row>
    <row r="1179">
      <c r="A1179" s="36" t="inlineStr">
        <is>
          <t>AGA SPK-tilskudd</t>
        </is>
      </c>
      <c r="B1179" s="36" t="inlineStr">
        <is>
          <t>Region Sør</t>
        </is>
      </c>
      <c r="C1179" s="36" t="inlineStr">
        <is>
          <t>BVT behandling ungdom Adm</t>
        </is>
      </c>
      <c r="D1179" s="26" t="n">
        <v>5758</v>
      </c>
      <c r="E1179" s="26" t="n">
        <v>4571</v>
      </c>
      <c r="F1179" s="26" t="n">
        <v>18718</v>
      </c>
      <c r="G1179" s="26" t="n">
        <v>658</v>
      </c>
      <c r="H1179" s="26" t="n"/>
      <c r="I1179" s="26" t="n"/>
      <c r="J1179" s="19" t="n">
        <v>0</v>
      </c>
      <c r="K1179" s="37" t="n">
        <v>0.065</v>
      </c>
    </row>
    <row r="1180">
      <c r="A1180" s="34" t="inlineStr">
        <is>
          <t>AGA SPK-tilskudd</t>
        </is>
      </c>
      <c r="B1180" s="34" t="inlineStr">
        <is>
          <t>Region Sør</t>
        </is>
      </c>
      <c r="C1180" s="34" t="inlineStr">
        <is>
          <t>BVT behandling ungdom Adm</t>
        </is>
      </c>
      <c r="D1180" s="18" t="n"/>
      <c r="E1180" s="18" t="n"/>
      <c r="F1180" s="18" t="n">
        <v>377</v>
      </c>
      <c r="G1180" s="18" t="n"/>
      <c r="H1180" s="18" t="n"/>
      <c r="I1180" s="18" t="n"/>
      <c r="J1180" s="19" t="n">
        <v>0</v>
      </c>
      <c r="K1180" s="35" t="n">
        <v>0.065</v>
      </c>
    </row>
    <row r="1181">
      <c r="A1181" s="36" t="inlineStr">
        <is>
          <t>AGA SPK-tilskudd</t>
        </is>
      </c>
      <c r="B1181" s="36" t="inlineStr">
        <is>
          <t>Region Sør</t>
        </is>
      </c>
      <c r="C1181" s="36" t="inlineStr">
        <is>
          <t>BVT behandling ungdom Adm</t>
        </is>
      </c>
      <c r="D1181" s="26" t="n">
        <v>2210</v>
      </c>
      <c r="E1181" s="26" t="n">
        <v>302</v>
      </c>
      <c r="F1181" s="26" t="n">
        <v>3174</v>
      </c>
      <c r="G1181" s="26" t="n">
        <v>107</v>
      </c>
      <c r="H1181" s="26" t="n"/>
      <c r="I1181" s="26" t="n"/>
      <c r="J1181" s="19" t="n">
        <v>0</v>
      </c>
      <c r="K1181" s="37" t="n">
        <v>0.065</v>
      </c>
    </row>
    <row r="1182">
      <c r="A1182" s="34" t="inlineStr">
        <is>
          <t>AGA SPK-tilskudd</t>
        </is>
      </c>
      <c r="B1182" s="34" t="inlineStr">
        <is>
          <t>Region Sør</t>
        </is>
      </c>
      <c r="C1182" s="34" t="inlineStr">
        <is>
          <t>BVT behandling ungdom Adm</t>
        </is>
      </c>
      <c r="D1182" s="18" t="n">
        <v>3674</v>
      </c>
      <c r="E1182" s="18" t="n">
        <v>2804</v>
      </c>
      <c r="F1182" s="18" t="n">
        <v>5000</v>
      </c>
      <c r="G1182" s="18" t="n"/>
      <c r="H1182" s="18" t="n"/>
      <c r="I1182" s="18" t="n"/>
      <c r="J1182" s="19" t="n">
        <v>0</v>
      </c>
      <c r="K1182" s="35" t="n">
        <v>0.065</v>
      </c>
    </row>
    <row r="1183">
      <c r="A1183" s="36" t="inlineStr">
        <is>
          <t>AGA SPK-tilskudd</t>
        </is>
      </c>
      <c r="B1183" s="36" t="inlineStr">
        <is>
          <t>Region Sør</t>
        </is>
      </c>
      <c r="C1183" s="36" t="inlineStr">
        <is>
          <t>BVT behandling ungdom Adm</t>
        </is>
      </c>
      <c r="D1183" s="26" t="n">
        <v>872</v>
      </c>
      <c r="E1183" s="26" t="n">
        <v>692</v>
      </c>
      <c r="F1183" s="26" t="n">
        <v>2754</v>
      </c>
      <c r="G1183" s="26" t="n">
        <v>184</v>
      </c>
      <c r="H1183" s="26" t="n"/>
      <c r="I1183" s="26" t="n"/>
      <c r="J1183" s="19" t="n">
        <v>0</v>
      </c>
      <c r="K1183" s="37" t="n">
        <v>0.065</v>
      </c>
    </row>
    <row r="1184">
      <c r="A1184" s="34" t="inlineStr">
        <is>
          <t>AGA SPK-tilskudd</t>
        </is>
      </c>
      <c r="B1184" s="34" t="inlineStr">
        <is>
          <t>Region Sør</t>
        </is>
      </c>
      <c r="C1184" s="34" t="inlineStr">
        <is>
          <t>BVT behandling ungdom Adm</t>
        </is>
      </c>
      <c r="D1184" s="18" t="n"/>
      <c r="E1184" s="18" t="n">
        <v>5880</v>
      </c>
      <c r="F1184" s="18" t="n"/>
      <c r="G1184" s="18" t="n"/>
      <c r="H1184" s="18" t="n"/>
      <c r="I1184" s="18" t="n"/>
      <c r="J1184" s="19" t="n">
        <v>0</v>
      </c>
      <c r="K1184" s="35" t="n">
        <v>0.065</v>
      </c>
    </row>
    <row r="1185">
      <c r="A1185" s="36" t="inlineStr">
        <is>
          <t>AGA SPK-tilskudd</t>
        </is>
      </c>
      <c r="B1185" s="36" t="inlineStr">
        <is>
          <t>Region Sør</t>
        </is>
      </c>
      <c r="C1185" s="36" t="inlineStr">
        <is>
          <t>BVT behandling ungdom Adm</t>
        </is>
      </c>
      <c r="D1185" s="26" t="n">
        <v>902</v>
      </c>
      <c r="E1185" s="26" t="n">
        <v>3962</v>
      </c>
      <c r="F1185" s="26" t="n">
        <v>2620</v>
      </c>
      <c r="G1185" s="26" t="n">
        <v>2801</v>
      </c>
      <c r="H1185" s="26" t="n">
        <v>235</v>
      </c>
      <c r="I1185" s="26" t="n"/>
      <c r="J1185" s="19" t="n">
        <v>0</v>
      </c>
      <c r="K1185" s="37" t="n">
        <v>0.065</v>
      </c>
    </row>
    <row r="1186">
      <c r="A1186" s="34" t="inlineStr">
        <is>
          <t>AGA SPK-tilskudd</t>
        </is>
      </c>
      <c r="B1186" s="34" t="inlineStr">
        <is>
          <t>Region Sør</t>
        </is>
      </c>
      <c r="C1186" s="34" t="inlineStr">
        <is>
          <t>BVT behandling ungdom Adm</t>
        </is>
      </c>
      <c r="D1186" s="18" t="n">
        <v>-54188</v>
      </c>
      <c r="E1186" s="18" t="n">
        <v>-30153</v>
      </c>
      <c r="F1186" s="18" t="n">
        <v>-134599</v>
      </c>
      <c r="G1186" s="18" t="n">
        <v>-537985</v>
      </c>
      <c r="H1186" s="18" t="n">
        <v>-15282</v>
      </c>
      <c r="I1186" s="18" t="n"/>
      <c r="J1186" s="19" t="n">
        <v>0</v>
      </c>
      <c r="K1186" s="35" t="n">
        <v>0.065</v>
      </c>
    </row>
    <row r="1187">
      <c r="A1187" s="36" t="inlineStr">
        <is>
          <t>AGA SPK-tilskudd</t>
        </is>
      </c>
      <c r="B1187" s="36" t="inlineStr">
        <is>
          <t>Region Sør</t>
        </is>
      </c>
      <c r="C1187" s="36" t="inlineStr">
        <is>
          <t>Barkåker ungdomssenter akutt.</t>
        </is>
      </c>
      <c r="D1187" s="26" t="n"/>
      <c r="E1187" s="26" t="n">
        <v>11242</v>
      </c>
      <c r="F1187" s="26" t="n">
        <v>9970</v>
      </c>
      <c r="G1187" s="26" t="n">
        <v>9990</v>
      </c>
      <c r="H1187" s="26" t="n">
        <v>10595</v>
      </c>
      <c r="I1187" s="26" t="n">
        <v>11146</v>
      </c>
      <c r="J1187" s="19" t="n">
        <v>11098.3078575446</v>
      </c>
      <c r="K1187" s="37" t="n">
        <v>-0.002141722091432929</v>
      </c>
    </row>
    <row r="1188">
      <c r="A1188" s="34" t="inlineStr">
        <is>
          <t>AGA SPK-tilskudd</t>
        </is>
      </c>
      <c r="B1188" s="34" t="inlineStr">
        <is>
          <t>Region Sør</t>
        </is>
      </c>
      <c r="C1188" s="34" t="inlineStr">
        <is>
          <t>Barkåker ungdomssenter akutt.</t>
        </is>
      </c>
      <c r="D1188" s="18" t="n"/>
      <c r="E1188" s="18" t="n"/>
      <c r="F1188" s="18" t="n"/>
      <c r="G1188" s="18" t="n">
        <v>6276</v>
      </c>
      <c r="H1188" s="18" t="n">
        <v>51027</v>
      </c>
      <c r="I1188" s="18" t="n">
        <v>42814</v>
      </c>
      <c r="J1188" s="19" t="n">
        <v>48560.70915</v>
      </c>
      <c r="K1188" s="35" t="n">
        <v>0.065</v>
      </c>
    </row>
    <row r="1189">
      <c r="A1189" s="36" t="inlineStr">
        <is>
          <t>AGA SPK-tilskudd</t>
        </is>
      </c>
      <c r="B1189" s="36" t="inlineStr">
        <is>
          <t>Region Sør</t>
        </is>
      </c>
      <c r="C1189" s="36" t="inlineStr">
        <is>
          <t>Barkåker ungdomssenter akutt.</t>
        </is>
      </c>
      <c r="D1189" s="26" t="n"/>
      <c r="E1189" s="26" t="n">
        <v>1227</v>
      </c>
      <c r="F1189" s="26" t="n">
        <v>1227</v>
      </c>
      <c r="G1189" s="26" t="n">
        <v>1593</v>
      </c>
      <c r="H1189" s="26" t="n">
        <v>1665</v>
      </c>
      <c r="I1189" s="26" t="n">
        <v>1730</v>
      </c>
      <c r="J1189" s="19" t="n">
        <v>2054.219622121433</v>
      </c>
      <c r="K1189" s="37" t="n">
        <v>0.08968352570705584</v>
      </c>
    </row>
    <row r="1190">
      <c r="A1190" s="34" t="inlineStr">
        <is>
          <t>AGA SPK-tilskudd</t>
        </is>
      </c>
      <c r="B1190" s="34" t="inlineStr">
        <is>
          <t>Region Sør</t>
        </is>
      </c>
      <c r="C1190" s="34" t="inlineStr">
        <is>
          <t>Barkåker ungdomssenter akutt.</t>
        </is>
      </c>
      <c r="D1190" s="18" t="n"/>
      <c r="E1190" s="18" t="n"/>
      <c r="F1190" s="18" t="n"/>
      <c r="G1190" s="18" t="n">
        <v>2841</v>
      </c>
      <c r="H1190" s="18" t="n">
        <v>1038</v>
      </c>
      <c r="I1190" s="18" t="n">
        <v>1001</v>
      </c>
      <c r="J1190" s="19" t="n">
        <v>1135.359225</v>
      </c>
      <c r="K1190" s="35" t="n">
        <v>0.065</v>
      </c>
    </row>
    <row r="1191">
      <c r="A1191" s="36" t="inlineStr">
        <is>
          <t>AGA SPK-tilskudd</t>
        </is>
      </c>
      <c r="B1191" s="36" t="inlineStr">
        <is>
          <t>Region Sør</t>
        </is>
      </c>
      <c r="C1191" s="36" t="inlineStr">
        <is>
          <t>Barkåker ungdomssenter akutt.</t>
        </is>
      </c>
      <c r="D1191" s="26" t="n"/>
      <c r="E1191" s="26" t="n"/>
      <c r="F1191" s="26" t="n"/>
      <c r="G1191" s="26" t="n">
        <v>824</v>
      </c>
      <c r="H1191" s="26" t="n">
        <v>3980</v>
      </c>
      <c r="I1191" s="26" t="n">
        <v>5466</v>
      </c>
      <c r="J1191" s="19" t="n">
        <v>6199.673849999999</v>
      </c>
      <c r="K1191" s="37" t="n">
        <v>0.065</v>
      </c>
    </row>
    <row r="1192">
      <c r="A1192" s="34" t="inlineStr">
        <is>
          <t>AGA SPK-tilskudd</t>
        </is>
      </c>
      <c r="B1192" s="34" t="inlineStr">
        <is>
          <t>Region Sør</t>
        </is>
      </c>
      <c r="C1192" s="34" t="inlineStr">
        <is>
          <t>Barkåker ungdomssenter akutt.</t>
        </is>
      </c>
      <c r="D1192" s="18" t="n"/>
      <c r="E1192" s="18" t="n">
        <v>333</v>
      </c>
      <c r="F1192" s="18" t="n"/>
      <c r="G1192" s="18" t="n"/>
      <c r="H1192" s="18" t="n">
        <v>1220</v>
      </c>
      <c r="I1192" s="18" t="n"/>
      <c r="J1192" s="19" t="n">
        <v>0</v>
      </c>
      <c r="K1192" s="35" t="n">
        <v>0.065</v>
      </c>
    </row>
    <row r="1193">
      <c r="A1193" s="36" t="inlineStr">
        <is>
          <t>AGA SPK-tilskudd</t>
        </is>
      </c>
      <c r="B1193" s="36" t="inlineStr">
        <is>
          <t>Region Sør</t>
        </is>
      </c>
      <c r="C1193" s="36" t="inlineStr">
        <is>
          <t>Barkåker ungdomssenter akutt.</t>
        </is>
      </c>
      <c r="D1193" s="26" t="n"/>
      <c r="E1193" s="26" t="n"/>
      <c r="F1193" s="26" t="n"/>
      <c r="G1193" s="26" t="n">
        <v>498</v>
      </c>
      <c r="H1193" s="26" t="n">
        <v>2287</v>
      </c>
      <c r="I1193" s="26" t="n"/>
      <c r="J1193" s="19" t="n">
        <v>0</v>
      </c>
      <c r="K1193" s="37" t="n">
        <v>0.065</v>
      </c>
    </row>
    <row r="1194">
      <c r="A1194" s="34" t="inlineStr">
        <is>
          <t>AGA SPK-tilskudd</t>
        </is>
      </c>
      <c r="B1194" s="34" t="inlineStr">
        <is>
          <t>Region Sør</t>
        </is>
      </c>
      <c r="C1194" s="34" t="inlineStr">
        <is>
          <t>Barkåker ungdomssenter akutt.</t>
        </is>
      </c>
      <c r="D1194" s="18" t="n"/>
      <c r="E1194" s="18" t="n"/>
      <c r="F1194" s="18" t="n"/>
      <c r="G1194" s="18" t="n">
        <v>910</v>
      </c>
      <c r="H1194" s="18" t="n">
        <v>1613</v>
      </c>
      <c r="I1194" s="18" t="n">
        <v>2130</v>
      </c>
      <c r="J1194" s="19" t="n">
        <v>2415.899249999999</v>
      </c>
      <c r="K1194" s="35" t="n">
        <v>0.065</v>
      </c>
    </row>
    <row r="1195">
      <c r="A1195" s="36" t="inlineStr">
        <is>
          <t>AGA SPK-tilskudd</t>
        </is>
      </c>
      <c r="B1195" s="36" t="inlineStr">
        <is>
          <t>Region Sør</t>
        </is>
      </c>
      <c r="C1195" s="36" t="inlineStr">
        <is>
          <t>Barkåker ungdomssenter akutt.</t>
        </is>
      </c>
      <c r="D1195" s="26" t="n"/>
      <c r="E1195" s="26" t="n"/>
      <c r="F1195" s="26" t="n"/>
      <c r="G1195" s="26" t="n"/>
      <c r="H1195" s="26" t="n">
        <v>564</v>
      </c>
      <c r="I1195" s="26" t="n"/>
      <c r="J1195" s="19" t="n">
        <v>0</v>
      </c>
      <c r="K1195" s="37" t="n">
        <v>0.065</v>
      </c>
    </row>
    <row r="1196">
      <c r="A1196" s="34" t="inlineStr">
        <is>
          <t>AGA SPK-tilskudd</t>
        </is>
      </c>
      <c r="B1196" s="34" t="inlineStr">
        <is>
          <t>Region Sør</t>
        </is>
      </c>
      <c r="C1196" s="34" t="inlineStr">
        <is>
          <t>Barkåker.</t>
        </is>
      </c>
      <c r="D1196" s="18" t="n"/>
      <c r="E1196" s="18" t="n">
        <v>220560</v>
      </c>
      <c r="F1196" s="18" t="n">
        <v>204596</v>
      </c>
      <c r="G1196" s="18" t="n">
        <v>250229</v>
      </c>
      <c r="H1196" s="18" t="n">
        <v>252125</v>
      </c>
      <c r="I1196" s="18" t="n">
        <v>244064</v>
      </c>
      <c r="J1196" s="19" t="n">
        <v>256739.2159065033</v>
      </c>
      <c r="K1196" s="35" t="n">
        <v>0.02563833008793392</v>
      </c>
    </row>
    <row r="1197">
      <c r="A1197" s="36" t="inlineStr">
        <is>
          <t>AGA SPK-tilskudd</t>
        </is>
      </c>
      <c r="B1197" s="36" t="inlineStr">
        <is>
          <t>Region Sør</t>
        </is>
      </c>
      <c r="C1197" s="36" t="inlineStr">
        <is>
          <t>Barkåker.</t>
        </is>
      </c>
      <c r="D1197" s="26" t="n"/>
      <c r="E1197" s="26" t="n">
        <v>156394</v>
      </c>
      <c r="F1197" s="26" t="n">
        <v>135003</v>
      </c>
      <c r="G1197" s="26" t="n">
        <v>401056</v>
      </c>
      <c r="H1197" s="26" t="n">
        <v>463606</v>
      </c>
      <c r="I1197" s="26" t="n">
        <v>294231</v>
      </c>
      <c r="J1197" s="19" t="n">
        <v>403573.4597683138</v>
      </c>
      <c r="K1197" s="37" t="n">
        <v>0.1711623031948848</v>
      </c>
    </row>
    <row r="1198">
      <c r="A1198" s="34" t="inlineStr">
        <is>
          <t>AGA SPK-tilskudd</t>
        </is>
      </c>
      <c r="B1198" s="34" t="inlineStr">
        <is>
          <t>Region Sør</t>
        </is>
      </c>
      <c r="C1198" s="34" t="inlineStr">
        <is>
          <t>Barkåker.</t>
        </is>
      </c>
      <c r="D1198" s="18" t="n"/>
      <c r="E1198" s="18" t="n">
        <v>141</v>
      </c>
      <c r="F1198" s="18" t="n">
        <v>7648</v>
      </c>
      <c r="G1198" s="18" t="n">
        <v>60382</v>
      </c>
      <c r="H1198" s="18" t="n">
        <v>59624</v>
      </c>
      <c r="I1198" s="18" t="n">
        <v>60467</v>
      </c>
      <c r="J1198" s="19" t="n">
        <v>94479.6875</v>
      </c>
      <c r="K1198" s="35" t="n">
        <v>0.25</v>
      </c>
    </row>
    <row r="1199">
      <c r="A1199" s="36" t="inlineStr">
        <is>
          <t>AGA SPK-tilskudd</t>
        </is>
      </c>
      <c r="B1199" s="36" t="inlineStr">
        <is>
          <t>Region Sør</t>
        </is>
      </c>
      <c r="C1199" s="36" t="inlineStr">
        <is>
          <t>Barkåker.</t>
        </is>
      </c>
      <c r="D1199" s="26" t="n"/>
      <c r="E1199" s="26" t="n">
        <v>72591</v>
      </c>
      <c r="F1199" s="26" t="n">
        <v>61964</v>
      </c>
      <c r="G1199" s="26" t="n">
        <v>93804</v>
      </c>
      <c r="H1199" s="26" t="n">
        <v>98374</v>
      </c>
      <c r="I1199" s="26" t="n">
        <v>95430</v>
      </c>
      <c r="J1199" s="19" t="n">
        <v>109417.3005769063</v>
      </c>
      <c r="K1199" s="37" t="n">
        <v>0.0707807034393535</v>
      </c>
    </row>
    <row r="1200">
      <c r="A1200" s="34" t="inlineStr">
        <is>
          <t>AGA SPK-tilskudd</t>
        </is>
      </c>
      <c r="B1200" s="34" t="inlineStr">
        <is>
          <t>Region Sør</t>
        </is>
      </c>
      <c r="C1200" s="34" t="inlineStr">
        <is>
          <t>Barkåker.</t>
        </is>
      </c>
      <c r="D1200" s="18" t="n"/>
      <c r="E1200" s="18" t="n"/>
      <c r="F1200" s="18" t="n">
        <v>1509</v>
      </c>
      <c r="G1200" s="18" t="n">
        <v>8734</v>
      </c>
      <c r="H1200" s="18" t="n">
        <v>28625</v>
      </c>
      <c r="I1200" s="18" t="n">
        <v>1990</v>
      </c>
      <c r="J1200" s="19" t="n">
        <v>2257.10775</v>
      </c>
      <c r="K1200" s="35" t="n">
        <v>0.065</v>
      </c>
    </row>
    <row r="1201">
      <c r="A1201" s="36" t="inlineStr">
        <is>
          <t>AGA SPK-tilskudd</t>
        </is>
      </c>
      <c r="B1201" s="36" t="inlineStr">
        <is>
          <t>Region Sør</t>
        </is>
      </c>
      <c r="C1201" s="36" t="inlineStr">
        <is>
          <t>Barkåker.</t>
        </is>
      </c>
      <c r="D1201" s="26" t="n"/>
      <c r="E1201" s="26" t="n">
        <v>2498</v>
      </c>
      <c r="F1201" s="26" t="n">
        <v>11118</v>
      </c>
      <c r="G1201" s="26" t="n">
        <v>9913</v>
      </c>
      <c r="H1201" s="26" t="n">
        <v>4515</v>
      </c>
      <c r="I1201" s="26" t="n">
        <v>13620</v>
      </c>
      <c r="J1201" s="19" t="n">
        <v>21281.25</v>
      </c>
      <c r="K1201" s="37" t="n">
        <v>0.25</v>
      </c>
    </row>
    <row r="1202">
      <c r="A1202" s="34" t="inlineStr">
        <is>
          <t>AGA SPK-tilskudd</t>
        </is>
      </c>
      <c r="B1202" s="34" t="inlineStr">
        <is>
          <t>Region Sør</t>
        </is>
      </c>
      <c r="C1202" s="34" t="inlineStr">
        <is>
          <t>Barkåker.</t>
        </is>
      </c>
      <c r="D1202" s="18" t="n"/>
      <c r="E1202" s="18" t="n">
        <v>474</v>
      </c>
      <c r="F1202" s="18" t="n">
        <v>3393</v>
      </c>
      <c r="G1202" s="18" t="n">
        <v>12836</v>
      </c>
      <c r="H1202" s="18" t="n">
        <v>10190</v>
      </c>
      <c r="I1202" s="18" t="n">
        <v>7659</v>
      </c>
      <c r="J1202" s="19" t="n">
        <v>11967.1875</v>
      </c>
      <c r="K1202" s="35" t="n">
        <v>0.25</v>
      </c>
    </row>
    <row r="1203">
      <c r="A1203" s="36" t="inlineStr">
        <is>
          <t>AGA SPK-tilskudd</t>
        </is>
      </c>
      <c r="B1203" s="36" t="inlineStr">
        <is>
          <t>Region Sør</t>
        </is>
      </c>
      <c r="C1203" s="36" t="inlineStr">
        <is>
          <t>Barkåker.</t>
        </is>
      </c>
      <c r="D1203" s="26" t="n"/>
      <c r="E1203" s="26" t="n">
        <v>16895</v>
      </c>
      <c r="F1203" s="26" t="n">
        <v>18175</v>
      </c>
      <c r="G1203" s="26" t="n">
        <v>18376</v>
      </c>
      <c r="H1203" s="26" t="n">
        <v>6829</v>
      </c>
      <c r="I1203" s="26" t="n">
        <v>636</v>
      </c>
      <c r="J1203" s="19" t="n">
        <v>357.75</v>
      </c>
      <c r="K1203" s="37" t="n">
        <v>-0.25</v>
      </c>
    </row>
    <row r="1204">
      <c r="A1204" s="34" t="inlineStr">
        <is>
          <t>AGA SPK-tilskudd</t>
        </is>
      </c>
      <c r="B1204" s="34" t="inlineStr">
        <is>
          <t>Region Sør</t>
        </is>
      </c>
      <c r="C1204" s="34" t="inlineStr">
        <is>
          <t>Barkåker.</t>
        </is>
      </c>
      <c r="D1204" s="18" t="n"/>
      <c r="E1204" s="18" t="n">
        <v>8088</v>
      </c>
      <c r="F1204" s="18" t="n">
        <v>13699</v>
      </c>
      <c r="G1204" s="18" t="n">
        <v>15266</v>
      </c>
      <c r="H1204" s="18" t="n">
        <v>23782</v>
      </c>
      <c r="I1204" s="18" t="n">
        <v>7671</v>
      </c>
      <c r="J1204" s="19" t="n">
        <v>7470.633015660291</v>
      </c>
      <c r="K1204" s="35" t="n">
        <v>-0.01314644477097582</v>
      </c>
    </row>
    <row r="1205">
      <c r="A1205" s="36" t="inlineStr">
        <is>
          <t>AGA SPK-tilskudd</t>
        </is>
      </c>
      <c r="B1205" s="36" t="inlineStr">
        <is>
          <t>Region Sør</t>
        </is>
      </c>
      <c r="C1205" s="36" t="inlineStr">
        <is>
          <t>Barkåker.</t>
        </is>
      </c>
      <c r="D1205" s="26" t="n"/>
      <c r="E1205" s="26" t="n">
        <v>1034</v>
      </c>
      <c r="F1205" s="26" t="n">
        <v>3334</v>
      </c>
      <c r="G1205" s="26" t="n">
        <v>6386</v>
      </c>
      <c r="H1205" s="26" t="n">
        <v>6006</v>
      </c>
      <c r="I1205" s="26" t="n">
        <v>7058</v>
      </c>
      <c r="J1205" s="19" t="n">
        <v>11028.125</v>
      </c>
      <c r="K1205" s="37" t="n">
        <v>0.25</v>
      </c>
    </row>
    <row r="1206">
      <c r="A1206" s="34" t="inlineStr">
        <is>
          <t>AGA SPK-tilskudd</t>
        </is>
      </c>
      <c r="B1206" s="34" t="inlineStr">
        <is>
          <t>Region Sør</t>
        </is>
      </c>
      <c r="C1206" s="34" t="inlineStr">
        <is>
          <t>Barkåker.</t>
        </is>
      </c>
      <c r="D1206" s="18" t="n"/>
      <c r="E1206" s="18" t="n"/>
      <c r="F1206" s="18" t="n"/>
      <c r="G1206" s="18" t="n">
        <v>4390</v>
      </c>
      <c r="H1206" s="18" t="n">
        <v>3761</v>
      </c>
      <c r="I1206" s="18" t="n">
        <v>15159</v>
      </c>
      <c r="J1206" s="19" t="n">
        <v>17193.716775</v>
      </c>
      <c r="K1206" s="35" t="n">
        <v>0.065</v>
      </c>
    </row>
    <row r="1207">
      <c r="A1207" s="36" t="inlineStr">
        <is>
          <t>AGA SPK-tilskudd</t>
        </is>
      </c>
      <c r="B1207" s="36" t="inlineStr">
        <is>
          <t>Region Sør</t>
        </is>
      </c>
      <c r="C1207" s="36" t="inlineStr">
        <is>
          <t>Barkåker.</t>
        </is>
      </c>
      <c r="D1207" s="26" t="n"/>
      <c r="E1207" s="26" t="n">
        <v>300</v>
      </c>
      <c r="F1207" s="26" t="n"/>
      <c r="G1207" s="26" t="n"/>
      <c r="H1207" s="26" t="n"/>
      <c r="I1207" s="26" t="n"/>
      <c r="J1207" s="19" t="n">
        <v>0</v>
      </c>
      <c r="K1207" s="37" t="n">
        <v>0.065</v>
      </c>
    </row>
    <row r="1208">
      <c r="A1208" s="34" t="inlineStr">
        <is>
          <t>AGA SPK-tilskudd</t>
        </is>
      </c>
      <c r="B1208" s="34" t="inlineStr">
        <is>
          <t>Region Sør</t>
        </is>
      </c>
      <c r="C1208" s="34" t="inlineStr">
        <is>
          <t>Barkåker.</t>
        </is>
      </c>
      <c r="D1208" s="18" t="n"/>
      <c r="E1208" s="18" t="n">
        <v>-300</v>
      </c>
      <c r="F1208" s="18" t="n"/>
      <c r="G1208" s="18" t="n"/>
      <c r="H1208" s="18" t="n"/>
      <c r="I1208" s="18" t="n"/>
      <c r="J1208" s="19" t="n">
        <v>0</v>
      </c>
      <c r="K1208" s="35" t="n">
        <v>0.065</v>
      </c>
    </row>
    <row r="1209">
      <c r="A1209" s="36" t="inlineStr">
        <is>
          <t>AGA SPK-tilskudd</t>
        </is>
      </c>
      <c r="B1209" s="36" t="inlineStr">
        <is>
          <t>Region Sør</t>
        </is>
      </c>
      <c r="C1209" s="36" t="inlineStr">
        <is>
          <t>Barkåker.</t>
        </is>
      </c>
      <c r="D1209" s="26" t="n"/>
      <c r="E1209" s="26" t="n"/>
      <c r="F1209" s="26" t="n"/>
      <c r="G1209" s="26" t="n"/>
      <c r="H1209" s="26" t="n"/>
      <c r="I1209" s="26" t="n">
        <v>-1990</v>
      </c>
      <c r="J1209" s="19" t="n">
        <v>-2257.10775</v>
      </c>
      <c r="K1209" s="37" t="n">
        <v>0.065</v>
      </c>
    </row>
    <row r="1210">
      <c r="A1210" s="34" t="inlineStr">
        <is>
          <t>AGA SPK-tilskudd</t>
        </is>
      </c>
      <c r="B1210" s="34" t="inlineStr">
        <is>
          <t>Region Sør</t>
        </is>
      </c>
      <c r="C1210" s="34" t="inlineStr">
        <is>
          <t>Barkåker.</t>
        </is>
      </c>
      <c r="D1210" s="18" t="n"/>
      <c r="E1210" s="18" t="n">
        <v>2584</v>
      </c>
      <c r="F1210" s="18" t="n">
        <v>3238</v>
      </c>
      <c r="G1210" s="18" t="n">
        <v>5106</v>
      </c>
      <c r="H1210" s="18" t="n">
        <v>-12725</v>
      </c>
      <c r="I1210" s="18" t="n">
        <v>-11980</v>
      </c>
      <c r="J1210" s="19" t="n">
        <v>-13588.0155</v>
      </c>
      <c r="K1210" s="35" t="n">
        <v>0.065</v>
      </c>
    </row>
    <row r="1211">
      <c r="A1211" s="36" t="inlineStr">
        <is>
          <t>AGA SPK-tilskudd</t>
        </is>
      </c>
      <c r="B1211" s="36" t="inlineStr">
        <is>
          <t>Region Sør</t>
        </is>
      </c>
      <c r="C1211" s="36" t="inlineStr">
        <is>
          <t>Barkåker.</t>
        </is>
      </c>
      <c r="D1211" s="26" t="n"/>
      <c r="E1211" s="26" t="n"/>
      <c r="F1211" s="26" t="n"/>
      <c r="G1211" s="26" t="n">
        <v>-35200</v>
      </c>
      <c r="H1211" s="26" t="n">
        <v>-5000</v>
      </c>
      <c r="I1211" s="26" t="n">
        <v>-5000</v>
      </c>
      <c r="J1211" s="19" t="n">
        <v>-5671.124999999999</v>
      </c>
      <c r="K1211" s="37" t="n">
        <v>0.065</v>
      </c>
    </row>
    <row r="1212">
      <c r="A1212" s="34" t="inlineStr">
        <is>
          <t>AGA SPK-tilskudd</t>
        </is>
      </c>
      <c r="B1212" s="34" t="inlineStr">
        <is>
          <t>Region Sør</t>
        </is>
      </c>
      <c r="C1212" s="34" t="inlineStr">
        <is>
          <t>Barkåker.</t>
        </is>
      </c>
      <c r="D1212" s="18" t="n"/>
      <c r="E1212" s="18" t="n"/>
      <c r="F1212" s="18" t="n"/>
      <c r="G1212" s="18" t="n">
        <v>-47429</v>
      </c>
      <c r="H1212" s="18" t="n">
        <v>-383630</v>
      </c>
      <c r="I1212" s="18" t="n">
        <v>-49347</v>
      </c>
      <c r="J1212" s="19" t="n">
        <v>-55970.60107499999</v>
      </c>
      <c r="K1212" s="35" t="n">
        <v>0.065</v>
      </c>
    </row>
    <row r="1213">
      <c r="A1213" s="36" t="inlineStr">
        <is>
          <t>AGA SPK-tilskudd</t>
        </is>
      </c>
      <c r="B1213" s="36" t="inlineStr">
        <is>
          <t>Region Sør</t>
        </is>
      </c>
      <c r="C1213" s="36" t="inlineStr">
        <is>
          <t>Barkåker.</t>
        </is>
      </c>
      <c r="D1213" s="26" t="n"/>
      <c r="E1213" s="26" t="n">
        <v>-1365187</v>
      </c>
      <c r="F1213" s="26" t="n">
        <v>-1344239</v>
      </c>
      <c r="G1213" s="26" t="n">
        <v>-1945283</v>
      </c>
      <c r="H1213" s="26" t="n">
        <v>-1936976</v>
      </c>
      <c r="I1213" s="26" t="n">
        <v>-819627</v>
      </c>
      <c r="J1213" s="19" t="n">
        <v>-929641.4340749999</v>
      </c>
      <c r="K1213" s="37" t="n">
        <v>0.065</v>
      </c>
    </row>
    <row r="1214">
      <c r="A1214" s="34" t="inlineStr">
        <is>
          <t>AGA SPK-tilskudd</t>
        </is>
      </c>
      <c r="B1214" s="34" t="inlineStr">
        <is>
          <t>Region Sør</t>
        </is>
      </c>
      <c r="C1214" s="34" t="inlineStr">
        <is>
          <t>Bufetathus Kristiansand, eiendom</t>
        </is>
      </c>
      <c r="D1214" s="18" t="n"/>
      <c r="E1214" s="18" t="n"/>
      <c r="F1214" s="18" t="n"/>
      <c r="G1214" s="18" t="n"/>
      <c r="H1214" s="18" t="n">
        <v>-352</v>
      </c>
      <c r="I1214" s="18" t="n"/>
      <c r="J1214" s="19" t="n">
        <v>0</v>
      </c>
      <c r="K1214" s="35" t="n">
        <v>0.065</v>
      </c>
    </row>
    <row r="1215">
      <c r="A1215" s="36" t="inlineStr">
        <is>
          <t>AGA SPK-tilskudd</t>
        </is>
      </c>
      <c r="B1215" s="36" t="inlineStr">
        <is>
          <t>Region Sør</t>
        </is>
      </c>
      <c r="C1215" s="36" t="inlineStr">
        <is>
          <t>Buskerud ungdomshjem Adm</t>
        </is>
      </c>
      <c r="D1215" s="26" t="n">
        <v>8303</v>
      </c>
      <c r="E1215" s="26" t="n">
        <v>15083</v>
      </c>
      <c r="F1215" s="26" t="n">
        <v>179</v>
      </c>
      <c r="G1215" s="26" t="n"/>
      <c r="H1215" s="26" t="n"/>
      <c r="I1215" s="26" t="n"/>
      <c r="J1215" s="19" t="n">
        <v>0</v>
      </c>
      <c r="K1215" s="37" t="n">
        <v>0.065</v>
      </c>
    </row>
    <row r="1216">
      <c r="A1216" s="34" t="inlineStr">
        <is>
          <t>AGA SPK-tilskudd</t>
        </is>
      </c>
      <c r="B1216" s="34" t="inlineStr">
        <is>
          <t>Region Sør</t>
        </is>
      </c>
      <c r="C1216" s="34" t="inlineStr">
        <is>
          <t>Buskerud ungdomshjem Adm</t>
        </is>
      </c>
      <c r="D1216" s="18" t="n">
        <v>1003</v>
      </c>
      <c r="E1216" s="18" t="n">
        <v>6787</v>
      </c>
      <c r="F1216" s="18" t="n">
        <v>1126</v>
      </c>
      <c r="G1216" s="18" t="n"/>
      <c r="H1216" s="18" t="n"/>
      <c r="I1216" s="18" t="n"/>
      <c r="J1216" s="19" t="n">
        <v>0</v>
      </c>
      <c r="K1216" s="35" t="n">
        <v>0.065</v>
      </c>
    </row>
    <row r="1217">
      <c r="A1217" s="36" t="inlineStr">
        <is>
          <t>AGA SPK-tilskudd</t>
        </is>
      </c>
      <c r="B1217" s="36" t="inlineStr">
        <is>
          <t>Region Sør</t>
        </is>
      </c>
      <c r="C1217" s="36" t="inlineStr">
        <is>
          <t>Buskerud ungdomshjem Adm</t>
        </is>
      </c>
      <c r="D1217" s="26" t="n">
        <v>744</v>
      </c>
      <c r="E1217" s="26" t="n">
        <v>1924</v>
      </c>
      <c r="F1217" s="26" t="n"/>
      <c r="G1217" s="26" t="n"/>
      <c r="H1217" s="26" t="n"/>
      <c r="I1217" s="26" t="n"/>
      <c r="J1217" s="19" t="n">
        <v>0</v>
      </c>
      <c r="K1217" s="37" t="n">
        <v>0.065</v>
      </c>
    </row>
    <row r="1218">
      <c r="A1218" s="34" t="inlineStr">
        <is>
          <t>AGA SPK-tilskudd</t>
        </is>
      </c>
      <c r="B1218" s="34" t="inlineStr">
        <is>
          <t>Region Sør</t>
        </is>
      </c>
      <c r="C1218" s="34" t="inlineStr">
        <is>
          <t>Buskerud ungdomshjem Adm</t>
        </is>
      </c>
      <c r="D1218" s="18" t="n"/>
      <c r="E1218" s="18" t="n">
        <v>3255</v>
      </c>
      <c r="F1218" s="18" t="n"/>
      <c r="G1218" s="18" t="n"/>
      <c r="H1218" s="18" t="n"/>
      <c r="I1218" s="18" t="n"/>
      <c r="J1218" s="19" t="n">
        <v>0</v>
      </c>
      <c r="K1218" s="35" t="n">
        <v>0.065</v>
      </c>
    </row>
    <row r="1219">
      <c r="A1219" s="36" t="inlineStr">
        <is>
          <t>AGA SPK-tilskudd</t>
        </is>
      </c>
      <c r="B1219" s="36" t="inlineStr">
        <is>
          <t>Region Sør</t>
        </is>
      </c>
      <c r="C1219" s="36" t="inlineStr">
        <is>
          <t>Buskerud ungdomshjem Adm</t>
        </is>
      </c>
      <c r="D1219" s="26" t="n">
        <v>2044</v>
      </c>
      <c r="E1219" s="26" t="n">
        <v>5308</v>
      </c>
      <c r="F1219" s="26" t="n"/>
      <c r="G1219" s="26" t="n"/>
      <c r="H1219" s="26" t="n"/>
      <c r="I1219" s="26" t="n"/>
      <c r="J1219" s="19" t="n">
        <v>0</v>
      </c>
      <c r="K1219" s="37" t="n">
        <v>0.065</v>
      </c>
    </row>
    <row r="1220">
      <c r="A1220" s="34" t="inlineStr">
        <is>
          <t>AGA SPK-tilskudd</t>
        </is>
      </c>
      <c r="B1220" s="34" t="inlineStr">
        <is>
          <t>Region Sør</t>
        </is>
      </c>
      <c r="C1220" s="34" t="inlineStr">
        <is>
          <t>Buskerud ungdomshjem Adm</t>
        </is>
      </c>
      <c r="D1220" s="18" t="n">
        <v>546</v>
      </c>
      <c r="E1220" s="18" t="n">
        <v>300</v>
      </c>
      <c r="F1220" s="18" t="n"/>
      <c r="G1220" s="18" t="n"/>
      <c r="H1220" s="18" t="n"/>
      <c r="I1220" s="18" t="n"/>
      <c r="J1220" s="19" t="n">
        <v>0</v>
      </c>
      <c r="K1220" s="35" t="n">
        <v>0.065</v>
      </c>
    </row>
    <row r="1221">
      <c r="A1221" s="36" t="inlineStr">
        <is>
          <t>AGA SPK-tilskudd</t>
        </is>
      </c>
      <c r="B1221" s="36" t="inlineStr">
        <is>
          <t>Region Sør</t>
        </is>
      </c>
      <c r="C1221" s="36" t="inlineStr">
        <is>
          <t>Buskerud ungdomshjem Adm</t>
        </is>
      </c>
      <c r="D1221" s="26" t="n"/>
      <c r="E1221" s="26" t="n"/>
      <c r="F1221" s="26" t="n">
        <v>5295</v>
      </c>
      <c r="G1221" s="26" t="n"/>
      <c r="H1221" s="26" t="n"/>
      <c r="I1221" s="26" t="n"/>
      <c r="J1221" s="19" t="n">
        <v>0</v>
      </c>
      <c r="K1221" s="37" t="n">
        <v>0.065</v>
      </c>
    </row>
    <row r="1222">
      <c r="A1222" s="34" t="inlineStr">
        <is>
          <t>AGA SPK-tilskudd</t>
        </is>
      </c>
      <c r="B1222" s="34" t="inlineStr">
        <is>
          <t>Region Sør</t>
        </is>
      </c>
      <c r="C1222" s="34" t="inlineStr">
        <is>
          <t>Buskerud ungdomshjem Adm</t>
        </is>
      </c>
      <c r="D1222" s="18" t="n">
        <v>1099</v>
      </c>
      <c r="E1222" s="18" t="n">
        <v>1135</v>
      </c>
      <c r="F1222" s="18" t="n">
        <v>1345</v>
      </c>
      <c r="G1222" s="18" t="n"/>
      <c r="H1222" s="18" t="n"/>
      <c r="I1222" s="18" t="n"/>
      <c r="J1222" s="19" t="n">
        <v>0</v>
      </c>
      <c r="K1222" s="35" t="n">
        <v>0.065</v>
      </c>
    </row>
    <row r="1223">
      <c r="A1223" s="36" t="inlineStr">
        <is>
          <t>AGA SPK-tilskudd</t>
        </is>
      </c>
      <c r="B1223" s="36" t="inlineStr">
        <is>
          <t>Region Sør</t>
        </is>
      </c>
      <c r="C1223" s="36" t="inlineStr">
        <is>
          <t>Buskerud ungdomshjem Adm</t>
        </is>
      </c>
      <c r="D1223" s="26" t="n">
        <v>487</v>
      </c>
      <c r="E1223" s="26" t="n">
        <v>648</v>
      </c>
      <c r="F1223" s="26" t="n"/>
      <c r="G1223" s="26" t="n"/>
      <c r="H1223" s="26" t="n"/>
      <c r="I1223" s="26" t="n"/>
      <c r="J1223" s="19" t="n">
        <v>0</v>
      </c>
      <c r="K1223" s="37" t="n">
        <v>0.065</v>
      </c>
    </row>
    <row r="1224">
      <c r="A1224" s="34" t="inlineStr">
        <is>
          <t>AGA SPK-tilskudd</t>
        </is>
      </c>
      <c r="B1224" s="34" t="inlineStr">
        <is>
          <t>Region Sør</t>
        </is>
      </c>
      <c r="C1224" s="34" t="inlineStr">
        <is>
          <t>Buskerud ungdomshjem Adm</t>
        </is>
      </c>
      <c r="D1224" s="18" t="n">
        <v>3879</v>
      </c>
      <c r="E1224" s="18" t="n"/>
      <c r="F1224" s="18" t="n"/>
      <c r="G1224" s="18" t="n"/>
      <c r="H1224" s="18" t="n"/>
      <c r="I1224" s="18" t="n"/>
      <c r="J1224" s="19" t="n">
        <v>0</v>
      </c>
      <c r="K1224" s="35" t="n">
        <v>0.065</v>
      </c>
    </row>
    <row r="1225">
      <c r="A1225" s="36" t="inlineStr">
        <is>
          <t>AGA SPK-tilskudd</t>
        </is>
      </c>
      <c r="B1225" s="36" t="inlineStr">
        <is>
          <t>Region Sør</t>
        </is>
      </c>
      <c r="C1225" s="36" t="inlineStr">
        <is>
          <t>Buskerud ungdomshjem Adm</t>
        </is>
      </c>
      <c r="D1225" s="26" t="n">
        <v>48</v>
      </c>
      <c r="E1225" s="26" t="n"/>
      <c r="F1225" s="26" t="n"/>
      <c r="G1225" s="26" t="n"/>
      <c r="H1225" s="26" t="n"/>
      <c r="I1225" s="26" t="n"/>
      <c r="J1225" s="19" t="n">
        <v>0</v>
      </c>
      <c r="K1225" s="37" t="n">
        <v>0.065</v>
      </c>
    </row>
    <row r="1226">
      <c r="A1226" s="34" t="inlineStr">
        <is>
          <t>AGA SPK-tilskudd</t>
        </is>
      </c>
      <c r="B1226" s="34" t="inlineStr">
        <is>
          <t>Region Sør</t>
        </is>
      </c>
      <c r="C1226" s="34" t="inlineStr">
        <is>
          <t>Buskerud ungdomshjem Adm</t>
        </is>
      </c>
      <c r="D1226" s="18" t="n">
        <v>79</v>
      </c>
      <c r="E1226" s="18" t="n">
        <v>1108</v>
      </c>
      <c r="F1226" s="18" t="n">
        <v>3657</v>
      </c>
      <c r="G1226" s="18" t="n">
        <v>50</v>
      </c>
      <c r="H1226" s="18" t="n"/>
      <c r="I1226" s="18" t="n"/>
      <c r="J1226" s="19" t="n">
        <v>0</v>
      </c>
      <c r="K1226" s="35" t="n">
        <v>0.065</v>
      </c>
    </row>
    <row r="1227">
      <c r="A1227" s="36" t="inlineStr">
        <is>
          <t>AGA SPK-tilskudd</t>
        </is>
      </c>
      <c r="B1227" s="36" t="inlineStr">
        <is>
          <t>Region Sør</t>
        </is>
      </c>
      <c r="C1227" s="36" t="inlineStr">
        <is>
          <t>Buskerud ungdomshjem Adm</t>
        </is>
      </c>
      <c r="D1227" s="26" t="n">
        <v>-39092</v>
      </c>
      <c r="E1227" s="26" t="n">
        <v>-312304</v>
      </c>
      <c r="F1227" s="26" t="n">
        <v>-26130</v>
      </c>
      <c r="G1227" s="26" t="n"/>
      <c r="H1227" s="26" t="n"/>
      <c r="I1227" s="26" t="n"/>
      <c r="J1227" s="19" t="n">
        <v>0</v>
      </c>
      <c r="K1227" s="37" t="n">
        <v>0.065</v>
      </c>
    </row>
    <row r="1228">
      <c r="A1228" s="34" t="inlineStr">
        <is>
          <t>AGA SPK-tilskudd</t>
        </is>
      </c>
      <c r="B1228" s="34" t="inlineStr">
        <is>
          <t>Region Sør</t>
        </is>
      </c>
      <c r="C1228" s="34" t="inlineStr">
        <is>
          <t>Fosterhjemstjenesten Bufetat region SØR, avdeling Telemark</t>
        </is>
      </c>
      <c r="D1228" s="18" t="n"/>
      <c r="E1228" s="18" t="n"/>
      <c r="F1228" s="18" t="n"/>
      <c r="G1228" s="18" t="n">
        <v>2450</v>
      </c>
      <c r="H1228" s="18" t="n"/>
      <c r="I1228" s="18" t="n"/>
      <c r="J1228" s="19" t="n">
        <v>0</v>
      </c>
      <c r="K1228" s="35" t="n">
        <v>0.065</v>
      </c>
    </row>
    <row r="1229">
      <c r="A1229" s="36" t="inlineStr">
        <is>
          <t>AGA SPK-tilskudd</t>
        </is>
      </c>
      <c r="B1229" s="36" t="inlineStr">
        <is>
          <t>Region Sør</t>
        </is>
      </c>
      <c r="C1229" s="36" t="inlineStr">
        <is>
          <t>Furuly</t>
        </is>
      </c>
      <c r="D1229" s="26" t="n"/>
      <c r="E1229" s="26" t="n"/>
      <c r="F1229" s="26" t="n">
        <v>148378</v>
      </c>
      <c r="G1229" s="26" t="n">
        <v>157962</v>
      </c>
      <c r="H1229" s="26" t="n">
        <v>182513</v>
      </c>
      <c r="I1229" s="26" t="n">
        <v>180581</v>
      </c>
      <c r="J1229" s="19" t="n">
        <v>204819.484725</v>
      </c>
      <c r="K1229" s="37" t="n">
        <v>0.065</v>
      </c>
    </row>
    <row r="1230">
      <c r="A1230" s="34" t="inlineStr">
        <is>
          <t>AGA SPK-tilskudd</t>
        </is>
      </c>
      <c r="B1230" s="34" t="inlineStr">
        <is>
          <t>Region Sør</t>
        </is>
      </c>
      <c r="C1230" s="34" t="inlineStr">
        <is>
          <t>Furuly</t>
        </is>
      </c>
      <c r="D1230" s="18" t="n"/>
      <c r="E1230" s="18" t="n"/>
      <c r="F1230" s="18" t="n">
        <v>181771</v>
      </c>
      <c r="G1230" s="18" t="n">
        <v>139032</v>
      </c>
      <c r="H1230" s="18" t="n">
        <v>324579</v>
      </c>
      <c r="I1230" s="18" t="n">
        <v>1028</v>
      </c>
      <c r="J1230" s="19" t="n">
        <v>1165.9833</v>
      </c>
      <c r="K1230" s="35" t="n">
        <v>0.065</v>
      </c>
    </row>
    <row r="1231">
      <c r="A1231" s="36" t="inlineStr">
        <is>
          <t>AGA SPK-tilskudd</t>
        </is>
      </c>
      <c r="B1231" s="36" t="inlineStr">
        <is>
          <t>Region Sør</t>
        </is>
      </c>
      <c r="C1231" s="36" t="inlineStr">
        <is>
          <t>Furuly</t>
        </is>
      </c>
      <c r="D1231" s="26" t="n"/>
      <c r="E1231" s="26" t="n"/>
      <c r="F1231" s="26" t="n">
        <v>60583</v>
      </c>
      <c r="G1231" s="26" t="n">
        <v>88631</v>
      </c>
      <c r="H1231" s="26" t="n">
        <v>53293</v>
      </c>
      <c r="I1231" s="26" t="n">
        <v>43877</v>
      </c>
      <c r="J1231" s="19" t="n">
        <v>49766.39032499999</v>
      </c>
      <c r="K1231" s="37" t="n">
        <v>0.065</v>
      </c>
    </row>
    <row r="1232">
      <c r="A1232" s="34" t="inlineStr">
        <is>
          <t>AGA SPK-tilskudd</t>
        </is>
      </c>
      <c r="B1232" s="34" t="inlineStr">
        <is>
          <t>Region Sør</t>
        </is>
      </c>
      <c r="C1232" s="34" t="inlineStr">
        <is>
          <t>Furuly</t>
        </is>
      </c>
      <c r="D1232" s="18" t="n"/>
      <c r="E1232" s="18" t="n"/>
      <c r="F1232" s="18" t="n">
        <v>65236</v>
      </c>
      <c r="G1232" s="18" t="n">
        <v>82775</v>
      </c>
      <c r="H1232" s="18" t="n">
        <v>97403</v>
      </c>
      <c r="I1232" s="18" t="n">
        <v>102649</v>
      </c>
      <c r="J1232" s="19" t="n">
        <v>116427.062025</v>
      </c>
      <c r="K1232" s="35" t="n">
        <v>0.065</v>
      </c>
    </row>
    <row r="1233">
      <c r="A1233" s="36" t="inlineStr">
        <is>
          <t>AGA SPK-tilskudd</t>
        </is>
      </c>
      <c r="B1233" s="36" t="inlineStr">
        <is>
          <t>Region Sør</t>
        </is>
      </c>
      <c r="C1233" s="36" t="inlineStr">
        <is>
          <t>Furuly</t>
        </is>
      </c>
      <c r="D1233" s="26" t="n"/>
      <c r="E1233" s="26" t="n"/>
      <c r="F1233" s="26" t="n">
        <v>755</v>
      </c>
      <c r="G1233" s="26" t="n">
        <v>1695</v>
      </c>
      <c r="H1233" s="26" t="n">
        <v>39071</v>
      </c>
      <c r="I1233" s="26" t="n">
        <v>1290</v>
      </c>
      <c r="J1233" s="19" t="n">
        <v>1463.15025</v>
      </c>
      <c r="K1233" s="37" t="n">
        <v>0.065</v>
      </c>
    </row>
    <row r="1234">
      <c r="A1234" s="34" t="inlineStr">
        <is>
          <t>AGA SPK-tilskudd</t>
        </is>
      </c>
      <c r="B1234" s="34" t="inlineStr">
        <is>
          <t>Region Sør</t>
        </is>
      </c>
      <c r="C1234" s="34" t="inlineStr">
        <is>
          <t>Furuly</t>
        </is>
      </c>
      <c r="D1234" s="18" t="n"/>
      <c r="E1234" s="18" t="n"/>
      <c r="F1234" s="18" t="n">
        <v>45634</v>
      </c>
      <c r="G1234" s="18" t="n">
        <v>28921</v>
      </c>
      <c r="H1234" s="18" t="n">
        <v>37223</v>
      </c>
      <c r="I1234" s="18" t="n">
        <v>17596</v>
      </c>
      <c r="J1234" s="19" t="n">
        <v>19957.8231</v>
      </c>
      <c r="K1234" s="35" t="n">
        <v>0.065</v>
      </c>
    </row>
    <row r="1235">
      <c r="A1235" s="36" t="inlineStr">
        <is>
          <t>AGA SPK-tilskudd</t>
        </is>
      </c>
      <c r="B1235" s="36" t="inlineStr">
        <is>
          <t>Region Sør</t>
        </is>
      </c>
      <c r="C1235" s="36" t="inlineStr">
        <is>
          <t>Furuly</t>
        </is>
      </c>
      <c r="D1235" s="26" t="n"/>
      <c r="E1235" s="26" t="n"/>
      <c r="F1235" s="26" t="n">
        <v>2968</v>
      </c>
      <c r="G1235" s="26" t="n">
        <v>2619</v>
      </c>
      <c r="H1235" s="26" t="n">
        <v>11952</v>
      </c>
      <c r="I1235" s="26" t="n">
        <v>606</v>
      </c>
      <c r="J1235" s="19" t="n">
        <v>687.3403499999999</v>
      </c>
      <c r="K1235" s="37" t="n">
        <v>0.065</v>
      </c>
    </row>
    <row r="1236">
      <c r="A1236" s="34" t="inlineStr">
        <is>
          <t>AGA SPK-tilskudd</t>
        </is>
      </c>
      <c r="B1236" s="34" t="inlineStr">
        <is>
          <t>Region Sør</t>
        </is>
      </c>
      <c r="C1236" s="34" t="inlineStr">
        <is>
          <t>Furuly</t>
        </is>
      </c>
      <c r="D1236" s="18" t="n"/>
      <c r="E1236" s="18" t="n"/>
      <c r="F1236" s="18" t="n">
        <v>1306</v>
      </c>
      <c r="G1236" s="18" t="n">
        <v>111</v>
      </c>
      <c r="H1236" s="18" t="n">
        <v>399</v>
      </c>
      <c r="I1236" s="18" t="n">
        <v>737</v>
      </c>
      <c r="J1236" s="19" t="n">
        <v>835.9238249999999</v>
      </c>
      <c r="K1236" s="35" t="n">
        <v>0.065</v>
      </c>
    </row>
    <row r="1237">
      <c r="A1237" s="36" t="inlineStr">
        <is>
          <t>AGA SPK-tilskudd</t>
        </is>
      </c>
      <c r="B1237" s="36" t="inlineStr">
        <is>
          <t>Region Sør</t>
        </is>
      </c>
      <c r="C1237" s="36" t="inlineStr">
        <is>
          <t>Furuly</t>
        </is>
      </c>
      <c r="D1237" s="26" t="n"/>
      <c r="E1237" s="26" t="n"/>
      <c r="F1237" s="26" t="n">
        <v>2725</v>
      </c>
      <c r="G1237" s="26" t="n">
        <v>19199</v>
      </c>
      <c r="H1237" s="26" t="n">
        <v>20438</v>
      </c>
      <c r="I1237" s="26" t="n">
        <v>10899</v>
      </c>
      <c r="J1237" s="19" t="n">
        <v>12361.918275</v>
      </c>
      <c r="K1237" s="37" t="n">
        <v>0.065</v>
      </c>
    </row>
    <row r="1238">
      <c r="A1238" s="34" t="inlineStr">
        <is>
          <t>AGA SPK-tilskudd</t>
        </is>
      </c>
      <c r="B1238" s="34" t="inlineStr">
        <is>
          <t>Region Sør</t>
        </is>
      </c>
      <c r="C1238" s="34" t="inlineStr">
        <is>
          <t>Furuly</t>
        </is>
      </c>
      <c r="D1238" s="18" t="n"/>
      <c r="E1238" s="18" t="n"/>
      <c r="F1238" s="18" t="n">
        <v>7296</v>
      </c>
      <c r="G1238" s="18" t="n">
        <v>7924</v>
      </c>
      <c r="H1238" s="18" t="n">
        <v>35112</v>
      </c>
      <c r="I1238" s="18" t="n">
        <v>8308</v>
      </c>
      <c r="J1238" s="19" t="n">
        <v>9423.141299999999</v>
      </c>
      <c r="K1238" s="35" t="n">
        <v>0.065</v>
      </c>
    </row>
    <row r="1239">
      <c r="A1239" s="36" t="inlineStr">
        <is>
          <t>AGA SPK-tilskudd</t>
        </is>
      </c>
      <c r="B1239" s="36" t="inlineStr">
        <is>
          <t>Region Sør</t>
        </is>
      </c>
      <c r="C1239" s="36" t="inlineStr">
        <is>
          <t>Furuly</t>
        </is>
      </c>
      <c r="D1239" s="26" t="n"/>
      <c r="E1239" s="26" t="n"/>
      <c r="F1239" s="26" t="n"/>
      <c r="G1239" s="26" t="n">
        <v>9332</v>
      </c>
      <c r="H1239" s="26" t="n">
        <v>5378</v>
      </c>
      <c r="I1239" s="26" t="n"/>
      <c r="J1239" s="19" t="n">
        <v>0</v>
      </c>
      <c r="K1239" s="37" t="n">
        <v>0.065</v>
      </c>
    </row>
    <row r="1240">
      <c r="A1240" s="34" t="inlineStr">
        <is>
          <t>AGA SPK-tilskudd</t>
        </is>
      </c>
      <c r="B1240" s="34" t="inlineStr">
        <is>
          <t>Region Sør</t>
        </is>
      </c>
      <c r="C1240" s="34" t="inlineStr">
        <is>
          <t>Furuly</t>
        </is>
      </c>
      <c r="D1240" s="18" t="n"/>
      <c r="E1240" s="18" t="n"/>
      <c r="F1240" s="18" t="n">
        <v>1943</v>
      </c>
      <c r="G1240" s="18" t="n"/>
      <c r="H1240" s="18" t="n"/>
      <c r="I1240" s="18" t="n"/>
      <c r="J1240" s="19" t="n">
        <v>0</v>
      </c>
      <c r="K1240" s="35" t="n">
        <v>0.065</v>
      </c>
    </row>
    <row r="1241">
      <c r="A1241" s="36" t="inlineStr">
        <is>
          <t>AGA SPK-tilskudd</t>
        </is>
      </c>
      <c r="B1241" s="36" t="inlineStr">
        <is>
          <t>Region Sør</t>
        </is>
      </c>
      <c r="C1241" s="36" t="inlineStr">
        <is>
          <t>Furuly</t>
        </is>
      </c>
      <c r="D1241" s="26" t="n"/>
      <c r="E1241" s="26" t="n"/>
      <c r="F1241" s="26" t="n">
        <v>-1943</v>
      </c>
      <c r="G1241" s="26" t="n"/>
      <c r="H1241" s="26" t="n"/>
      <c r="I1241" s="26" t="n"/>
      <c r="J1241" s="19" t="n">
        <v>0</v>
      </c>
      <c r="K1241" s="37" t="n">
        <v>0.065</v>
      </c>
    </row>
    <row r="1242">
      <c r="A1242" s="34" t="inlineStr">
        <is>
          <t>AGA SPK-tilskudd</t>
        </is>
      </c>
      <c r="B1242" s="34" t="inlineStr">
        <is>
          <t>Region Sør</t>
        </is>
      </c>
      <c r="C1242" s="34" t="inlineStr">
        <is>
          <t>Furuly</t>
        </is>
      </c>
      <c r="D1242" s="18" t="n"/>
      <c r="E1242" s="18" t="n"/>
      <c r="F1242" s="18" t="n">
        <v>24924</v>
      </c>
      <c r="G1242" s="18" t="n">
        <v>10981</v>
      </c>
      <c r="H1242" s="18" t="n">
        <v>320</v>
      </c>
      <c r="I1242" s="18" t="n">
        <v>-801</v>
      </c>
      <c r="J1242" s="19" t="n">
        <v>-908.5142249999999</v>
      </c>
      <c r="K1242" s="35" t="n">
        <v>0.065</v>
      </c>
    </row>
    <row r="1243">
      <c r="A1243" s="36" t="inlineStr">
        <is>
          <t>AGA SPK-tilskudd</t>
        </is>
      </c>
      <c r="B1243" s="36" t="inlineStr">
        <is>
          <t>Region Sør</t>
        </is>
      </c>
      <c r="C1243" s="36" t="inlineStr">
        <is>
          <t>Furuly</t>
        </is>
      </c>
      <c r="D1243" s="26" t="n"/>
      <c r="E1243" s="26" t="n"/>
      <c r="F1243" s="26" t="n"/>
      <c r="G1243" s="26" t="n">
        <v>-8208</v>
      </c>
      <c r="H1243" s="26" t="n">
        <v>-6329</v>
      </c>
      <c r="I1243" s="26" t="n">
        <v>-14560</v>
      </c>
      <c r="J1243" s="19" t="n">
        <v>-16514.316</v>
      </c>
      <c r="K1243" s="37" t="n">
        <v>0.065</v>
      </c>
    </row>
    <row r="1244">
      <c r="A1244" s="34" t="inlineStr">
        <is>
          <t>AGA SPK-tilskudd</t>
        </is>
      </c>
      <c r="B1244" s="34" t="inlineStr">
        <is>
          <t>Region Sør</t>
        </is>
      </c>
      <c r="C1244" s="34" t="inlineStr">
        <is>
          <t>Furuly</t>
        </is>
      </c>
      <c r="D1244" s="18" t="n"/>
      <c r="E1244" s="18" t="n"/>
      <c r="F1244" s="18" t="n">
        <v>-253227</v>
      </c>
      <c r="G1244" s="18" t="n">
        <v>-137808</v>
      </c>
      <c r="H1244" s="18" t="n">
        <v>-607660</v>
      </c>
      <c r="I1244" s="18" t="n">
        <v>-764623</v>
      </c>
      <c r="J1244" s="19" t="n">
        <v>-867254.5221749998</v>
      </c>
      <c r="K1244" s="35" t="n">
        <v>0.065</v>
      </c>
    </row>
    <row r="1245">
      <c r="A1245" s="36" t="inlineStr">
        <is>
          <t>AGA SPK-tilskudd</t>
        </is>
      </c>
      <c r="B1245" s="36" t="inlineStr">
        <is>
          <t>Region Sør</t>
        </is>
      </c>
      <c r="C1245" s="36" t="inlineStr">
        <is>
          <t>Furuly</t>
        </is>
      </c>
      <c r="D1245" s="26" t="n"/>
      <c r="E1245" s="26" t="n"/>
      <c r="F1245" s="26" t="n">
        <v>-1395731</v>
      </c>
      <c r="G1245" s="26" t="n">
        <v>-896953</v>
      </c>
      <c r="H1245" s="26" t="n">
        <v>-1518139</v>
      </c>
      <c r="I1245" s="26" t="n">
        <v>-2145524</v>
      </c>
      <c r="J1245" s="19" t="n">
        <v>-2433506.9589</v>
      </c>
      <c r="K1245" s="37" t="n">
        <v>0.065</v>
      </c>
    </row>
    <row r="1246">
      <c r="A1246" s="34" t="inlineStr">
        <is>
          <t>AGA SPK-tilskudd</t>
        </is>
      </c>
      <c r="B1246" s="34" t="inlineStr">
        <is>
          <t>Region Sør</t>
        </is>
      </c>
      <c r="C1246" s="34" t="inlineStr">
        <is>
          <t>Grøterød ungdomshjem</t>
        </is>
      </c>
      <c r="D1246" s="18" t="n"/>
      <c r="E1246" s="18" t="n">
        <v>8622</v>
      </c>
      <c r="F1246" s="18" t="n">
        <v>10807</v>
      </c>
      <c r="G1246" s="18" t="n">
        <v>10903</v>
      </c>
      <c r="H1246" s="18" t="n">
        <v>10798</v>
      </c>
      <c r="I1246" s="18" t="n">
        <v>54</v>
      </c>
      <c r="J1246" s="19" t="n">
        <v>30.375</v>
      </c>
      <c r="K1246" s="35" t="n">
        <v>-0.25</v>
      </c>
    </row>
    <row r="1247">
      <c r="A1247" s="36" t="inlineStr">
        <is>
          <t>AGA SPK-tilskudd</t>
        </is>
      </c>
      <c r="B1247" s="36" t="inlineStr">
        <is>
          <t>Region Sør</t>
        </is>
      </c>
      <c r="C1247" s="36" t="inlineStr">
        <is>
          <t>Grøterød ungdomshjem</t>
        </is>
      </c>
      <c r="D1247" s="26" t="n"/>
      <c r="E1247" s="26" t="n">
        <v>17382</v>
      </c>
      <c r="F1247" s="26" t="n">
        <v>12554</v>
      </c>
      <c r="G1247" s="26" t="n">
        <v>30422</v>
      </c>
      <c r="H1247" s="26" t="n">
        <v>16529</v>
      </c>
      <c r="I1247" s="26" t="n">
        <v>176</v>
      </c>
      <c r="J1247" s="19" t="n">
        <v>99</v>
      </c>
      <c r="K1247" s="37" t="n">
        <v>-0.25</v>
      </c>
    </row>
    <row r="1248">
      <c r="A1248" s="34" t="inlineStr">
        <is>
          <t>AGA SPK-tilskudd</t>
        </is>
      </c>
      <c r="B1248" s="34" t="inlineStr">
        <is>
          <t>Region Sør</t>
        </is>
      </c>
      <c r="C1248" s="34" t="inlineStr">
        <is>
          <t>Grøterød ungdomshjem</t>
        </is>
      </c>
      <c r="D1248" s="18" t="n"/>
      <c r="E1248" s="18" t="n">
        <v>1023</v>
      </c>
      <c r="F1248" s="18" t="n">
        <v>1227</v>
      </c>
      <c r="G1248" s="18" t="n">
        <v>1593</v>
      </c>
      <c r="H1248" s="18" t="n">
        <v>1665</v>
      </c>
      <c r="I1248" s="18" t="n"/>
      <c r="J1248" s="19" t="n">
        <v>0</v>
      </c>
      <c r="K1248" s="35" t="n">
        <v>0.065</v>
      </c>
    </row>
    <row r="1249">
      <c r="A1249" s="36" t="inlineStr">
        <is>
          <t>AGA SPK-tilskudd</t>
        </is>
      </c>
      <c r="B1249" s="36" t="inlineStr">
        <is>
          <t>Region Sør</t>
        </is>
      </c>
      <c r="C1249" s="36" t="inlineStr">
        <is>
          <t>Grøterød ungdomshjem</t>
        </is>
      </c>
      <c r="D1249" s="26" t="n"/>
      <c r="E1249" s="26" t="n">
        <v>861</v>
      </c>
      <c r="F1249" s="26" t="n">
        <v>1057</v>
      </c>
      <c r="G1249" s="26" t="n">
        <v>2055</v>
      </c>
      <c r="H1249" s="26" t="n">
        <v>5664</v>
      </c>
      <c r="I1249" s="26" t="n">
        <v>1302</v>
      </c>
      <c r="J1249" s="19" t="n">
        <v>1601.086886934059</v>
      </c>
      <c r="K1249" s="37" t="n">
        <v>0.1089244477532858</v>
      </c>
    </row>
    <row r="1250">
      <c r="A1250" s="34" t="inlineStr">
        <is>
          <t>AGA SPK-tilskudd</t>
        </is>
      </c>
      <c r="B1250" s="34" t="inlineStr">
        <is>
          <t>Region Sør</t>
        </is>
      </c>
      <c r="C1250" s="34" t="inlineStr">
        <is>
          <t>Grøterød ungdomshjem</t>
        </is>
      </c>
      <c r="D1250" s="18" t="n"/>
      <c r="E1250" s="18" t="n">
        <v>6680</v>
      </c>
      <c r="F1250" s="18" t="n">
        <v>8540</v>
      </c>
      <c r="G1250" s="18" t="n">
        <v>8469</v>
      </c>
      <c r="H1250" s="18" t="n">
        <v>1153</v>
      </c>
      <c r="I1250" s="18" t="n"/>
      <c r="J1250" s="19" t="n">
        <v>0</v>
      </c>
      <c r="K1250" s="35" t="n">
        <v>0.065</v>
      </c>
    </row>
    <row r="1251">
      <c r="A1251" s="36" t="inlineStr">
        <is>
          <t>AGA SPK-tilskudd</t>
        </is>
      </c>
      <c r="B1251" s="36" t="inlineStr">
        <is>
          <t>Region Sør</t>
        </is>
      </c>
      <c r="C1251" s="36" t="inlineStr">
        <is>
          <t>Grøterød ungdomshjem</t>
        </is>
      </c>
      <c r="D1251" s="26" t="n"/>
      <c r="E1251" s="26" t="n"/>
      <c r="F1251" s="26" t="n"/>
      <c r="G1251" s="26" t="n">
        <v>399</v>
      </c>
      <c r="H1251" s="26" t="n"/>
      <c r="I1251" s="26" t="n"/>
      <c r="J1251" s="19" t="n">
        <v>0</v>
      </c>
      <c r="K1251" s="37" t="n">
        <v>0.065</v>
      </c>
    </row>
    <row r="1252">
      <c r="A1252" s="34" t="inlineStr">
        <is>
          <t>AGA SPK-tilskudd</t>
        </is>
      </c>
      <c r="B1252" s="34" t="inlineStr">
        <is>
          <t>Region Sør</t>
        </is>
      </c>
      <c r="C1252" s="34" t="inlineStr">
        <is>
          <t>Grøterød ungdomshjem</t>
        </is>
      </c>
      <c r="D1252" s="18" t="n"/>
      <c r="E1252" s="18" t="n">
        <v>2248</v>
      </c>
      <c r="F1252" s="18" t="n">
        <v>4896</v>
      </c>
      <c r="G1252" s="18" t="n">
        <v>5923</v>
      </c>
      <c r="H1252" s="18" t="n">
        <v>2187</v>
      </c>
      <c r="I1252" s="18" t="n">
        <v>537</v>
      </c>
      <c r="J1252" s="19" t="n">
        <v>302.0625</v>
      </c>
      <c r="K1252" s="35" t="n">
        <v>-0.25</v>
      </c>
    </row>
    <row r="1253">
      <c r="A1253" s="36" t="inlineStr">
        <is>
          <t>AGA SPK-tilskudd</t>
        </is>
      </c>
      <c r="B1253" s="36" t="inlineStr">
        <is>
          <t>Region Sør</t>
        </is>
      </c>
      <c r="C1253" s="36" t="inlineStr">
        <is>
          <t>Grøterød ungdomshjem</t>
        </is>
      </c>
      <c r="D1253" s="26" t="n"/>
      <c r="E1253" s="26" t="n"/>
      <c r="F1253" s="26" t="n">
        <v>3520</v>
      </c>
      <c r="G1253" s="26" t="n"/>
      <c r="H1253" s="26" t="n"/>
      <c r="I1253" s="26" t="n">
        <v>3790</v>
      </c>
      <c r="J1253" s="19" t="n">
        <v>4298.71275</v>
      </c>
      <c r="K1253" s="37" t="n">
        <v>0.065</v>
      </c>
    </row>
    <row r="1254">
      <c r="A1254" s="34" t="inlineStr">
        <is>
          <t>AGA SPK-tilskudd</t>
        </is>
      </c>
      <c r="B1254" s="34" t="inlineStr">
        <is>
          <t>Region Sør</t>
        </is>
      </c>
      <c r="C1254" s="34" t="inlineStr">
        <is>
          <t>Grøterød ungdomshjem</t>
        </is>
      </c>
      <c r="D1254" s="18" t="n"/>
      <c r="E1254" s="18" t="n">
        <v>-450</v>
      </c>
      <c r="F1254" s="18" t="n">
        <v>-422</v>
      </c>
      <c r="G1254" s="18" t="n">
        <v>-200</v>
      </c>
      <c r="H1254" s="18" t="n">
        <v>-600</v>
      </c>
      <c r="I1254" s="18" t="n"/>
      <c r="J1254" s="19" t="n">
        <v>0</v>
      </c>
      <c r="K1254" s="35" t="n">
        <v>0.065</v>
      </c>
    </row>
    <row r="1255">
      <c r="A1255" s="36" t="inlineStr">
        <is>
          <t>AGA SPK-tilskudd</t>
        </is>
      </c>
      <c r="B1255" s="36" t="inlineStr">
        <is>
          <t>Region Sør</t>
        </is>
      </c>
      <c r="C1255" s="36" t="inlineStr">
        <is>
          <t>Grøterød ungdomshjem</t>
        </is>
      </c>
      <c r="D1255" s="26" t="n"/>
      <c r="E1255" s="26" t="n"/>
      <c r="F1255" s="26" t="n">
        <v>-25730</v>
      </c>
      <c r="G1255" s="26" t="n">
        <v>-2624</v>
      </c>
      <c r="H1255" s="26" t="n"/>
      <c r="I1255" s="26" t="n"/>
      <c r="J1255" s="19" t="n">
        <v>0</v>
      </c>
      <c r="K1255" s="37" t="n">
        <v>0.065</v>
      </c>
    </row>
    <row r="1256">
      <c r="A1256" s="34" t="inlineStr">
        <is>
          <t>AGA SPK-tilskudd</t>
        </is>
      </c>
      <c r="B1256" s="34" t="inlineStr">
        <is>
          <t>Region Sør</t>
        </is>
      </c>
      <c r="C1256" s="34" t="inlineStr">
        <is>
          <t>Ilaug</t>
        </is>
      </c>
      <c r="D1256" s="18" t="n">
        <v>166312</v>
      </c>
      <c r="E1256" s="18" t="n">
        <v>89595</v>
      </c>
      <c r="F1256" s="18" t="n">
        <v>21</v>
      </c>
      <c r="G1256" s="18" t="n"/>
      <c r="H1256" s="18" t="n"/>
      <c r="I1256" s="18" t="n"/>
      <c r="J1256" s="19" t="n">
        <v>0</v>
      </c>
      <c r="K1256" s="35" t="n">
        <v>0.065</v>
      </c>
    </row>
    <row r="1257">
      <c r="A1257" s="36" t="inlineStr">
        <is>
          <t>AGA SPK-tilskudd</t>
        </is>
      </c>
      <c r="B1257" s="36" t="inlineStr">
        <is>
          <t>Region Sør</t>
        </is>
      </c>
      <c r="C1257" s="36" t="inlineStr">
        <is>
          <t>Ilaug</t>
        </is>
      </c>
      <c r="D1257" s="26" t="n">
        <v>82661</v>
      </c>
      <c r="E1257" s="26" t="n">
        <v>475972</v>
      </c>
      <c r="F1257" s="26" t="n"/>
      <c r="G1257" s="26" t="n"/>
      <c r="H1257" s="26" t="n"/>
      <c r="I1257" s="26" t="n"/>
      <c r="J1257" s="19" t="n">
        <v>0</v>
      </c>
      <c r="K1257" s="37" t="n">
        <v>0.065</v>
      </c>
    </row>
    <row r="1258">
      <c r="A1258" s="34" t="inlineStr">
        <is>
          <t>AGA SPK-tilskudd</t>
        </is>
      </c>
      <c r="B1258" s="34" t="inlineStr">
        <is>
          <t>Region Sør</t>
        </is>
      </c>
      <c r="C1258" s="34" t="inlineStr">
        <is>
          <t>Ilaug</t>
        </is>
      </c>
      <c r="D1258" s="18" t="n">
        <v>27478</v>
      </c>
      <c r="E1258" s="18" t="n">
        <v>13889</v>
      </c>
      <c r="F1258" s="18" t="n">
        <v>6016</v>
      </c>
      <c r="G1258" s="18" t="n"/>
      <c r="H1258" s="18" t="n"/>
      <c r="I1258" s="18" t="n"/>
      <c r="J1258" s="19" t="n">
        <v>0</v>
      </c>
      <c r="K1258" s="35" t="n">
        <v>0.065</v>
      </c>
    </row>
    <row r="1259">
      <c r="A1259" s="36" t="inlineStr">
        <is>
          <t>AGA SPK-tilskudd</t>
        </is>
      </c>
      <c r="B1259" s="36" t="inlineStr">
        <is>
          <t>Region Sør</t>
        </is>
      </c>
      <c r="C1259" s="36" t="inlineStr">
        <is>
          <t>Ilaug</t>
        </is>
      </c>
      <c r="D1259" s="26" t="n">
        <v>29500</v>
      </c>
      <c r="E1259" s="26" t="n">
        <v>20450</v>
      </c>
      <c r="F1259" s="26" t="n"/>
      <c r="G1259" s="26" t="n"/>
      <c r="H1259" s="26" t="n"/>
      <c r="I1259" s="26" t="n"/>
      <c r="J1259" s="19" t="n">
        <v>0</v>
      </c>
      <c r="K1259" s="37" t="n">
        <v>0.065</v>
      </c>
    </row>
    <row r="1260">
      <c r="A1260" s="34" t="inlineStr">
        <is>
          <t>AGA SPK-tilskudd</t>
        </is>
      </c>
      <c r="B1260" s="34" t="inlineStr">
        <is>
          <t>Region Sør</t>
        </is>
      </c>
      <c r="C1260" s="34" t="inlineStr">
        <is>
          <t>Ilaug</t>
        </is>
      </c>
      <c r="D1260" s="18" t="n">
        <v>21647</v>
      </c>
      <c r="E1260" s="18" t="n">
        <v>5518</v>
      </c>
      <c r="F1260" s="18" t="n"/>
      <c r="G1260" s="18" t="n"/>
      <c r="H1260" s="18" t="n"/>
      <c r="I1260" s="18" t="n"/>
      <c r="J1260" s="19" t="n">
        <v>0</v>
      </c>
      <c r="K1260" s="35" t="n">
        <v>0.065</v>
      </c>
    </row>
    <row r="1261">
      <c r="A1261" s="36" t="inlineStr">
        <is>
          <t>AGA SPK-tilskudd</t>
        </is>
      </c>
      <c r="B1261" s="36" t="inlineStr">
        <is>
          <t>Region Sør</t>
        </is>
      </c>
      <c r="C1261" s="36" t="inlineStr">
        <is>
          <t>Ilaug</t>
        </is>
      </c>
      <c r="D1261" s="26" t="n">
        <v>252125</v>
      </c>
      <c r="E1261" s="26" t="n"/>
      <c r="F1261" s="26" t="n"/>
      <c r="G1261" s="26" t="n"/>
      <c r="H1261" s="26" t="n"/>
      <c r="I1261" s="26" t="n"/>
      <c r="J1261" s="19" t="n">
        <v>0</v>
      </c>
      <c r="K1261" s="37" t="n">
        <v>0.065</v>
      </c>
    </row>
    <row r="1262">
      <c r="A1262" s="34" t="inlineStr">
        <is>
          <t>AGA SPK-tilskudd</t>
        </is>
      </c>
      <c r="B1262" s="34" t="inlineStr">
        <is>
          <t>Region Sør</t>
        </is>
      </c>
      <c r="C1262" s="34" t="inlineStr">
        <is>
          <t>Ilaug</t>
        </is>
      </c>
      <c r="D1262" s="18" t="n">
        <v>13796</v>
      </c>
      <c r="E1262" s="18" t="n">
        <v>1431</v>
      </c>
      <c r="F1262" s="18" t="n"/>
      <c r="G1262" s="18" t="n"/>
      <c r="H1262" s="18" t="n"/>
      <c r="I1262" s="18" t="n"/>
      <c r="J1262" s="19" t="n">
        <v>0</v>
      </c>
      <c r="K1262" s="35" t="n">
        <v>0.065</v>
      </c>
    </row>
    <row r="1263">
      <c r="A1263" s="36" t="inlineStr">
        <is>
          <t>AGA SPK-tilskudd</t>
        </is>
      </c>
      <c r="B1263" s="36" t="inlineStr">
        <is>
          <t>Region Sør</t>
        </is>
      </c>
      <c r="C1263" s="36" t="inlineStr">
        <is>
          <t>Ilaug</t>
        </is>
      </c>
      <c r="D1263" s="26" t="n">
        <v>12485</v>
      </c>
      <c r="E1263" s="26" t="n">
        <v>3884</v>
      </c>
      <c r="F1263" s="26" t="n"/>
      <c r="G1263" s="26" t="n"/>
      <c r="H1263" s="26" t="n"/>
      <c r="I1263" s="26" t="n"/>
      <c r="J1263" s="19" t="n">
        <v>0</v>
      </c>
      <c r="K1263" s="37" t="n">
        <v>0.065</v>
      </c>
    </row>
    <row r="1264">
      <c r="A1264" s="34" t="inlineStr">
        <is>
          <t>AGA SPK-tilskudd</t>
        </is>
      </c>
      <c r="B1264" s="34" t="inlineStr">
        <is>
          <t>Region Sør</t>
        </is>
      </c>
      <c r="C1264" s="34" t="inlineStr">
        <is>
          <t>Ilaug</t>
        </is>
      </c>
      <c r="D1264" s="18" t="n"/>
      <c r="E1264" s="18" t="n">
        <v>17526</v>
      </c>
      <c r="F1264" s="18" t="n"/>
      <c r="G1264" s="18" t="n"/>
      <c r="H1264" s="18" t="n"/>
      <c r="I1264" s="18" t="n"/>
      <c r="J1264" s="19" t="n">
        <v>0</v>
      </c>
      <c r="K1264" s="35" t="n">
        <v>0.065</v>
      </c>
    </row>
    <row r="1265">
      <c r="A1265" s="36" t="inlineStr">
        <is>
          <t>AGA SPK-tilskudd</t>
        </is>
      </c>
      <c r="B1265" s="36" t="inlineStr">
        <is>
          <t>Region Sør</t>
        </is>
      </c>
      <c r="C1265" s="36" t="inlineStr">
        <is>
          <t>Ilaug</t>
        </is>
      </c>
      <c r="D1265" s="26" t="n">
        <v>5037</v>
      </c>
      <c r="E1265" s="26" t="n">
        <v>17068</v>
      </c>
      <c r="F1265" s="26" t="n">
        <v>9008</v>
      </c>
      <c r="G1265" s="26" t="n"/>
      <c r="H1265" s="26" t="n"/>
      <c r="I1265" s="26" t="n"/>
      <c r="J1265" s="19" t="n">
        <v>0</v>
      </c>
      <c r="K1265" s="37" t="n">
        <v>0.065</v>
      </c>
    </row>
    <row r="1266">
      <c r="A1266" s="34" t="inlineStr">
        <is>
          <t>AGA SPK-tilskudd</t>
        </is>
      </c>
      <c r="B1266" s="34" t="inlineStr">
        <is>
          <t>Region Sør</t>
        </is>
      </c>
      <c r="C1266" s="34" t="inlineStr">
        <is>
          <t>Ilaug</t>
        </is>
      </c>
      <c r="D1266" s="18" t="n">
        <v>11839</v>
      </c>
      <c r="E1266" s="18" t="n">
        <v>1548</v>
      </c>
      <c r="F1266" s="18" t="n"/>
      <c r="G1266" s="18" t="n"/>
      <c r="H1266" s="18" t="n"/>
      <c r="I1266" s="18" t="n"/>
      <c r="J1266" s="19" t="n">
        <v>0</v>
      </c>
      <c r="K1266" s="35" t="n">
        <v>0.065</v>
      </c>
    </row>
    <row r="1267">
      <c r="A1267" s="36" t="inlineStr">
        <is>
          <t>AGA SPK-tilskudd</t>
        </is>
      </c>
      <c r="B1267" s="36" t="inlineStr">
        <is>
          <t>Region Sør</t>
        </is>
      </c>
      <c r="C1267" s="36" t="inlineStr">
        <is>
          <t>Ilaug</t>
        </is>
      </c>
      <c r="D1267" s="26" t="n">
        <v>4160</v>
      </c>
      <c r="E1267" s="26" t="n"/>
      <c r="F1267" s="26" t="n"/>
      <c r="G1267" s="26" t="n"/>
      <c r="H1267" s="26" t="n"/>
      <c r="I1267" s="26" t="n"/>
      <c r="J1267" s="19" t="n">
        <v>0</v>
      </c>
      <c r="K1267" s="37" t="n">
        <v>0.065</v>
      </c>
    </row>
    <row r="1268">
      <c r="A1268" s="34" t="inlineStr">
        <is>
          <t>AGA SPK-tilskudd</t>
        </is>
      </c>
      <c r="B1268" s="34" t="inlineStr">
        <is>
          <t>Region Sør</t>
        </is>
      </c>
      <c r="C1268" s="34" t="inlineStr">
        <is>
          <t>Ilaug</t>
        </is>
      </c>
      <c r="D1268" s="18" t="n">
        <v>4494</v>
      </c>
      <c r="E1268" s="18" t="n"/>
      <c r="F1268" s="18" t="n"/>
      <c r="G1268" s="18" t="n"/>
      <c r="H1268" s="18" t="n"/>
      <c r="I1268" s="18" t="n"/>
      <c r="J1268" s="19" t="n">
        <v>0</v>
      </c>
      <c r="K1268" s="35" t="n">
        <v>0.065</v>
      </c>
    </row>
    <row r="1269">
      <c r="A1269" s="36" t="inlineStr">
        <is>
          <t>AGA SPK-tilskudd</t>
        </is>
      </c>
      <c r="B1269" s="36" t="inlineStr">
        <is>
          <t>Region Sør</t>
        </is>
      </c>
      <c r="C1269" s="36" t="inlineStr">
        <is>
          <t>Ilaug</t>
        </is>
      </c>
      <c r="D1269" s="26" t="n">
        <v>4494</v>
      </c>
      <c r="E1269" s="26" t="n"/>
      <c r="F1269" s="26" t="n"/>
      <c r="G1269" s="26" t="n"/>
      <c r="H1269" s="26" t="n"/>
      <c r="I1269" s="26" t="n"/>
      <c r="J1269" s="19" t="n">
        <v>0</v>
      </c>
      <c r="K1269" s="37" t="n">
        <v>0.065</v>
      </c>
    </row>
    <row r="1270">
      <c r="A1270" s="34" t="inlineStr">
        <is>
          <t>AGA SPK-tilskudd</t>
        </is>
      </c>
      <c r="B1270" s="34" t="inlineStr">
        <is>
          <t>Region Sør</t>
        </is>
      </c>
      <c r="C1270" s="34" t="inlineStr">
        <is>
          <t>Ilaug</t>
        </is>
      </c>
      <c r="D1270" s="18" t="n"/>
      <c r="E1270" s="18" t="n">
        <v>2440</v>
      </c>
      <c r="F1270" s="18" t="n">
        <v>1672</v>
      </c>
      <c r="G1270" s="18" t="n"/>
      <c r="H1270" s="18" t="n"/>
      <c r="I1270" s="18" t="n"/>
      <c r="J1270" s="19" t="n">
        <v>0</v>
      </c>
      <c r="K1270" s="35" t="n">
        <v>0.065</v>
      </c>
    </row>
    <row r="1271">
      <c r="A1271" s="36" t="inlineStr">
        <is>
          <t>AGA SPK-tilskudd</t>
        </is>
      </c>
      <c r="B1271" s="36" t="inlineStr">
        <is>
          <t>Region Sør</t>
        </is>
      </c>
      <c r="C1271" s="36" t="inlineStr">
        <is>
          <t>Ilaug</t>
        </is>
      </c>
      <c r="D1271" s="26" t="n">
        <v>-132774</v>
      </c>
      <c r="E1271" s="26" t="n"/>
      <c r="F1271" s="26" t="n"/>
      <c r="G1271" s="26" t="n"/>
      <c r="H1271" s="26" t="n"/>
      <c r="I1271" s="26" t="n"/>
      <c r="J1271" s="19" t="n">
        <v>0</v>
      </c>
      <c r="K1271" s="37" t="n">
        <v>0.065</v>
      </c>
    </row>
    <row r="1272">
      <c r="A1272" s="34" t="inlineStr">
        <is>
          <t>AGA SPK-tilskudd</t>
        </is>
      </c>
      <c r="B1272" s="34" t="inlineStr">
        <is>
          <t>Region Sør</t>
        </is>
      </c>
      <c r="C1272" s="34" t="inlineStr">
        <is>
          <t>Ilaug</t>
        </is>
      </c>
      <c r="D1272" s="18" t="n">
        <v>-893141</v>
      </c>
      <c r="E1272" s="18" t="n">
        <v>-588056</v>
      </c>
      <c r="F1272" s="18" t="n">
        <v>-8240</v>
      </c>
      <c r="G1272" s="18" t="n"/>
      <c r="H1272" s="18" t="n"/>
      <c r="I1272" s="18" t="n"/>
      <c r="J1272" s="19" t="n">
        <v>0</v>
      </c>
      <c r="K1272" s="35" t="n">
        <v>0.065</v>
      </c>
    </row>
    <row r="1273">
      <c r="A1273" s="36" t="inlineStr">
        <is>
          <t>AGA SPK-tilskudd</t>
        </is>
      </c>
      <c r="B1273" s="36" t="inlineStr">
        <is>
          <t>Region Sør</t>
        </is>
      </c>
      <c r="C1273" s="36" t="inlineStr">
        <is>
          <t>Inntak Buskerud</t>
        </is>
      </c>
      <c r="D1273" s="26" t="n"/>
      <c r="E1273" s="26" t="n"/>
      <c r="F1273" s="26" t="n">
        <v>415</v>
      </c>
      <c r="G1273" s="26" t="n"/>
      <c r="H1273" s="26" t="n"/>
      <c r="I1273" s="26" t="n"/>
      <c r="J1273" s="19" t="n">
        <v>0</v>
      </c>
      <c r="K1273" s="37" t="n">
        <v>0.065</v>
      </c>
    </row>
    <row r="1274">
      <c r="A1274" s="34" t="inlineStr">
        <is>
          <t>AGA SPK-tilskudd</t>
        </is>
      </c>
      <c r="B1274" s="34" t="inlineStr">
        <is>
          <t>Region Sør</t>
        </is>
      </c>
      <c r="C1274" s="34" t="inlineStr">
        <is>
          <t>Inntak Vestfold</t>
        </is>
      </c>
      <c r="D1274" s="18" t="n"/>
      <c r="E1274" s="18" t="n">
        <v>450</v>
      </c>
      <c r="F1274" s="18" t="n"/>
      <c r="G1274" s="18" t="n"/>
      <c r="H1274" s="18" t="n">
        <v>1099</v>
      </c>
      <c r="I1274" s="18" t="n"/>
      <c r="J1274" s="19" t="n">
        <v>0</v>
      </c>
      <c r="K1274" s="35" t="n">
        <v>0.065</v>
      </c>
    </row>
    <row r="1275">
      <c r="A1275" s="36" t="inlineStr">
        <is>
          <t>AGA SPK-tilskudd</t>
        </is>
      </c>
      <c r="B1275" s="36" t="inlineStr">
        <is>
          <t>Region Sør</t>
        </is>
      </c>
      <c r="C1275" s="36" t="inlineStr">
        <is>
          <t>Inntak Vestfold</t>
        </is>
      </c>
      <c r="D1275" s="26" t="n"/>
      <c r="E1275" s="26" t="n"/>
      <c r="F1275" s="26" t="n"/>
      <c r="G1275" s="26" t="n"/>
      <c r="H1275" s="26" t="n">
        <v>140</v>
      </c>
      <c r="I1275" s="26" t="n"/>
      <c r="J1275" s="19" t="n">
        <v>0</v>
      </c>
      <c r="K1275" s="37" t="n">
        <v>0.065</v>
      </c>
    </row>
    <row r="1276">
      <c r="A1276" s="34" t="inlineStr">
        <is>
          <t>AGA SPK-tilskudd</t>
        </is>
      </c>
      <c r="B1276" s="34" t="inlineStr">
        <is>
          <t>Region Sør</t>
        </is>
      </c>
      <c r="C1276" s="34" t="inlineStr">
        <is>
          <t>Inntak Vestfold</t>
        </is>
      </c>
      <c r="D1276" s="18" t="n"/>
      <c r="E1276" s="18" t="n"/>
      <c r="F1276" s="18" t="n"/>
      <c r="G1276" s="18" t="n"/>
      <c r="H1276" s="18" t="n">
        <v>118</v>
      </c>
      <c r="I1276" s="18" t="n"/>
      <c r="J1276" s="19" t="n">
        <v>0</v>
      </c>
      <c r="K1276" s="35" t="n">
        <v>0.065</v>
      </c>
    </row>
    <row r="1277">
      <c r="A1277" s="36" t="inlineStr">
        <is>
          <t>AGA SPK-tilskudd</t>
        </is>
      </c>
      <c r="B1277" s="36" t="inlineStr">
        <is>
          <t>Region Sør</t>
        </is>
      </c>
      <c r="C1277" s="36" t="inlineStr">
        <is>
          <t>Justøya</t>
        </is>
      </c>
      <c r="D1277" s="26" t="n"/>
      <c r="E1277" s="26" t="n"/>
      <c r="F1277" s="26" t="n"/>
      <c r="G1277" s="26" t="n"/>
      <c r="H1277" s="26" t="n"/>
      <c r="I1277" s="26" t="n">
        <v>49016</v>
      </c>
      <c r="J1277" s="19" t="n">
        <v>55595.17259999999</v>
      </c>
      <c r="K1277" s="37" t="n">
        <v>0.065</v>
      </c>
    </row>
    <row r="1278">
      <c r="A1278" s="34" t="inlineStr">
        <is>
          <t>AGA SPK-tilskudd</t>
        </is>
      </c>
      <c r="B1278" s="34" t="inlineStr">
        <is>
          <t>Region Sør</t>
        </is>
      </c>
      <c r="C1278" s="34" t="inlineStr">
        <is>
          <t>Justøya</t>
        </is>
      </c>
      <c r="D1278" s="18" t="n"/>
      <c r="E1278" s="18" t="n"/>
      <c r="F1278" s="18" t="n"/>
      <c r="G1278" s="18" t="n"/>
      <c r="H1278" s="18" t="n"/>
      <c r="I1278" s="18" t="n">
        <v>16575</v>
      </c>
      <c r="J1278" s="19" t="n">
        <v>18799.779375</v>
      </c>
      <c r="K1278" s="35" t="n">
        <v>0.065</v>
      </c>
    </row>
    <row r="1279">
      <c r="A1279" s="36" t="inlineStr">
        <is>
          <t>AGA SPK-tilskudd</t>
        </is>
      </c>
      <c r="B1279" s="36" t="inlineStr">
        <is>
          <t>Region Sør</t>
        </is>
      </c>
      <c r="C1279" s="36" t="inlineStr">
        <is>
          <t>Justøya</t>
        </is>
      </c>
      <c r="D1279" s="26" t="n"/>
      <c r="E1279" s="26" t="n"/>
      <c r="F1279" s="26" t="n"/>
      <c r="G1279" s="26" t="n"/>
      <c r="H1279" s="26" t="n"/>
      <c r="I1279" s="26" t="n">
        <v>43531</v>
      </c>
      <c r="J1279" s="19" t="n">
        <v>49373.94847499999</v>
      </c>
      <c r="K1279" s="37" t="n">
        <v>0.065</v>
      </c>
    </row>
    <row r="1280">
      <c r="A1280" s="34" t="inlineStr">
        <is>
          <t>AGA SPK-tilskudd</t>
        </is>
      </c>
      <c r="B1280" s="34" t="inlineStr">
        <is>
          <t>Region Sør</t>
        </is>
      </c>
      <c r="C1280" s="34" t="inlineStr">
        <is>
          <t>Justøya</t>
        </is>
      </c>
      <c r="D1280" s="18" t="n"/>
      <c r="E1280" s="18" t="n"/>
      <c r="F1280" s="18" t="n"/>
      <c r="G1280" s="18" t="n"/>
      <c r="H1280" s="18" t="n"/>
      <c r="I1280" s="18" t="n">
        <v>18742</v>
      </c>
      <c r="J1280" s="19" t="n">
        <v>21257.64495</v>
      </c>
      <c r="K1280" s="35" t="n">
        <v>0.065</v>
      </c>
    </row>
    <row r="1281">
      <c r="A1281" s="36" t="inlineStr">
        <is>
          <t>AGA SPK-tilskudd</t>
        </is>
      </c>
      <c r="B1281" s="36" t="inlineStr">
        <is>
          <t>Region Sør</t>
        </is>
      </c>
      <c r="C1281" s="36" t="inlineStr">
        <is>
          <t>Justøya</t>
        </is>
      </c>
      <c r="D1281" s="26" t="n"/>
      <c r="E1281" s="26" t="n"/>
      <c r="F1281" s="26" t="n"/>
      <c r="G1281" s="26" t="n"/>
      <c r="H1281" s="26" t="n"/>
      <c r="I1281" s="26" t="n">
        <v>3150</v>
      </c>
      <c r="J1281" s="19" t="n">
        <v>3572.808749999999</v>
      </c>
      <c r="K1281" s="37" t="n">
        <v>0.065</v>
      </c>
    </row>
    <row r="1282">
      <c r="A1282" s="34" t="inlineStr">
        <is>
          <t>AGA SPK-tilskudd</t>
        </is>
      </c>
      <c r="B1282" s="34" t="inlineStr">
        <is>
          <t>Region Sør</t>
        </is>
      </c>
      <c r="C1282" s="34" t="inlineStr">
        <is>
          <t>Justøya</t>
        </is>
      </c>
      <c r="D1282" s="18" t="n"/>
      <c r="E1282" s="18" t="n"/>
      <c r="F1282" s="18" t="n"/>
      <c r="G1282" s="18" t="n"/>
      <c r="H1282" s="18" t="n"/>
      <c r="I1282" s="18" t="n">
        <v>19876</v>
      </c>
      <c r="J1282" s="19" t="n">
        <v>22543.8561</v>
      </c>
      <c r="K1282" s="35" t="n">
        <v>0.065</v>
      </c>
    </row>
    <row r="1283">
      <c r="A1283" s="36" t="inlineStr">
        <is>
          <t>AGA SPK-tilskudd</t>
        </is>
      </c>
      <c r="B1283" s="36" t="inlineStr">
        <is>
          <t>Region Sør</t>
        </is>
      </c>
      <c r="C1283" s="36" t="inlineStr">
        <is>
          <t>Justøya</t>
        </is>
      </c>
      <c r="D1283" s="26" t="n"/>
      <c r="E1283" s="26" t="n"/>
      <c r="F1283" s="26" t="n"/>
      <c r="G1283" s="26" t="n"/>
      <c r="H1283" s="26" t="n"/>
      <c r="I1283" s="26" t="n">
        <v>6408</v>
      </c>
      <c r="J1283" s="19" t="n">
        <v>7268.113799999999</v>
      </c>
      <c r="K1283" s="37" t="n">
        <v>0.065</v>
      </c>
    </row>
    <row r="1284">
      <c r="A1284" s="34" t="inlineStr">
        <is>
          <t>AGA SPK-tilskudd</t>
        </is>
      </c>
      <c r="B1284" s="34" t="inlineStr">
        <is>
          <t>Region Sør</t>
        </is>
      </c>
      <c r="C1284" s="34" t="inlineStr">
        <is>
          <t>Justøya</t>
        </is>
      </c>
      <c r="D1284" s="18" t="n"/>
      <c r="E1284" s="18" t="n"/>
      <c r="F1284" s="18" t="n"/>
      <c r="G1284" s="18" t="n"/>
      <c r="H1284" s="18" t="n"/>
      <c r="I1284" s="18" t="n">
        <v>13357</v>
      </c>
      <c r="J1284" s="19" t="n">
        <v>15149.843325</v>
      </c>
      <c r="K1284" s="35" t="n">
        <v>0.065</v>
      </c>
    </row>
    <row r="1285">
      <c r="A1285" s="36" t="inlineStr">
        <is>
          <t>AGA SPK-tilskudd</t>
        </is>
      </c>
      <c r="B1285" s="36" t="inlineStr">
        <is>
          <t>Region Sør</t>
        </is>
      </c>
      <c r="C1285" s="36" t="inlineStr">
        <is>
          <t>Justøya</t>
        </is>
      </c>
      <c r="D1285" s="26" t="n"/>
      <c r="E1285" s="26" t="n"/>
      <c r="F1285" s="26" t="n"/>
      <c r="G1285" s="26" t="n"/>
      <c r="H1285" s="26" t="n"/>
      <c r="I1285" s="26" t="n">
        <v>2448</v>
      </c>
      <c r="J1285" s="19" t="n">
        <v>2776.5828</v>
      </c>
      <c r="K1285" s="37" t="n">
        <v>0.065</v>
      </c>
    </row>
    <row r="1286">
      <c r="A1286" s="34" t="inlineStr">
        <is>
          <t>AGA SPK-tilskudd</t>
        </is>
      </c>
      <c r="B1286" s="34" t="inlineStr">
        <is>
          <t>Region Sør</t>
        </is>
      </c>
      <c r="C1286" s="34" t="inlineStr">
        <is>
          <t>Justøya</t>
        </is>
      </c>
      <c r="D1286" s="18" t="n"/>
      <c r="E1286" s="18" t="n"/>
      <c r="F1286" s="18" t="n"/>
      <c r="G1286" s="18" t="n"/>
      <c r="H1286" s="18" t="n"/>
      <c r="I1286" s="18" t="n">
        <v>11047</v>
      </c>
      <c r="J1286" s="19" t="n">
        <v>12529.783575</v>
      </c>
      <c r="K1286" s="35" t="n">
        <v>0.065</v>
      </c>
    </row>
    <row r="1287">
      <c r="A1287" s="36" t="inlineStr">
        <is>
          <t>AGA SPK-tilskudd</t>
        </is>
      </c>
      <c r="B1287" s="36" t="inlineStr">
        <is>
          <t>Region Sør</t>
        </is>
      </c>
      <c r="C1287" s="36" t="inlineStr">
        <is>
          <t>Justøya</t>
        </is>
      </c>
      <c r="D1287" s="26" t="n"/>
      <c r="E1287" s="26" t="n"/>
      <c r="F1287" s="26" t="n"/>
      <c r="G1287" s="26" t="n"/>
      <c r="H1287" s="26" t="n"/>
      <c r="I1287" s="26" t="n">
        <v>-351</v>
      </c>
      <c r="J1287" s="19" t="n">
        <v>-398.1129749999999</v>
      </c>
      <c r="K1287" s="37" t="n">
        <v>0.065</v>
      </c>
    </row>
    <row r="1288">
      <c r="A1288" s="34" t="inlineStr">
        <is>
          <t>AGA SPK-tilskudd</t>
        </is>
      </c>
      <c r="B1288" s="34" t="inlineStr">
        <is>
          <t>Region Sør</t>
        </is>
      </c>
      <c r="C1288" s="34" t="inlineStr">
        <is>
          <t>Justøya</t>
        </is>
      </c>
      <c r="D1288" s="18" t="n"/>
      <c r="E1288" s="18" t="n"/>
      <c r="F1288" s="18" t="n"/>
      <c r="G1288" s="18" t="n"/>
      <c r="H1288" s="18" t="n"/>
      <c r="I1288" s="18" t="n">
        <v>-112996</v>
      </c>
      <c r="J1288" s="19" t="n">
        <v>-128162.8881</v>
      </c>
      <c r="K1288" s="35" t="n">
        <v>0.065</v>
      </c>
    </row>
    <row r="1289">
      <c r="A1289" s="36" t="inlineStr">
        <is>
          <t>AGA SPK-tilskudd</t>
        </is>
      </c>
      <c r="B1289" s="36" t="inlineStr">
        <is>
          <t>Region Sør</t>
        </is>
      </c>
      <c r="C1289" s="36" t="inlineStr">
        <is>
          <t>Justøya behandling ungdom</t>
        </is>
      </c>
      <c r="D1289" s="26" t="n"/>
      <c r="E1289" s="26" t="n"/>
      <c r="F1289" s="26" t="n"/>
      <c r="G1289" s="26" t="n"/>
      <c r="H1289" s="26" t="n"/>
      <c r="I1289" s="26" t="n">
        <v>1955</v>
      </c>
      <c r="J1289" s="19" t="n">
        <v>2217.409875</v>
      </c>
      <c r="K1289" s="37" t="n">
        <v>0.065</v>
      </c>
    </row>
    <row r="1290">
      <c r="A1290" s="34" t="inlineStr">
        <is>
          <t>AGA SPK-tilskudd</t>
        </is>
      </c>
      <c r="B1290" s="34" t="inlineStr">
        <is>
          <t>Region Sør</t>
        </is>
      </c>
      <c r="C1290" s="34" t="inlineStr">
        <is>
          <t>Justøya behandling ungdom</t>
        </is>
      </c>
      <c r="D1290" s="18" t="n"/>
      <c r="E1290" s="18" t="n"/>
      <c r="F1290" s="18" t="n"/>
      <c r="G1290" s="18" t="n"/>
      <c r="H1290" s="18" t="n"/>
      <c r="I1290" s="18" t="n">
        <v>4050</v>
      </c>
      <c r="J1290" s="19" t="n">
        <v>4593.611249999999</v>
      </c>
      <c r="K1290" s="35" t="n">
        <v>0.065</v>
      </c>
    </row>
    <row r="1291">
      <c r="A1291" s="36" t="inlineStr">
        <is>
          <t>AGA SPK-tilskudd</t>
        </is>
      </c>
      <c r="B1291" s="36" t="inlineStr">
        <is>
          <t>Region Sør</t>
        </is>
      </c>
      <c r="C1291" s="36" t="inlineStr">
        <is>
          <t>Justøya behandling ungdom</t>
        </is>
      </c>
      <c r="D1291" s="26" t="n"/>
      <c r="E1291" s="26" t="n"/>
      <c r="F1291" s="26" t="n"/>
      <c r="G1291" s="26" t="n"/>
      <c r="H1291" s="26" t="n"/>
      <c r="I1291" s="26" t="n">
        <v>288</v>
      </c>
      <c r="J1291" s="19" t="n">
        <v>326.6568</v>
      </c>
      <c r="K1291" s="37" t="n">
        <v>0.065</v>
      </c>
    </row>
    <row r="1292">
      <c r="A1292" s="34" t="inlineStr">
        <is>
          <t>AGA SPK-tilskudd</t>
        </is>
      </c>
      <c r="B1292" s="34" t="inlineStr">
        <is>
          <t>Region Sør</t>
        </is>
      </c>
      <c r="C1292" s="34" t="inlineStr">
        <is>
          <t>Justøya behandling ungdom</t>
        </is>
      </c>
      <c r="D1292" s="18" t="n"/>
      <c r="E1292" s="18" t="n"/>
      <c r="F1292" s="18" t="n"/>
      <c r="G1292" s="18" t="n"/>
      <c r="H1292" s="18" t="n"/>
      <c r="I1292" s="18" t="n">
        <v>406</v>
      </c>
      <c r="J1292" s="19" t="n">
        <v>460.4953499999999</v>
      </c>
      <c r="K1292" s="35" t="n">
        <v>0.065</v>
      </c>
    </row>
    <row r="1293">
      <c r="A1293" s="36" t="inlineStr">
        <is>
          <t>AGA SPK-tilskudd</t>
        </is>
      </c>
      <c r="B1293" s="36" t="inlineStr">
        <is>
          <t>Region Sør</t>
        </is>
      </c>
      <c r="C1293" s="36" t="inlineStr">
        <is>
          <t>Justøya behandling ungdom</t>
        </is>
      </c>
      <c r="D1293" s="26" t="n"/>
      <c r="E1293" s="26" t="n"/>
      <c r="F1293" s="26" t="n"/>
      <c r="G1293" s="26" t="n"/>
      <c r="H1293" s="26" t="n"/>
      <c r="I1293" s="26" t="n">
        <v>120</v>
      </c>
      <c r="J1293" s="19" t="n">
        <v>136.107</v>
      </c>
      <c r="K1293" s="37" t="n">
        <v>0.065</v>
      </c>
    </row>
    <row r="1294">
      <c r="A1294" s="34" t="inlineStr">
        <is>
          <t>AGA SPK-tilskudd</t>
        </is>
      </c>
      <c r="B1294" s="34" t="inlineStr">
        <is>
          <t>Region Sør</t>
        </is>
      </c>
      <c r="C1294" s="34" t="inlineStr">
        <is>
          <t>Kantum</t>
        </is>
      </c>
      <c r="D1294" s="18" t="n">
        <v>105966</v>
      </c>
      <c r="E1294" s="18" t="n">
        <v>99750</v>
      </c>
      <c r="F1294" s="18" t="n">
        <v>86497</v>
      </c>
      <c r="G1294" s="18" t="n">
        <v>88364</v>
      </c>
      <c r="H1294" s="18" t="n">
        <v>117943</v>
      </c>
      <c r="I1294" s="18" t="n">
        <v>117652</v>
      </c>
      <c r="J1294" s="19" t="n">
        <v>122679.6204314252</v>
      </c>
      <c r="K1294" s="35" t="n">
        <v>0.02114297670894305</v>
      </c>
    </row>
    <row r="1295">
      <c r="A1295" s="36" t="inlineStr">
        <is>
          <t>AGA SPK-tilskudd</t>
        </is>
      </c>
      <c r="B1295" s="36" t="inlineStr">
        <is>
          <t>Region Sør</t>
        </is>
      </c>
      <c r="C1295" s="36" t="inlineStr">
        <is>
          <t>Kantum</t>
        </is>
      </c>
      <c r="D1295" s="26" t="n">
        <v>1848</v>
      </c>
      <c r="E1295" s="26" t="n">
        <v>8254</v>
      </c>
      <c r="F1295" s="26" t="n">
        <v>2015</v>
      </c>
      <c r="G1295" s="26" t="n"/>
      <c r="H1295" s="26" t="n"/>
      <c r="I1295" s="26" t="n"/>
      <c r="J1295" s="19" t="n">
        <v>0</v>
      </c>
      <c r="K1295" s="37" t="n">
        <v>0.065</v>
      </c>
    </row>
    <row r="1296">
      <c r="A1296" s="34" t="inlineStr">
        <is>
          <t>AGA SPK-tilskudd</t>
        </is>
      </c>
      <c r="B1296" s="34" t="inlineStr">
        <is>
          <t>Region Sør</t>
        </is>
      </c>
      <c r="C1296" s="34" t="inlineStr">
        <is>
          <t>Kantum</t>
        </is>
      </c>
      <c r="D1296" s="18" t="n"/>
      <c r="E1296" s="18" t="n">
        <v>424</v>
      </c>
      <c r="F1296" s="18" t="n">
        <v>6095</v>
      </c>
      <c r="G1296" s="18" t="n">
        <v>19819</v>
      </c>
      <c r="H1296" s="18" t="n">
        <v>21543</v>
      </c>
      <c r="I1296" s="18" t="n">
        <v>15538</v>
      </c>
      <c r="J1296" s="19" t="n">
        <v>24278.125</v>
      </c>
      <c r="K1296" s="35" t="n">
        <v>0.25</v>
      </c>
    </row>
    <row r="1297">
      <c r="A1297" s="36" t="inlineStr">
        <is>
          <t>AGA SPK-tilskudd</t>
        </is>
      </c>
      <c r="B1297" s="36" t="inlineStr">
        <is>
          <t>Region Sør</t>
        </is>
      </c>
      <c r="C1297" s="36" t="inlineStr">
        <is>
          <t>Kantum</t>
        </is>
      </c>
      <c r="D1297" s="26" t="n">
        <v>11950</v>
      </c>
      <c r="E1297" s="26" t="n">
        <v>11554</v>
      </c>
      <c r="F1297" s="26" t="n">
        <v>11043</v>
      </c>
      <c r="G1297" s="26" t="n">
        <v>19639</v>
      </c>
      <c r="H1297" s="26" t="n">
        <v>28250</v>
      </c>
      <c r="I1297" s="26" t="n">
        <v>31371</v>
      </c>
      <c r="J1297" s="19" t="n">
        <v>46152.21463927275</v>
      </c>
      <c r="K1297" s="37" t="n">
        <v>0.2129198163385788</v>
      </c>
    </row>
    <row r="1298">
      <c r="A1298" s="34" t="inlineStr">
        <is>
          <t>AGA SPK-tilskudd</t>
        </is>
      </c>
      <c r="B1298" s="34" t="inlineStr">
        <is>
          <t>Region Sør</t>
        </is>
      </c>
      <c r="C1298" s="34" t="inlineStr">
        <is>
          <t>Kantum</t>
        </is>
      </c>
      <c r="D1298" s="18" t="n">
        <v>1700</v>
      </c>
      <c r="E1298" s="18" t="n"/>
      <c r="F1298" s="18" t="n"/>
      <c r="G1298" s="18" t="n">
        <v>4922</v>
      </c>
      <c r="H1298" s="18" t="n"/>
      <c r="I1298" s="18" t="n"/>
      <c r="J1298" s="19" t="n">
        <v>0</v>
      </c>
      <c r="K1298" s="35" t="n">
        <v>0.065</v>
      </c>
    </row>
    <row r="1299">
      <c r="A1299" s="36" t="inlineStr">
        <is>
          <t>AGA SPK-tilskudd</t>
        </is>
      </c>
      <c r="B1299" s="36" t="inlineStr">
        <is>
          <t>Region Sør</t>
        </is>
      </c>
      <c r="C1299" s="36" t="inlineStr">
        <is>
          <t>Kantum</t>
        </is>
      </c>
      <c r="D1299" s="26" t="n"/>
      <c r="E1299" s="26" t="n">
        <v>4902</v>
      </c>
      <c r="F1299" s="26" t="n">
        <v>3640</v>
      </c>
      <c r="G1299" s="26" t="n">
        <v>11362</v>
      </c>
      <c r="H1299" s="26" t="n">
        <v>8117</v>
      </c>
      <c r="I1299" s="26" t="n">
        <v>960</v>
      </c>
      <c r="J1299" s="19" t="n">
        <v>540</v>
      </c>
      <c r="K1299" s="37" t="n">
        <v>-0.25</v>
      </c>
    </row>
    <row r="1300">
      <c r="A1300" s="34" t="inlineStr">
        <is>
          <t>AGA SPK-tilskudd</t>
        </is>
      </c>
      <c r="B1300" s="34" t="inlineStr">
        <is>
          <t>Region Sør</t>
        </is>
      </c>
      <c r="C1300" s="34" t="inlineStr">
        <is>
          <t>Kantum</t>
        </is>
      </c>
      <c r="D1300" s="18" t="n"/>
      <c r="E1300" s="18" t="n">
        <v>912</v>
      </c>
      <c r="F1300" s="18" t="n">
        <v>309</v>
      </c>
      <c r="G1300" s="18" t="n">
        <v>7291</v>
      </c>
      <c r="H1300" s="18" t="n">
        <v>6886</v>
      </c>
      <c r="I1300" s="18" t="n">
        <v>5277</v>
      </c>
      <c r="J1300" s="19" t="n">
        <v>8245.3125</v>
      </c>
      <c r="K1300" s="35" t="n">
        <v>0.25</v>
      </c>
    </row>
    <row r="1301">
      <c r="A1301" s="36" t="inlineStr">
        <is>
          <t>AGA SPK-tilskudd</t>
        </is>
      </c>
      <c r="B1301" s="36" t="inlineStr">
        <is>
          <t>Region Sør</t>
        </is>
      </c>
      <c r="C1301" s="36" t="inlineStr">
        <is>
          <t>Kantum</t>
        </is>
      </c>
      <c r="D1301" s="26" t="n"/>
      <c r="E1301" s="26" t="n"/>
      <c r="F1301" s="26" t="n"/>
      <c r="G1301" s="26" t="n">
        <v>7704</v>
      </c>
      <c r="H1301" s="26" t="n">
        <v>16107</v>
      </c>
      <c r="I1301" s="26" t="n">
        <v>5471</v>
      </c>
      <c r="J1301" s="19" t="n">
        <v>6205.344974999999</v>
      </c>
      <c r="K1301" s="37" t="n">
        <v>0.065</v>
      </c>
    </row>
    <row r="1302">
      <c r="A1302" s="34" t="inlineStr">
        <is>
          <t>AGA SPK-tilskudd</t>
        </is>
      </c>
      <c r="B1302" s="34" t="inlineStr">
        <is>
          <t>Region Sør</t>
        </is>
      </c>
      <c r="C1302" s="34" t="inlineStr">
        <is>
          <t>Kantum</t>
        </is>
      </c>
      <c r="D1302" s="18" t="n"/>
      <c r="E1302" s="18" t="n">
        <v>3689</v>
      </c>
      <c r="F1302" s="18" t="n">
        <v>6194</v>
      </c>
      <c r="G1302" s="18" t="n">
        <v>5881</v>
      </c>
      <c r="H1302" s="18" t="n">
        <v>3428</v>
      </c>
      <c r="I1302" s="18" t="n">
        <v>1317</v>
      </c>
      <c r="J1302" s="19" t="n">
        <v>786.9086781979586</v>
      </c>
      <c r="K1302" s="35" t="n">
        <v>-0.2270181796397733</v>
      </c>
    </row>
    <row r="1303">
      <c r="A1303" s="36" t="inlineStr">
        <is>
          <t>AGA SPK-tilskudd</t>
        </is>
      </c>
      <c r="B1303" s="36" t="inlineStr">
        <is>
          <t>Region Sør</t>
        </is>
      </c>
      <c r="C1303" s="36" t="inlineStr">
        <is>
          <t>Kantum</t>
        </is>
      </c>
      <c r="D1303" s="26" t="n"/>
      <c r="E1303" s="26" t="n">
        <v>948</v>
      </c>
      <c r="F1303" s="26" t="n">
        <v>565</v>
      </c>
      <c r="G1303" s="26" t="n">
        <v>3529</v>
      </c>
      <c r="H1303" s="26" t="n">
        <v>5396</v>
      </c>
      <c r="I1303" s="26" t="n">
        <v>3065</v>
      </c>
      <c r="J1303" s="19" t="n">
        <v>4789.0625</v>
      </c>
      <c r="K1303" s="37" t="n">
        <v>0.25</v>
      </c>
    </row>
    <row r="1304">
      <c r="A1304" s="34" t="inlineStr">
        <is>
          <t>AGA SPK-tilskudd</t>
        </is>
      </c>
      <c r="B1304" s="34" t="inlineStr">
        <is>
          <t>Region Sør</t>
        </is>
      </c>
      <c r="C1304" s="34" t="inlineStr">
        <is>
          <t>Kantum</t>
        </is>
      </c>
      <c r="D1304" s="18" t="n">
        <v>3104</v>
      </c>
      <c r="E1304" s="18" t="n">
        <v>4640</v>
      </c>
      <c r="F1304" s="18" t="n"/>
      <c r="G1304" s="18" t="n"/>
      <c r="H1304" s="18" t="n"/>
      <c r="I1304" s="18" t="n">
        <v>6115</v>
      </c>
      <c r="J1304" s="19" t="n">
        <v>8020.221467241364</v>
      </c>
      <c r="K1304" s="35" t="n">
        <v>0.145235890124676</v>
      </c>
    </row>
    <row r="1305">
      <c r="A1305" s="36" t="inlineStr">
        <is>
          <t>AGA SPK-tilskudd</t>
        </is>
      </c>
      <c r="B1305" s="36" t="inlineStr">
        <is>
          <t>Region Sør</t>
        </is>
      </c>
      <c r="C1305" s="36" t="inlineStr">
        <is>
          <t>Kantum</t>
        </is>
      </c>
      <c r="D1305" s="26" t="n">
        <v>4900</v>
      </c>
      <c r="E1305" s="26" t="n"/>
      <c r="F1305" s="26" t="n"/>
      <c r="G1305" s="26" t="n"/>
      <c r="H1305" s="26" t="n"/>
      <c r="I1305" s="26" t="n"/>
      <c r="J1305" s="19" t="n">
        <v>0</v>
      </c>
      <c r="K1305" s="37" t="n">
        <v>0.065</v>
      </c>
    </row>
    <row r="1306">
      <c r="A1306" s="34" t="inlineStr">
        <is>
          <t>AGA SPK-tilskudd</t>
        </is>
      </c>
      <c r="B1306" s="34" t="inlineStr">
        <is>
          <t>Region Sør</t>
        </is>
      </c>
      <c r="C1306" s="34" t="inlineStr">
        <is>
          <t>Kantum</t>
        </is>
      </c>
      <c r="D1306" s="18" t="n">
        <v>-6960</v>
      </c>
      <c r="E1306" s="18" t="n">
        <v>-7250</v>
      </c>
      <c r="F1306" s="18" t="n">
        <v>-6131</v>
      </c>
      <c r="G1306" s="18" t="n">
        <v>-4931</v>
      </c>
      <c r="H1306" s="18" t="n">
        <v>-4659</v>
      </c>
      <c r="I1306" s="18" t="n">
        <v>-3837</v>
      </c>
      <c r="J1306" s="19" t="n">
        <v>-4352.021325</v>
      </c>
      <c r="K1306" s="35" t="n">
        <v>0.065</v>
      </c>
    </row>
    <row r="1307">
      <c r="A1307" s="36" t="inlineStr">
        <is>
          <t>AGA SPK-tilskudd</t>
        </is>
      </c>
      <c r="B1307" s="36" t="inlineStr">
        <is>
          <t>Region Sør</t>
        </is>
      </c>
      <c r="C1307" s="36" t="inlineStr">
        <is>
          <t>Kantum</t>
        </is>
      </c>
      <c r="D1307" s="26" t="n"/>
      <c r="E1307" s="26" t="n"/>
      <c r="F1307" s="26" t="n"/>
      <c r="G1307" s="26" t="n"/>
      <c r="H1307" s="26" t="n">
        <v>-435024</v>
      </c>
      <c r="I1307" s="26" t="n">
        <v>-51859</v>
      </c>
      <c r="J1307" s="19" t="n">
        <v>-58819.77427499999</v>
      </c>
      <c r="K1307" s="37" t="n">
        <v>0.065</v>
      </c>
    </row>
    <row r="1308">
      <c r="A1308" s="34" t="inlineStr">
        <is>
          <t>AGA SPK-tilskudd</t>
        </is>
      </c>
      <c r="B1308" s="34" t="inlineStr">
        <is>
          <t>Region Sør</t>
        </is>
      </c>
      <c r="C1308" s="34" t="inlineStr">
        <is>
          <t>Kantum</t>
        </is>
      </c>
      <c r="D1308" s="18" t="n">
        <v>-292567</v>
      </c>
      <c r="E1308" s="18" t="n">
        <v>-397977</v>
      </c>
      <c r="F1308" s="18" t="n">
        <v>-62134</v>
      </c>
      <c r="G1308" s="18" t="n">
        <v>-303319</v>
      </c>
      <c r="H1308" s="18" t="n">
        <v>-832694</v>
      </c>
      <c r="I1308" s="18" t="n">
        <v>-294863</v>
      </c>
      <c r="J1308" s="19" t="n">
        <v>-334440.986175</v>
      </c>
      <c r="K1308" s="35" t="n">
        <v>0.065</v>
      </c>
    </row>
    <row r="1309">
      <c r="A1309" s="36" t="inlineStr">
        <is>
          <t>AGA SPK-tilskudd</t>
        </is>
      </c>
      <c r="B1309" s="36" t="inlineStr">
        <is>
          <t>Region Sør</t>
        </is>
      </c>
      <c r="C1309" s="36" t="inlineStr">
        <is>
          <t>Kartleggingsteam ungdom</t>
        </is>
      </c>
      <c r="D1309" s="26" t="n"/>
      <c r="E1309" s="26" t="n"/>
      <c r="F1309" s="26" t="n"/>
      <c r="G1309" s="26" t="n"/>
      <c r="H1309" s="26" t="n">
        <v>1552</v>
      </c>
      <c r="I1309" s="26" t="n">
        <v>-837</v>
      </c>
      <c r="J1309" s="19" t="n">
        <v>-949.3463249999999</v>
      </c>
      <c r="K1309" s="37" t="n">
        <v>0.065</v>
      </c>
    </row>
    <row r="1310">
      <c r="A1310" s="34" t="inlineStr">
        <is>
          <t>AGA SPK-tilskudd</t>
        </is>
      </c>
      <c r="B1310" s="34" t="inlineStr">
        <is>
          <t>Region Sør</t>
        </is>
      </c>
      <c r="C1310" s="34" t="inlineStr">
        <is>
          <t>Kartleggingsteam ungdom</t>
        </is>
      </c>
      <c r="D1310" s="18" t="n"/>
      <c r="E1310" s="18" t="n"/>
      <c r="F1310" s="18" t="n">
        <v>1949</v>
      </c>
      <c r="G1310" s="18" t="n">
        <v>1940</v>
      </c>
      <c r="H1310" s="18" t="n">
        <v>1896</v>
      </c>
      <c r="I1310" s="18" t="n">
        <v>971</v>
      </c>
      <c r="J1310" s="19" t="n">
        <v>1101.332475</v>
      </c>
      <c r="K1310" s="35" t="n">
        <v>0.065</v>
      </c>
    </row>
    <row r="1311">
      <c r="A1311" s="36" t="inlineStr">
        <is>
          <t>AGA SPK-tilskudd</t>
        </is>
      </c>
      <c r="B1311" s="36" t="inlineStr">
        <is>
          <t>Region Sør</t>
        </is>
      </c>
      <c r="C1311" s="36" t="inlineStr">
        <is>
          <t>Kartleggingsteam ungdom</t>
        </is>
      </c>
      <c r="D1311" s="26" t="n"/>
      <c r="E1311" s="26" t="n"/>
      <c r="F1311" s="26" t="n"/>
      <c r="G1311" s="26" t="n"/>
      <c r="H1311" s="26" t="n">
        <v>137</v>
      </c>
      <c r="I1311" s="26" t="n"/>
      <c r="J1311" s="19" t="n">
        <v>0</v>
      </c>
      <c r="K1311" s="37" t="n">
        <v>0.065</v>
      </c>
    </row>
    <row r="1312">
      <c r="A1312" s="34" t="inlineStr">
        <is>
          <t>AGA SPK-tilskudd</t>
        </is>
      </c>
      <c r="B1312" s="34" t="inlineStr">
        <is>
          <t>Region Sør</t>
        </is>
      </c>
      <c r="C1312" s="34" t="inlineStr">
        <is>
          <t>Kartleggingsteam ungdom</t>
        </is>
      </c>
      <c r="D1312" s="18" t="n"/>
      <c r="E1312" s="18" t="n"/>
      <c r="F1312" s="18" t="n">
        <v>3641</v>
      </c>
      <c r="G1312" s="18" t="n">
        <v>15873</v>
      </c>
      <c r="H1312" s="18" t="n">
        <v>1200</v>
      </c>
      <c r="I1312" s="18" t="n">
        <v>1988</v>
      </c>
      <c r="J1312" s="19" t="n">
        <v>2254.8393</v>
      </c>
      <c r="K1312" s="35" t="n">
        <v>0.065</v>
      </c>
    </row>
    <row r="1313">
      <c r="A1313" s="36" t="inlineStr">
        <is>
          <t>AGA SPK-tilskudd</t>
        </is>
      </c>
      <c r="B1313" s="36" t="inlineStr">
        <is>
          <t>Region Sør</t>
        </is>
      </c>
      <c r="C1313" s="36" t="inlineStr">
        <is>
          <t>Kartleggingsteam ungdom</t>
        </is>
      </c>
      <c r="D1313" s="26" t="n"/>
      <c r="E1313" s="26" t="n"/>
      <c r="F1313" s="26" t="n">
        <v>1608</v>
      </c>
      <c r="G1313" s="26" t="n">
        <v>1030</v>
      </c>
      <c r="H1313" s="26" t="n">
        <v>820</v>
      </c>
      <c r="I1313" s="26" t="n"/>
      <c r="J1313" s="19" t="n">
        <v>0</v>
      </c>
      <c r="K1313" s="37" t="n">
        <v>0.065</v>
      </c>
    </row>
    <row r="1314">
      <c r="A1314" s="34" t="inlineStr">
        <is>
          <t>AGA SPK-tilskudd</t>
        </is>
      </c>
      <c r="B1314" s="34" t="inlineStr">
        <is>
          <t>Region Sør</t>
        </is>
      </c>
      <c r="C1314" s="34" t="inlineStr">
        <is>
          <t>Kartleggingsteam ungdom</t>
        </is>
      </c>
      <c r="D1314" s="18" t="n"/>
      <c r="E1314" s="18" t="n"/>
      <c r="F1314" s="18" t="n">
        <v>858</v>
      </c>
      <c r="G1314" s="18" t="n">
        <v>4512</v>
      </c>
      <c r="H1314" s="18" t="n">
        <v>722</v>
      </c>
      <c r="I1314" s="18" t="n">
        <v>785</v>
      </c>
      <c r="J1314" s="19" t="n">
        <v>890.3666249999999</v>
      </c>
      <c r="K1314" s="35" t="n">
        <v>0.065</v>
      </c>
    </row>
    <row r="1315">
      <c r="A1315" s="36" t="inlineStr">
        <is>
          <t>AGA SPK-tilskudd</t>
        </is>
      </c>
      <c r="B1315" s="36" t="inlineStr">
        <is>
          <t>Region Sør</t>
        </is>
      </c>
      <c r="C1315" s="36" t="inlineStr">
        <is>
          <t>Katfoss</t>
        </is>
      </c>
      <c r="D1315" s="26" t="n"/>
      <c r="E1315" s="26" t="n"/>
      <c r="F1315" s="26" t="n"/>
      <c r="G1315" s="26" t="n"/>
      <c r="H1315" s="26" t="n">
        <v>189208</v>
      </c>
      <c r="I1315" s="26" t="n">
        <v>254973</v>
      </c>
      <c r="J1315" s="19" t="n">
        <v>289196.7509249999</v>
      </c>
      <c r="K1315" s="37" t="n">
        <v>0.065</v>
      </c>
    </row>
    <row r="1316">
      <c r="A1316" s="34" t="inlineStr">
        <is>
          <t>AGA SPK-tilskudd</t>
        </is>
      </c>
      <c r="B1316" s="34" t="inlineStr">
        <is>
          <t>Region Sør</t>
        </is>
      </c>
      <c r="C1316" s="34" t="inlineStr">
        <is>
          <t>Katfoss</t>
        </is>
      </c>
      <c r="D1316" s="18" t="n"/>
      <c r="E1316" s="18" t="n"/>
      <c r="F1316" s="18" t="n"/>
      <c r="G1316" s="18" t="n"/>
      <c r="H1316" s="18" t="n">
        <v>61231</v>
      </c>
      <c r="I1316" s="18" t="n">
        <v>111871</v>
      </c>
      <c r="J1316" s="19" t="n">
        <v>126886.884975</v>
      </c>
      <c r="K1316" s="35" t="n">
        <v>0.065</v>
      </c>
    </row>
    <row r="1317">
      <c r="A1317" s="36" t="inlineStr">
        <is>
          <t>AGA SPK-tilskudd</t>
        </is>
      </c>
      <c r="B1317" s="36" t="inlineStr">
        <is>
          <t>Region Sør</t>
        </is>
      </c>
      <c r="C1317" s="36" t="inlineStr">
        <is>
          <t>Katfoss</t>
        </is>
      </c>
      <c r="D1317" s="26" t="n"/>
      <c r="E1317" s="26" t="n"/>
      <c r="F1317" s="26" t="n"/>
      <c r="G1317" s="26" t="n"/>
      <c r="H1317" s="26" t="n">
        <v>46620</v>
      </c>
      <c r="I1317" s="26" t="n">
        <v>77852</v>
      </c>
      <c r="J1317" s="19" t="n">
        <v>88301.68469999998</v>
      </c>
      <c r="K1317" s="37" t="n">
        <v>0.065</v>
      </c>
    </row>
    <row r="1318">
      <c r="A1318" s="34" t="inlineStr">
        <is>
          <t>AGA SPK-tilskudd</t>
        </is>
      </c>
      <c r="B1318" s="34" t="inlineStr">
        <is>
          <t>Region Sør</t>
        </is>
      </c>
      <c r="C1318" s="34" t="inlineStr">
        <is>
          <t>Katfoss</t>
        </is>
      </c>
      <c r="D1318" s="18" t="n"/>
      <c r="E1318" s="18" t="n"/>
      <c r="F1318" s="18" t="n"/>
      <c r="G1318" s="18" t="n"/>
      <c r="H1318" s="18" t="n">
        <v>1725</v>
      </c>
      <c r="I1318" s="18" t="n">
        <v>350512</v>
      </c>
      <c r="J1318" s="19" t="n">
        <v>397559.4731999999</v>
      </c>
      <c r="K1318" s="35" t="n">
        <v>0.065</v>
      </c>
    </row>
    <row r="1319">
      <c r="A1319" s="36" t="inlineStr">
        <is>
          <t>AGA SPK-tilskudd</t>
        </is>
      </c>
      <c r="B1319" s="36" t="inlineStr">
        <is>
          <t>Region Sør</t>
        </is>
      </c>
      <c r="C1319" s="36" t="inlineStr">
        <is>
          <t>Katfoss</t>
        </is>
      </c>
      <c r="D1319" s="26" t="n"/>
      <c r="E1319" s="26" t="n"/>
      <c r="F1319" s="26" t="n"/>
      <c r="G1319" s="26" t="n"/>
      <c r="H1319" s="26" t="n">
        <v>14007</v>
      </c>
      <c r="I1319" s="26" t="n">
        <v>20444</v>
      </c>
      <c r="J1319" s="19" t="n">
        <v>23188.0959</v>
      </c>
      <c r="K1319" s="37" t="n">
        <v>0.065</v>
      </c>
    </row>
    <row r="1320">
      <c r="A1320" s="34" t="inlineStr">
        <is>
          <t>AGA SPK-tilskudd</t>
        </is>
      </c>
      <c r="B1320" s="34" t="inlineStr">
        <is>
          <t>Region Sør</t>
        </is>
      </c>
      <c r="C1320" s="34" t="inlineStr">
        <is>
          <t>Katfoss</t>
        </is>
      </c>
      <c r="D1320" s="18" t="n"/>
      <c r="E1320" s="18" t="n"/>
      <c r="F1320" s="18" t="n"/>
      <c r="G1320" s="18" t="n"/>
      <c r="H1320" s="18" t="n">
        <v>12291</v>
      </c>
      <c r="I1320" s="18" t="n">
        <v>23678</v>
      </c>
      <c r="J1320" s="19" t="n">
        <v>26856.17955</v>
      </c>
      <c r="K1320" s="35" t="n">
        <v>0.065</v>
      </c>
    </row>
    <row r="1321">
      <c r="A1321" s="36" t="inlineStr">
        <is>
          <t>AGA SPK-tilskudd</t>
        </is>
      </c>
      <c r="B1321" s="36" t="inlineStr">
        <is>
          <t>Region Sør</t>
        </is>
      </c>
      <c r="C1321" s="36" t="inlineStr">
        <is>
          <t>Katfoss</t>
        </is>
      </c>
      <c r="D1321" s="26" t="n"/>
      <c r="E1321" s="26" t="n"/>
      <c r="F1321" s="26" t="n"/>
      <c r="G1321" s="26" t="n"/>
      <c r="H1321" s="26" t="n">
        <v>18624</v>
      </c>
      <c r="I1321" s="26" t="n">
        <v>3835</v>
      </c>
      <c r="J1321" s="19" t="n">
        <v>4349.752874999999</v>
      </c>
      <c r="K1321" s="37" t="n">
        <v>0.065</v>
      </c>
    </row>
    <row r="1322">
      <c r="A1322" s="34" t="inlineStr">
        <is>
          <t>AGA SPK-tilskudd</t>
        </is>
      </c>
      <c r="B1322" s="34" t="inlineStr">
        <is>
          <t>Region Sør</t>
        </is>
      </c>
      <c r="C1322" s="34" t="inlineStr">
        <is>
          <t>Katfoss</t>
        </is>
      </c>
      <c r="D1322" s="18" t="n"/>
      <c r="E1322" s="18" t="n"/>
      <c r="F1322" s="18" t="n"/>
      <c r="G1322" s="18" t="n"/>
      <c r="H1322" s="18" t="n">
        <v>8396</v>
      </c>
      <c r="I1322" s="18" t="n">
        <v>20257</v>
      </c>
      <c r="J1322" s="19" t="n">
        <v>22975.99582499999</v>
      </c>
      <c r="K1322" s="35" t="n">
        <v>0.065</v>
      </c>
    </row>
    <row r="1323">
      <c r="A1323" s="36" t="inlineStr">
        <is>
          <t>AGA SPK-tilskudd</t>
        </is>
      </c>
      <c r="B1323" s="36" t="inlineStr">
        <is>
          <t>Region Sør</t>
        </is>
      </c>
      <c r="C1323" s="36" t="inlineStr">
        <is>
          <t>Katfoss</t>
        </is>
      </c>
      <c r="D1323" s="26" t="n"/>
      <c r="E1323" s="26" t="n"/>
      <c r="F1323" s="26" t="n"/>
      <c r="G1323" s="26" t="n"/>
      <c r="H1323" s="26" t="n">
        <v>10985</v>
      </c>
      <c r="I1323" s="26" t="n">
        <v>20003</v>
      </c>
      <c r="J1323" s="19" t="n">
        <v>22687.902675</v>
      </c>
      <c r="K1323" s="37" t="n">
        <v>0.065</v>
      </c>
    </row>
    <row r="1324">
      <c r="A1324" s="34" t="inlineStr">
        <is>
          <t>AGA SPK-tilskudd</t>
        </is>
      </c>
      <c r="B1324" s="34" t="inlineStr">
        <is>
          <t>Region Sør</t>
        </is>
      </c>
      <c r="C1324" s="34" t="inlineStr">
        <is>
          <t>Katfoss</t>
        </is>
      </c>
      <c r="D1324" s="18" t="n"/>
      <c r="E1324" s="18" t="n"/>
      <c r="F1324" s="18" t="n"/>
      <c r="G1324" s="18" t="n"/>
      <c r="H1324" s="18" t="n">
        <v>8960</v>
      </c>
      <c r="I1324" s="18" t="n"/>
      <c r="J1324" s="19" t="n">
        <v>0</v>
      </c>
      <c r="K1324" s="35" t="n">
        <v>0.065</v>
      </c>
    </row>
    <row r="1325">
      <c r="A1325" s="36" t="inlineStr">
        <is>
          <t>AGA SPK-tilskudd</t>
        </is>
      </c>
      <c r="B1325" s="36" t="inlineStr">
        <is>
          <t>Region Sør</t>
        </is>
      </c>
      <c r="C1325" s="36" t="inlineStr">
        <is>
          <t>Katfoss</t>
        </is>
      </c>
      <c r="D1325" s="26" t="n"/>
      <c r="E1325" s="26" t="n"/>
      <c r="F1325" s="26" t="n"/>
      <c r="G1325" s="26" t="n"/>
      <c r="H1325" s="26" t="n">
        <v>-793</v>
      </c>
      <c r="I1325" s="26" t="n">
        <v>19919</v>
      </c>
      <c r="J1325" s="19" t="n">
        <v>22592.627775</v>
      </c>
      <c r="K1325" s="37" t="n">
        <v>0.065</v>
      </c>
    </row>
    <row r="1326">
      <c r="A1326" s="34" t="inlineStr">
        <is>
          <t>AGA SPK-tilskudd</t>
        </is>
      </c>
      <c r="B1326" s="34" t="inlineStr">
        <is>
          <t>Region Sør</t>
        </is>
      </c>
      <c r="C1326" s="34" t="inlineStr">
        <is>
          <t>Katfoss</t>
        </is>
      </c>
      <c r="D1326" s="18" t="n"/>
      <c r="E1326" s="18" t="n"/>
      <c r="F1326" s="18" t="n"/>
      <c r="G1326" s="18" t="n"/>
      <c r="H1326" s="18" t="n">
        <v>-226496</v>
      </c>
      <c r="I1326" s="18" t="n">
        <v>-627093</v>
      </c>
      <c r="J1326" s="19" t="n">
        <v>-711264.5579249999</v>
      </c>
      <c r="K1326" s="35" t="n">
        <v>0.065</v>
      </c>
    </row>
    <row r="1327">
      <c r="A1327" s="36" t="inlineStr">
        <is>
          <t>AGA SPK-tilskudd</t>
        </is>
      </c>
      <c r="B1327" s="36" t="inlineStr">
        <is>
          <t>Region Sør</t>
        </is>
      </c>
      <c r="C1327" s="36" t="inlineStr">
        <is>
          <t>Katfoss</t>
        </is>
      </c>
      <c r="D1327" s="26" t="n"/>
      <c r="E1327" s="26" t="n"/>
      <c r="F1327" s="26" t="n"/>
      <c r="G1327" s="26" t="n"/>
      <c r="H1327" s="26" t="n">
        <v>-843933</v>
      </c>
      <c r="I1327" s="26" t="n">
        <v>-1463873</v>
      </c>
      <c r="J1327" s="19" t="n">
        <v>-1660361.353425</v>
      </c>
      <c r="K1327" s="37" t="n">
        <v>0.065</v>
      </c>
    </row>
    <row r="1328">
      <c r="A1328" s="34" t="inlineStr">
        <is>
          <t>AGA SPK-tilskudd</t>
        </is>
      </c>
      <c r="B1328" s="34" t="inlineStr">
        <is>
          <t>Region Sør</t>
        </is>
      </c>
      <c r="C1328" s="34" t="inlineStr">
        <is>
          <t>Katfoss behandling ungdom</t>
        </is>
      </c>
      <c r="D1328" s="18" t="n"/>
      <c r="E1328" s="18" t="n"/>
      <c r="F1328" s="18" t="n"/>
      <c r="G1328" s="18" t="n"/>
      <c r="H1328" s="18" t="n">
        <v>13939</v>
      </c>
      <c r="I1328" s="18" t="n">
        <v>8606</v>
      </c>
      <c r="J1328" s="19" t="n">
        <v>9761.140349999998</v>
      </c>
      <c r="K1328" s="35" t="n">
        <v>0.065</v>
      </c>
    </row>
    <row r="1329">
      <c r="A1329" s="36" t="inlineStr">
        <is>
          <t>AGA SPK-tilskudd</t>
        </is>
      </c>
      <c r="B1329" s="36" t="inlineStr">
        <is>
          <t>Region Sør</t>
        </is>
      </c>
      <c r="C1329" s="36" t="inlineStr">
        <is>
          <t>Katfoss behandling ungdom</t>
        </is>
      </c>
      <c r="D1329" s="26" t="n"/>
      <c r="E1329" s="26" t="n"/>
      <c r="F1329" s="26" t="n"/>
      <c r="G1329" s="26" t="n"/>
      <c r="H1329" s="26" t="n">
        <v>13669</v>
      </c>
      <c r="I1329" s="26" t="n">
        <v>4320</v>
      </c>
      <c r="J1329" s="19" t="n">
        <v>4899.851999999999</v>
      </c>
      <c r="K1329" s="37" t="n">
        <v>0.065</v>
      </c>
    </row>
    <row r="1330">
      <c r="A1330" s="34" t="inlineStr">
        <is>
          <t>AGA SPK-tilskudd</t>
        </is>
      </c>
      <c r="B1330" s="34" t="inlineStr">
        <is>
          <t>Region Sør</t>
        </is>
      </c>
      <c r="C1330" s="34" t="inlineStr">
        <is>
          <t>Katfoss behandling ungdom</t>
        </is>
      </c>
      <c r="D1330" s="18" t="n"/>
      <c r="E1330" s="18" t="n"/>
      <c r="F1330" s="18" t="n"/>
      <c r="G1330" s="18" t="n"/>
      <c r="H1330" s="18" t="n">
        <v>1804</v>
      </c>
      <c r="I1330" s="18" t="n">
        <v>1225</v>
      </c>
      <c r="J1330" s="19" t="n">
        <v>1389.425625</v>
      </c>
      <c r="K1330" s="35" t="n">
        <v>0.065</v>
      </c>
    </row>
    <row r="1331">
      <c r="A1331" s="36" t="inlineStr">
        <is>
          <t>AGA SPK-tilskudd</t>
        </is>
      </c>
      <c r="B1331" s="36" t="inlineStr">
        <is>
          <t>Region Sør</t>
        </is>
      </c>
      <c r="C1331" s="36" t="inlineStr">
        <is>
          <t>Katfoss behandling ungdom</t>
        </is>
      </c>
      <c r="D1331" s="26" t="n"/>
      <c r="E1331" s="26" t="n"/>
      <c r="F1331" s="26" t="n"/>
      <c r="G1331" s="26" t="n"/>
      <c r="H1331" s="26" t="n">
        <v>5602</v>
      </c>
      <c r="I1331" s="26" t="n">
        <v>20230</v>
      </c>
      <c r="J1331" s="19" t="n">
        <v>22945.37174999999</v>
      </c>
      <c r="K1331" s="37" t="n">
        <v>0.065</v>
      </c>
    </row>
    <row r="1332">
      <c r="A1332" s="34" t="inlineStr">
        <is>
          <t>AGA SPK-tilskudd</t>
        </is>
      </c>
      <c r="B1332" s="34" t="inlineStr">
        <is>
          <t>Region Sør</t>
        </is>
      </c>
      <c r="C1332" s="34" t="inlineStr">
        <is>
          <t>Katfoss behandling ungdom</t>
        </is>
      </c>
      <c r="D1332" s="18" t="n"/>
      <c r="E1332" s="18" t="n"/>
      <c r="F1332" s="18" t="n"/>
      <c r="G1332" s="18" t="n"/>
      <c r="H1332" s="18" t="n">
        <v>2405</v>
      </c>
      <c r="I1332" s="18" t="n">
        <v>4924</v>
      </c>
      <c r="J1332" s="19" t="n">
        <v>5584.923899999999</v>
      </c>
      <c r="K1332" s="35" t="n">
        <v>0.065</v>
      </c>
    </row>
    <row r="1333">
      <c r="A1333" s="36" t="inlineStr">
        <is>
          <t>AGA SPK-tilskudd</t>
        </is>
      </c>
      <c r="B1333" s="36" t="inlineStr">
        <is>
          <t>Region Sør</t>
        </is>
      </c>
      <c r="C1333" s="36" t="inlineStr">
        <is>
          <t>Katfoss behandling ungdom</t>
        </is>
      </c>
      <c r="D1333" s="26" t="n"/>
      <c r="E1333" s="26" t="n"/>
      <c r="F1333" s="26" t="n"/>
      <c r="G1333" s="26" t="n"/>
      <c r="H1333" s="26" t="n">
        <v>4285</v>
      </c>
      <c r="I1333" s="26" t="n">
        <v>13404</v>
      </c>
      <c r="J1333" s="19" t="n">
        <v>15203.1519</v>
      </c>
      <c r="K1333" s="37" t="n">
        <v>0.065</v>
      </c>
    </row>
    <row r="1334">
      <c r="A1334" s="34" t="inlineStr">
        <is>
          <t>AGA SPK-tilskudd</t>
        </is>
      </c>
      <c r="B1334" s="34" t="inlineStr">
        <is>
          <t>Region Sør</t>
        </is>
      </c>
      <c r="C1334" s="34" t="inlineStr">
        <is>
          <t>Katfoss behandling ungdom</t>
        </is>
      </c>
      <c r="D1334" s="18" t="n"/>
      <c r="E1334" s="18" t="n"/>
      <c r="F1334" s="18" t="n"/>
      <c r="G1334" s="18" t="n"/>
      <c r="H1334" s="18" t="n"/>
      <c r="I1334" s="18" t="n">
        <v>19800</v>
      </c>
      <c r="J1334" s="19" t="n">
        <v>22457.655</v>
      </c>
      <c r="K1334" s="35" t="n">
        <v>0.065</v>
      </c>
    </row>
    <row r="1335">
      <c r="A1335" s="36" t="inlineStr">
        <is>
          <t>AGA SPK-tilskudd</t>
        </is>
      </c>
      <c r="B1335" s="36" t="inlineStr">
        <is>
          <t>Region Sør</t>
        </is>
      </c>
      <c r="C1335" s="36" t="inlineStr">
        <is>
          <t>Katfoss behandling ungdom</t>
        </is>
      </c>
      <c r="D1335" s="26" t="n"/>
      <c r="E1335" s="26" t="n"/>
      <c r="F1335" s="26" t="n"/>
      <c r="G1335" s="26" t="n"/>
      <c r="H1335" s="26" t="n">
        <v>-200</v>
      </c>
      <c r="I1335" s="26" t="n"/>
      <c r="J1335" s="19" t="n">
        <v>0</v>
      </c>
      <c r="K1335" s="37" t="n">
        <v>0.065</v>
      </c>
    </row>
    <row r="1336">
      <c r="A1336" s="34" t="inlineStr">
        <is>
          <t>AGA SPK-tilskudd</t>
        </is>
      </c>
      <c r="B1336" s="34" t="inlineStr">
        <is>
          <t>Region Sør</t>
        </is>
      </c>
      <c r="C1336" s="34" t="inlineStr">
        <is>
          <t>Klokkerhuset</t>
        </is>
      </c>
      <c r="D1336" s="18" t="n">
        <v>227969</v>
      </c>
      <c r="E1336" s="18" t="n">
        <v>210229</v>
      </c>
      <c r="F1336" s="18" t="n">
        <v>205887</v>
      </c>
      <c r="G1336" s="18" t="n">
        <v>242459</v>
      </c>
      <c r="H1336" s="18" t="n">
        <v>244422</v>
      </c>
      <c r="I1336" s="18" t="n">
        <v>255232</v>
      </c>
      <c r="J1336" s="19" t="n">
        <v>267029.2619527393</v>
      </c>
      <c r="K1336" s="35" t="n">
        <v>0.02284980308052731</v>
      </c>
    </row>
    <row r="1337">
      <c r="A1337" s="36" t="inlineStr">
        <is>
          <t>AGA SPK-tilskudd</t>
        </is>
      </c>
      <c r="B1337" s="36" t="inlineStr">
        <is>
          <t>Region Sør</t>
        </is>
      </c>
      <c r="C1337" s="36" t="inlineStr">
        <is>
          <t>Klokkerhuset</t>
        </is>
      </c>
      <c r="D1337" s="26" t="n">
        <v>49484</v>
      </c>
      <c r="E1337" s="26" t="n">
        <v>243335</v>
      </c>
      <c r="F1337" s="26" t="n">
        <v>277552</v>
      </c>
      <c r="G1337" s="26" t="n">
        <v>77036</v>
      </c>
      <c r="H1337" s="26" t="n">
        <v>10991</v>
      </c>
      <c r="I1337" s="26" t="n">
        <v>106642</v>
      </c>
      <c r="J1337" s="19" t="n">
        <v>144981.8625212518</v>
      </c>
      <c r="K1337" s="37" t="n">
        <v>0.1659842837647596</v>
      </c>
    </row>
    <row r="1338">
      <c r="A1338" s="34" t="inlineStr">
        <is>
          <t>AGA SPK-tilskudd</t>
        </is>
      </c>
      <c r="B1338" s="34" t="inlineStr">
        <is>
          <t>Region Sør</t>
        </is>
      </c>
      <c r="C1338" s="34" t="inlineStr">
        <is>
          <t>Klokkerhuset</t>
        </is>
      </c>
      <c r="D1338" s="18" t="n">
        <v>34952</v>
      </c>
      <c r="E1338" s="18" t="n">
        <v>10012</v>
      </c>
      <c r="F1338" s="18" t="n">
        <v>27326</v>
      </c>
      <c r="G1338" s="18" t="n">
        <v>52689</v>
      </c>
      <c r="H1338" s="18" t="n">
        <v>65090</v>
      </c>
      <c r="I1338" s="18" t="n">
        <v>154553</v>
      </c>
      <c r="J1338" s="19" t="n">
        <v>241489.0625</v>
      </c>
      <c r="K1338" s="35" t="n">
        <v>0.25</v>
      </c>
    </row>
    <row r="1339">
      <c r="A1339" s="36" t="inlineStr">
        <is>
          <t>AGA SPK-tilskudd</t>
        </is>
      </c>
      <c r="B1339" s="36" t="inlineStr">
        <is>
          <t>Region Sør</t>
        </is>
      </c>
      <c r="C1339" s="36" t="inlineStr">
        <is>
          <t>Klokkerhuset</t>
        </is>
      </c>
      <c r="D1339" s="26" t="n">
        <v>74200</v>
      </c>
      <c r="E1339" s="26" t="n">
        <v>72595</v>
      </c>
      <c r="F1339" s="26" t="n">
        <v>75256</v>
      </c>
      <c r="G1339" s="26" t="n">
        <v>100953</v>
      </c>
      <c r="H1339" s="26" t="n">
        <v>113913</v>
      </c>
      <c r="I1339" s="26" t="n">
        <v>133075</v>
      </c>
      <c r="J1339" s="19" t="n">
        <v>168102.240821294</v>
      </c>
      <c r="K1339" s="37" t="n">
        <v>0.1239280599018047</v>
      </c>
    </row>
    <row r="1340">
      <c r="A1340" s="34" t="inlineStr">
        <is>
          <t>AGA SPK-tilskudd</t>
        </is>
      </c>
      <c r="B1340" s="34" t="inlineStr">
        <is>
          <t>Region Sør</t>
        </is>
      </c>
      <c r="C1340" s="34" t="inlineStr">
        <is>
          <t>Klokkerhuset</t>
        </is>
      </c>
      <c r="D1340" s="18" t="n">
        <v>6215</v>
      </c>
      <c r="E1340" s="18" t="n">
        <v>21046</v>
      </c>
      <c r="F1340" s="18" t="n">
        <v>32706</v>
      </c>
      <c r="G1340" s="18" t="n">
        <v>49703</v>
      </c>
      <c r="H1340" s="18" t="n">
        <v>21198</v>
      </c>
      <c r="I1340" s="18" t="n">
        <v>19800</v>
      </c>
      <c r="J1340" s="19" t="n">
        <v>30937.5</v>
      </c>
      <c r="K1340" s="35" t="n">
        <v>0.25</v>
      </c>
    </row>
    <row r="1341">
      <c r="A1341" s="36" t="inlineStr">
        <is>
          <t>AGA SPK-tilskudd</t>
        </is>
      </c>
      <c r="B1341" s="36" t="inlineStr">
        <is>
          <t>Region Sør</t>
        </is>
      </c>
      <c r="C1341" s="36" t="inlineStr">
        <is>
          <t>Klokkerhuset</t>
        </is>
      </c>
      <c r="D1341" s="26" t="n">
        <v>9860</v>
      </c>
      <c r="E1341" s="26" t="n">
        <v>2450</v>
      </c>
      <c r="F1341" s="26" t="n">
        <v>6377</v>
      </c>
      <c r="G1341" s="26" t="n">
        <v>4745</v>
      </c>
      <c r="H1341" s="26" t="n">
        <v>5975</v>
      </c>
      <c r="I1341" s="26" t="n">
        <v>8061</v>
      </c>
      <c r="J1341" s="19" t="n">
        <v>7436.930512380976</v>
      </c>
      <c r="K1341" s="37" t="n">
        <v>-0.03948887089969655</v>
      </c>
    </row>
    <row r="1342">
      <c r="A1342" s="34" t="inlineStr">
        <is>
          <t>AGA SPK-tilskudd</t>
        </is>
      </c>
      <c r="B1342" s="34" t="inlineStr">
        <is>
          <t>Region Sør</t>
        </is>
      </c>
      <c r="C1342" s="34" t="inlineStr">
        <is>
          <t>Klokkerhuset</t>
        </is>
      </c>
      <c r="D1342" s="18" t="n"/>
      <c r="E1342" s="18" t="n">
        <v>6581</v>
      </c>
      <c r="F1342" s="18" t="n">
        <v>1583</v>
      </c>
      <c r="G1342" s="18" t="n">
        <v>3586</v>
      </c>
      <c r="H1342" s="18" t="n">
        <v>9423</v>
      </c>
      <c r="I1342" s="18" t="n">
        <v>17962</v>
      </c>
      <c r="J1342" s="19" t="n">
        <v>28065.625</v>
      </c>
      <c r="K1342" s="35" t="n">
        <v>0.25</v>
      </c>
    </row>
    <row r="1343">
      <c r="A1343" s="36" t="inlineStr">
        <is>
          <t>AGA SPK-tilskudd</t>
        </is>
      </c>
      <c r="B1343" s="36" t="inlineStr">
        <is>
          <t>Region Sør</t>
        </is>
      </c>
      <c r="C1343" s="36" t="inlineStr">
        <is>
          <t>Klokkerhuset</t>
        </is>
      </c>
      <c r="D1343" s="26" t="n">
        <v>1450</v>
      </c>
      <c r="E1343" s="26" t="n"/>
      <c r="F1343" s="26" t="n">
        <v>6505</v>
      </c>
      <c r="G1343" s="26" t="n">
        <v>15979</v>
      </c>
      <c r="H1343" s="26" t="n">
        <v>20815</v>
      </c>
      <c r="I1343" s="26" t="n">
        <v>17735</v>
      </c>
      <c r="J1343" s="19" t="n">
        <v>27710.9375</v>
      </c>
      <c r="K1343" s="37" t="n">
        <v>0.25</v>
      </c>
    </row>
    <row r="1344">
      <c r="A1344" s="34" t="inlineStr">
        <is>
          <t>AGA SPK-tilskudd</t>
        </is>
      </c>
      <c r="B1344" s="34" t="inlineStr">
        <is>
          <t>Region Sør</t>
        </is>
      </c>
      <c r="C1344" s="34" t="inlineStr">
        <is>
          <t>Klokkerhuset</t>
        </is>
      </c>
      <c r="D1344" s="18" t="n">
        <v>26905</v>
      </c>
      <c r="E1344" s="18" t="n">
        <v>19809</v>
      </c>
      <c r="F1344" s="18" t="n">
        <v>15806</v>
      </c>
      <c r="G1344" s="18" t="n">
        <v>47909</v>
      </c>
      <c r="H1344" s="18" t="n">
        <v>35128</v>
      </c>
      <c r="I1344" s="18" t="n">
        <v>39612</v>
      </c>
      <c r="J1344" s="19" t="n">
        <v>46240.68723240271</v>
      </c>
      <c r="K1344" s="35" t="n">
        <v>0.08043527456322752</v>
      </c>
    </row>
    <row r="1345">
      <c r="A1345" s="36" t="inlineStr">
        <is>
          <t>AGA SPK-tilskudd</t>
        </is>
      </c>
      <c r="B1345" s="36" t="inlineStr">
        <is>
          <t>Region Sør</t>
        </is>
      </c>
      <c r="C1345" s="36" t="inlineStr">
        <is>
          <t>Klokkerhuset</t>
        </is>
      </c>
      <c r="D1345" s="26" t="n">
        <v>1270</v>
      </c>
      <c r="E1345" s="26" t="n">
        <v>2309</v>
      </c>
      <c r="F1345" s="26" t="n">
        <v>1191</v>
      </c>
      <c r="G1345" s="26" t="n">
        <v>2232</v>
      </c>
      <c r="H1345" s="26" t="n">
        <v>4914</v>
      </c>
      <c r="I1345" s="26" t="n">
        <v>9594</v>
      </c>
      <c r="J1345" s="19" t="n">
        <v>14990.625</v>
      </c>
      <c r="K1345" s="37" t="n">
        <v>0.25</v>
      </c>
    </row>
    <row r="1346">
      <c r="A1346" s="34" t="inlineStr">
        <is>
          <t>AGA SPK-tilskudd</t>
        </is>
      </c>
      <c r="B1346" s="34" t="inlineStr">
        <is>
          <t>Region Sør</t>
        </is>
      </c>
      <c r="C1346" s="34" t="inlineStr">
        <is>
          <t>Klokkerhuset</t>
        </is>
      </c>
      <c r="D1346" s="18" t="n"/>
      <c r="E1346" s="18" t="n"/>
      <c r="F1346" s="18" t="n"/>
      <c r="G1346" s="18" t="n">
        <v>3239</v>
      </c>
      <c r="H1346" s="18" t="n">
        <v>3569</v>
      </c>
      <c r="I1346" s="18" t="n"/>
      <c r="J1346" s="19" t="n">
        <v>0</v>
      </c>
      <c r="K1346" s="35" t="n">
        <v>0.065</v>
      </c>
    </row>
    <row r="1347">
      <c r="A1347" s="36" t="inlineStr">
        <is>
          <t>AGA SPK-tilskudd</t>
        </is>
      </c>
      <c r="B1347" s="36" t="inlineStr">
        <is>
          <t>Region Sør</t>
        </is>
      </c>
      <c r="C1347" s="36" t="inlineStr">
        <is>
          <t>Klokkerhuset</t>
        </is>
      </c>
      <c r="D1347" s="26" t="n">
        <v>7500</v>
      </c>
      <c r="E1347" s="26" t="n"/>
      <c r="F1347" s="26" t="n"/>
      <c r="G1347" s="26" t="n"/>
      <c r="H1347" s="26" t="n"/>
      <c r="I1347" s="26" t="n"/>
      <c r="J1347" s="19" t="n">
        <v>0</v>
      </c>
      <c r="K1347" s="37" t="n">
        <v>0.065</v>
      </c>
    </row>
    <row r="1348">
      <c r="A1348" s="34" t="inlineStr">
        <is>
          <t>AGA SPK-tilskudd</t>
        </is>
      </c>
      <c r="B1348" s="34" t="inlineStr">
        <is>
          <t>Region Sør</t>
        </is>
      </c>
      <c r="C1348" s="34" t="inlineStr">
        <is>
          <t>Klokkerhuset</t>
        </is>
      </c>
      <c r="D1348" s="18" t="n"/>
      <c r="E1348" s="18" t="n"/>
      <c r="F1348" s="18" t="n"/>
      <c r="G1348" s="18" t="n"/>
      <c r="H1348" s="18" t="n">
        <v>-19255</v>
      </c>
      <c r="I1348" s="18" t="n"/>
      <c r="J1348" s="19" t="n">
        <v>0</v>
      </c>
      <c r="K1348" s="35" t="n">
        <v>0.065</v>
      </c>
    </row>
    <row r="1349">
      <c r="A1349" s="36" t="inlineStr">
        <is>
          <t>AGA SPK-tilskudd</t>
        </is>
      </c>
      <c r="B1349" s="36" t="inlineStr">
        <is>
          <t>Region Sør</t>
        </is>
      </c>
      <c r="C1349" s="36" t="inlineStr">
        <is>
          <t>Klokkerhuset</t>
        </is>
      </c>
      <c r="D1349" s="26" t="n">
        <v>4639</v>
      </c>
      <c r="E1349" s="26" t="n"/>
      <c r="F1349" s="26" t="n"/>
      <c r="G1349" s="26" t="n">
        <v>1019</v>
      </c>
      <c r="H1349" s="26" t="n">
        <v>249</v>
      </c>
      <c r="I1349" s="26" t="n">
        <v>4817</v>
      </c>
      <c r="J1349" s="19" t="n">
        <v>4890.097922803517</v>
      </c>
      <c r="K1349" s="37" t="n">
        <v>0.007558925901661517</v>
      </c>
    </row>
    <row r="1350">
      <c r="A1350" s="34" t="inlineStr">
        <is>
          <t>AGA SPK-tilskudd</t>
        </is>
      </c>
      <c r="B1350" s="34" t="inlineStr">
        <is>
          <t>Region Sør</t>
        </is>
      </c>
      <c r="C1350" s="34" t="inlineStr">
        <is>
          <t>Klokkerhuset</t>
        </is>
      </c>
      <c r="D1350" s="18" t="n"/>
      <c r="E1350" s="18" t="n"/>
      <c r="F1350" s="18" t="n"/>
      <c r="G1350" s="18" t="n">
        <v>-24104</v>
      </c>
      <c r="H1350" s="18" t="n">
        <v>-10000</v>
      </c>
      <c r="I1350" s="18" t="n">
        <v>-10000</v>
      </c>
      <c r="J1350" s="19" t="n">
        <v>-11342.25</v>
      </c>
      <c r="K1350" s="35" t="n">
        <v>0.065</v>
      </c>
    </row>
    <row r="1351">
      <c r="A1351" s="36" t="inlineStr">
        <is>
          <t>AGA SPK-tilskudd</t>
        </is>
      </c>
      <c r="B1351" s="36" t="inlineStr">
        <is>
          <t>Region Sør</t>
        </is>
      </c>
      <c r="C1351" s="36" t="inlineStr">
        <is>
          <t>Klokkerhuset</t>
        </is>
      </c>
      <c r="D1351" s="26" t="n">
        <v>-266468</v>
      </c>
      <c r="E1351" s="26" t="n">
        <v>-450493</v>
      </c>
      <c r="F1351" s="26" t="n">
        <v>-707251</v>
      </c>
      <c r="G1351" s="26" t="n">
        <v>-865057</v>
      </c>
      <c r="H1351" s="26" t="n">
        <v>-236364</v>
      </c>
      <c r="I1351" s="26" t="n"/>
      <c r="J1351" s="19" t="n">
        <v>0</v>
      </c>
      <c r="K1351" s="37" t="n">
        <v>0.065</v>
      </c>
    </row>
    <row r="1352">
      <c r="A1352" s="34" t="inlineStr">
        <is>
          <t>AGA SPK-tilskudd</t>
        </is>
      </c>
      <c r="B1352" s="34" t="inlineStr">
        <is>
          <t>Region Sør</t>
        </is>
      </c>
      <c r="C1352" s="34" t="inlineStr">
        <is>
          <t>Klokkerhuset</t>
        </is>
      </c>
      <c r="D1352" s="18" t="n">
        <v>-825621</v>
      </c>
      <c r="E1352" s="18" t="n">
        <v>-1383545</v>
      </c>
      <c r="F1352" s="18" t="n">
        <v>-1499346</v>
      </c>
      <c r="G1352" s="18" t="n">
        <v>-998767</v>
      </c>
      <c r="H1352" s="18" t="n">
        <v>-1296228</v>
      </c>
      <c r="I1352" s="18" t="n">
        <v>-995254</v>
      </c>
      <c r="J1352" s="19" t="n">
        <v>-1128841.96815</v>
      </c>
      <c r="K1352" s="35" t="n">
        <v>0.065</v>
      </c>
    </row>
    <row r="1353">
      <c r="A1353" s="36" t="inlineStr">
        <is>
          <t>AGA SPK-tilskudd</t>
        </is>
      </c>
      <c r="B1353" s="36" t="inlineStr">
        <is>
          <t>Region Sør</t>
        </is>
      </c>
      <c r="C1353" s="36" t="inlineStr">
        <is>
          <t>Klokkerhuset ungdomssenter akutt</t>
        </is>
      </c>
      <c r="D1353" s="26" t="n">
        <v>11427</v>
      </c>
      <c r="E1353" s="26" t="n">
        <v>7584</v>
      </c>
      <c r="F1353" s="26" t="n">
        <v>5299</v>
      </c>
      <c r="G1353" s="26" t="n">
        <v>5301</v>
      </c>
      <c r="H1353" s="26" t="n">
        <v>7067</v>
      </c>
      <c r="I1353" s="26" t="n">
        <v>7148</v>
      </c>
      <c r="J1353" s="19" t="n">
        <v>5924.96065060016</v>
      </c>
      <c r="K1353" s="37" t="n">
        <v>-0.08956181717208189</v>
      </c>
    </row>
    <row r="1354">
      <c r="A1354" s="34" t="inlineStr">
        <is>
          <t>AGA SPK-tilskudd</t>
        </is>
      </c>
      <c r="B1354" s="34" t="inlineStr">
        <is>
          <t>Region Sør</t>
        </is>
      </c>
      <c r="C1354" s="34" t="inlineStr">
        <is>
          <t>Klokkerhuset ungdomssenter akutt</t>
        </is>
      </c>
      <c r="D1354" s="18" t="n">
        <v>2641</v>
      </c>
      <c r="E1354" s="18" t="n">
        <v>2335</v>
      </c>
      <c r="F1354" s="18" t="n">
        <v>2920</v>
      </c>
      <c r="G1354" s="18" t="n">
        <v>2237</v>
      </c>
      <c r="H1354" s="18" t="n">
        <v>10431</v>
      </c>
      <c r="I1354" s="18" t="n">
        <v>3534</v>
      </c>
      <c r="J1354" s="19" t="n">
        <v>3970.688360133338</v>
      </c>
      <c r="K1354" s="35" t="n">
        <v>0.0599847785013683</v>
      </c>
    </row>
    <row r="1355">
      <c r="A1355" s="36" t="inlineStr">
        <is>
          <t>AGA SPK-tilskudd</t>
        </is>
      </c>
      <c r="B1355" s="36" t="inlineStr">
        <is>
          <t>Region Sør</t>
        </is>
      </c>
      <c r="C1355" s="36" t="inlineStr">
        <is>
          <t>Klokkerhuset ungdomssenter akutt</t>
        </is>
      </c>
      <c r="D1355" s="26" t="n">
        <v>1004</v>
      </c>
      <c r="E1355" s="26" t="n">
        <v>751</v>
      </c>
      <c r="F1355" s="26" t="n">
        <v>613</v>
      </c>
      <c r="G1355" s="26" t="n">
        <v>796</v>
      </c>
      <c r="H1355" s="26" t="n">
        <v>1066</v>
      </c>
      <c r="I1355" s="26" t="n">
        <v>1107</v>
      </c>
      <c r="J1355" s="19" t="n">
        <v>1151.100345065766</v>
      </c>
      <c r="K1355" s="37" t="n">
        <v>0.01972433043764776</v>
      </c>
    </row>
    <row r="1356">
      <c r="A1356" s="34" t="inlineStr">
        <is>
          <t>AGA SPK-tilskudd</t>
        </is>
      </c>
      <c r="B1356" s="34" t="inlineStr">
        <is>
          <t>Region Sør</t>
        </is>
      </c>
      <c r="C1356" s="34" t="inlineStr">
        <is>
          <t>Klokkerhuset ungdomssenter akutt</t>
        </is>
      </c>
      <c r="D1356" s="18" t="n"/>
      <c r="E1356" s="18" t="n"/>
      <c r="F1356" s="18" t="n">
        <v>2143</v>
      </c>
      <c r="G1356" s="18" t="n"/>
      <c r="H1356" s="18" t="n"/>
      <c r="I1356" s="18" t="n"/>
      <c r="J1356" s="19" t="n">
        <v>0</v>
      </c>
      <c r="K1356" s="35" t="n">
        <v>0.065</v>
      </c>
    </row>
    <row r="1357">
      <c r="A1357" s="36" t="inlineStr">
        <is>
          <t>AGA SPK-tilskudd</t>
        </is>
      </c>
      <c r="B1357" s="36" t="inlineStr">
        <is>
          <t>Region Sør</t>
        </is>
      </c>
      <c r="C1357" s="36" t="inlineStr">
        <is>
          <t>Klokkerhuset ungdomssenter akutt</t>
        </is>
      </c>
      <c r="D1357" s="26" t="n">
        <v>3513</v>
      </c>
      <c r="E1357" s="26" t="n">
        <v>1127</v>
      </c>
      <c r="F1357" s="26" t="n">
        <v>2784</v>
      </c>
      <c r="G1357" s="26" t="n">
        <v>1306</v>
      </c>
      <c r="H1357" s="26" t="n">
        <v>1703</v>
      </c>
      <c r="I1357" s="26" t="n">
        <v>972</v>
      </c>
      <c r="J1357" s="19" t="n">
        <v>581.381905493511</v>
      </c>
      <c r="K1357" s="37" t="n">
        <v>-0.2266116548584848</v>
      </c>
    </row>
    <row r="1358">
      <c r="A1358" s="34" t="inlineStr">
        <is>
          <t>AGA SPK-tilskudd</t>
        </is>
      </c>
      <c r="B1358" s="34" t="inlineStr">
        <is>
          <t>Region Sør</t>
        </is>
      </c>
      <c r="C1358" s="34" t="inlineStr">
        <is>
          <t>Klokkerhuset ungdomssenter akutt</t>
        </is>
      </c>
      <c r="D1358" s="18" t="n">
        <v>558</v>
      </c>
      <c r="E1358" s="18" t="n">
        <v>1380</v>
      </c>
      <c r="F1358" s="18" t="n"/>
      <c r="G1358" s="18" t="n"/>
      <c r="H1358" s="18" t="n">
        <v>447</v>
      </c>
      <c r="I1358" s="18" t="n"/>
      <c r="J1358" s="19" t="n">
        <v>0</v>
      </c>
      <c r="K1358" s="35" t="n">
        <v>0.065</v>
      </c>
    </row>
    <row r="1359">
      <c r="A1359" s="36" t="inlineStr">
        <is>
          <t>AGA SPK-tilskudd</t>
        </is>
      </c>
      <c r="B1359" s="36" t="inlineStr">
        <is>
          <t>Region Sør</t>
        </is>
      </c>
      <c r="C1359" s="36" t="inlineStr">
        <is>
          <t>Klokkerhuset ungdomssenter akutt</t>
        </is>
      </c>
      <c r="D1359" s="26" t="n">
        <v>1645</v>
      </c>
      <c r="E1359" s="26" t="n">
        <v>703</v>
      </c>
      <c r="F1359" s="26" t="n">
        <v>18193</v>
      </c>
      <c r="G1359" s="26" t="n">
        <v>16108</v>
      </c>
      <c r="H1359" s="26" t="n">
        <v>345</v>
      </c>
      <c r="I1359" s="26" t="n">
        <v>2839</v>
      </c>
      <c r="J1359" s="19" t="n">
        <v>3531.548611196845</v>
      </c>
      <c r="K1359" s="37" t="n">
        <v>0.1153210477346183</v>
      </c>
    </row>
    <row r="1360">
      <c r="A1360" s="34" t="inlineStr">
        <is>
          <t>AGA SPK-tilskudd</t>
        </is>
      </c>
      <c r="B1360" s="34" t="inlineStr">
        <is>
          <t>Region Sør</t>
        </is>
      </c>
      <c r="C1360" s="34" t="inlineStr">
        <is>
          <t>Klokkerhuset ungdomssenter akutt</t>
        </is>
      </c>
      <c r="D1360" s="18" t="n">
        <v>3588</v>
      </c>
      <c r="E1360" s="18" t="n">
        <v>959</v>
      </c>
      <c r="F1360" s="18" t="n">
        <v>37</v>
      </c>
      <c r="G1360" s="18" t="n">
        <v>2558</v>
      </c>
      <c r="H1360" s="18" t="n">
        <v>6914</v>
      </c>
      <c r="I1360" s="18" t="n">
        <v>3876</v>
      </c>
      <c r="J1360" s="19" t="n">
        <v>3997.572068520386</v>
      </c>
      <c r="K1360" s="35" t="n">
        <v>0.01556158983860634</v>
      </c>
    </row>
    <row r="1361">
      <c r="A1361" s="36" t="inlineStr">
        <is>
          <t>AGA SPK-tilskudd</t>
        </is>
      </c>
      <c r="B1361" s="36" t="inlineStr">
        <is>
          <t>Region Sør</t>
        </is>
      </c>
      <c r="C1361" s="36" t="inlineStr">
        <is>
          <t>Klokkerhuset ungdomssenter akutt</t>
        </is>
      </c>
      <c r="D1361" s="26" t="n">
        <v>685</v>
      </c>
      <c r="E1361" s="26" t="n">
        <v>538</v>
      </c>
      <c r="F1361" s="26" t="n">
        <v>414</v>
      </c>
      <c r="G1361" s="26" t="n">
        <v>366</v>
      </c>
      <c r="H1361" s="26" t="n">
        <v>740</v>
      </c>
      <c r="I1361" s="26" t="n">
        <v>409</v>
      </c>
      <c r="J1361" s="19" t="n">
        <v>332.7640509581622</v>
      </c>
      <c r="K1361" s="37" t="n">
        <v>-0.09799997972698271</v>
      </c>
    </row>
    <row r="1362">
      <c r="A1362" s="34" t="inlineStr">
        <is>
          <t>AGA SPK-tilskudd</t>
        </is>
      </c>
      <c r="B1362" s="34" t="inlineStr">
        <is>
          <t>Region Sør</t>
        </is>
      </c>
      <c r="C1362" s="34" t="inlineStr">
        <is>
          <t>Klokkerhuset ungdomssenter akutt</t>
        </is>
      </c>
      <c r="D1362" s="18" t="n"/>
      <c r="E1362" s="18" t="n"/>
      <c r="F1362" s="18" t="n"/>
      <c r="G1362" s="18" t="n">
        <v>41</v>
      </c>
      <c r="H1362" s="18" t="n"/>
      <c r="I1362" s="18" t="n"/>
      <c r="J1362" s="19" t="n">
        <v>0</v>
      </c>
      <c r="K1362" s="35" t="n">
        <v>0.065</v>
      </c>
    </row>
    <row r="1363">
      <c r="A1363" s="36" t="inlineStr">
        <is>
          <t>AGA SPK-tilskudd</t>
        </is>
      </c>
      <c r="B1363" s="36" t="inlineStr">
        <is>
          <t>Region Sør</t>
        </is>
      </c>
      <c r="C1363" s="36" t="inlineStr">
        <is>
          <t>Klokkerhuset ungdomssenter akutt</t>
        </is>
      </c>
      <c r="D1363" s="26" t="n"/>
      <c r="E1363" s="26" t="n"/>
      <c r="F1363" s="26" t="n">
        <v>180</v>
      </c>
      <c r="G1363" s="26" t="n">
        <v>220</v>
      </c>
      <c r="H1363" s="26" t="n">
        <v>910</v>
      </c>
      <c r="I1363" s="26" t="n">
        <v>2032</v>
      </c>
      <c r="J1363" s="19" t="n">
        <v>2304.7452</v>
      </c>
      <c r="K1363" s="37" t="n">
        <v>0.065</v>
      </c>
    </row>
    <row r="1364">
      <c r="A1364" s="34" t="inlineStr">
        <is>
          <t>AGA SPK-tilskudd</t>
        </is>
      </c>
      <c r="B1364" s="34" t="inlineStr">
        <is>
          <t>Region Sør</t>
        </is>
      </c>
      <c r="C1364" s="34" t="inlineStr">
        <is>
          <t>Klokkerhuset ungdomssenter akutt</t>
        </is>
      </c>
      <c r="D1364" s="18" t="n"/>
      <c r="E1364" s="18" t="n"/>
      <c r="F1364" s="18" t="n"/>
      <c r="G1364" s="18" t="n"/>
      <c r="H1364" s="18" t="n">
        <v>-31530</v>
      </c>
      <c r="I1364" s="18" t="n">
        <v>-3216</v>
      </c>
      <c r="J1364" s="19" t="n">
        <v>-3647.667599999999</v>
      </c>
      <c r="K1364" s="35" t="n">
        <v>0.065</v>
      </c>
    </row>
    <row r="1365">
      <c r="A1365" s="36" t="inlineStr">
        <is>
          <t>AGA SPK-tilskudd</t>
        </is>
      </c>
      <c r="B1365" s="36" t="inlineStr">
        <is>
          <t>Region Sør</t>
        </is>
      </c>
      <c r="C1365" s="36" t="inlineStr">
        <is>
          <t>Knuten</t>
        </is>
      </c>
      <c r="D1365" s="26" t="n"/>
      <c r="E1365" s="26" t="n"/>
      <c r="F1365" s="26" t="n">
        <v>134966</v>
      </c>
      <c r="G1365" s="26" t="n">
        <v>137013</v>
      </c>
      <c r="H1365" s="26" t="n">
        <v>136942</v>
      </c>
      <c r="I1365" s="26" t="n">
        <v>126271</v>
      </c>
      <c r="J1365" s="19" t="n">
        <v>143219.724975</v>
      </c>
      <c r="K1365" s="37" t="n">
        <v>0.065</v>
      </c>
    </row>
    <row r="1366">
      <c r="A1366" s="34" t="inlineStr">
        <is>
          <t>AGA SPK-tilskudd</t>
        </is>
      </c>
      <c r="B1366" s="34" t="inlineStr">
        <is>
          <t>Region Sør</t>
        </is>
      </c>
      <c r="C1366" s="34" t="inlineStr">
        <is>
          <t>Knuten</t>
        </is>
      </c>
      <c r="D1366" s="18" t="n"/>
      <c r="E1366" s="18" t="n"/>
      <c r="F1366" s="18" t="n">
        <v>265210</v>
      </c>
      <c r="G1366" s="18" t="n">
        <v>260832</v>
      </c>
      <c r="H1366" s="18" t="n">
        <v>90081</v>
      </c>
      <c r="I1366" s="18" t="n">
        <v>300880</v>
      </c>
      <c r="J1366" s="19" t="n">
        <v>341265.618</v>
      </c>
      <c r="K1366" s="35" t="n">
        <v>0.065</v>
      </c>
    </row>
    <row r="1367">
      <c r="A1367" s="36" t="inlineStr">
        <is>
          <t>AGA SPK-tilskudd</t>
        </is>
      </c>
      <c r="B1367" s="36" t="inlineStr">
        <is>
          <t>Region Sør</t>
        </is>
      </c>
      <c r="C1367" s="36" t="inlineStr">
        <is>
          <t>Knuten</t>
        </is>
      </c>
      <c r="D1367" s="26" t="n"/>
      <c r="E1367" s="26" t="n"/>
      <c r="F1367" s="26" t="n">
        <v>27965</v>
      </c>
      <c r="G1367" s="26" t="n">
        <v>59303</v>
      </c>
      <c r="H1367" s="26" t="n">
        <v>52651</v>
      </c>
      <c r="I1367" s="26" t="n">
        <v>32759</v>
      </c>
      <c r="J1367" s="19" t="n">
        <v>37156.07677499999</v>
      </c>
      <c r="K1367" s="37" t="n">
        <v>0.065</v>
      </c>
    </row>
    <row r="1368">
      <c r="A1368" s="34" t="inlineStr">
        <is>
          <t>AGA SPK-tilskudd</t>
        </is>
      </c>
      <c r="B1368" s="34" t="inlineStr">
        <is>
          <t>Region Sør</t>
        </is>
      </c>
      <c r="C1368" s="34" t="inlineStr">
        <is>
          <t>Knuten</t>
        </is>
      </c>
      <c r="D1368" s="18" t="n"/>
      <c r="E1368" s="18" t="n"/>
      <c r="F1368" s="18" t="n">
        <v>22904</v>
      </c>
      <c r="G1368" s="18" t="n">
        <v>28541</v>
      </c>
      <c r="H1368" s="18" t="n">
        <v>30664</v>
      </c>
      <c r="I1368" s="18" t="n">
        <v>29843</v>
      </c>
      <c r="J1368" s="19" t="n">
        <v>33848.676675</v>
      </c>
      <c r="K1368" s="35" t="n">
        <v>0.065</v>
      </c>
    </row>
    <row r="1369">
      <c r="A1369" s="36" t="inlineStr">
        <is>
          <t>AGA SPK-tilskudd</t>
        </is>
      </c>
      <c r="B1369" s="36" t="inlineStr">
        <is>
          <t>Region Sør</t>
        </is>
      </c>
      <c r="C1369" s="36" t="inlineStr">
        <is>
          <t>Knuten</t>
        </is>
      </c>
      <c r="D1369" s="26" t="n"/>
      <c r="E1369" s="26" t="n"/>
      <c r="F1369" s="26" t="n">
        <v>12575</v>
      </c>
      <c r="G1369" s="26" t="n">
        <v>17071</v>
      </c>
      <c r="H1369" s="26" t="n">
        <v>6333</v>
      </c>
      <c r="I1369" s="26" t="n">
        <v>14658</v>
      </c>
      <c r="J1369" s="19" t="n">
        <v>16625.47005</v>
      </c>
      <c r="K1369" s="37" t="n">
        <v>0.065</v>
      </c>
    </row>
    <row r="1370">
      <c r="A1370" s="34" t="inlineStr">
        <is>
          <t>AGA SPK-tilskudd</t>
        </is>
      </c>
      <c r="B1370" s="34" t="inlineStr">
        <is>
          <t>Region Sør</t>
        </is>
      </c>
      <c r="C1370" s="34" t="inlineStr">
        <is>
          <t>Knuten</t>
        </is>
      </c>
      <c r="D1370" s="18" t="n"/>
      <c r="E1370" s="18" t="n"/>
      <c r="F1370" s="18" t="n">
        <v>8246</v>
      </c>
      <c r="G1370" s="18" t="n">
        <v>8882</v>
      </c>
      <c r="H1370" s="18" t="n">
        <v>6938</v>
      </c>
      <c r="I1370" s="18" t="n"/>
      <c r="J1370" s="19" t="n">
        <v>0</v>
      </c>
      <c r="K1370" s="35" t="n">
        <v>0.065</v>
      </c>
    </row>
    <row r="1371">
      <c r="A1371" s="36" t="inlineStr">
        <is>
          <t>AGA SPK-tilskudd</t>
        </is>
      </c>
      <c r="B1371" s="36" t="inlineStr">
        <is>
          <t>Region Sør</t>
        </is>
      </c>
      <c r="C1371" s="36" t="inlineStr">
        <is>
          <t>Knuten</t>
        </is>
      </c>
      <c r="D1371" s="26" t="n"/>
      <c r="E1371" s="26" t="n"/>
      <c r="F1371" s="26" t="n">
        <v>1895</v>
      </c>
      <c r="G1371" s="26" t="n">
        <v>12776</v>
      </c>
      <c r="H1371" s="26" t="n">
        <v>6604</v>
      </c>
      <c r="I1371" s="26" t="n">
        <v>4246</v>
      </c>
      <c r="J1371" s="19" t="n">
        <v>4815.919349999999</v>
      </c>
      <c r="K1371" s="37" t="n">
        <v>0.065</v>
      </c>
    </row>
    <row r="1372">
      <c r="A1372" s="34" t="inlineStr">
        <is>
          <t>AGA SPK-tilskudd</t>
        </is>
      </c>
      <c r="B1372" s="34" t="inlineStr">
        <is>
          <t>Region Sør</t>
        </is>
      </c>
      <c r="C1372" s="34" t="inlineStr">
        <is>
          <t>Knuten</t>
        </is>
      </c>
      <c r="D1372" s="18" t="n"/>
      <c r="E1372" s="18" t="n"/>
      <c r="F1372" s="18" t="n">
        <v>4802</v>
      </c>
      <c r="G1372" s="18" t="n">
        <v>22555</v>
      </c>
      <c r="H1372" s="18" t="n">
        <v>2582</v>
      </c>
      <c r="I1372" s="18" t="n">
        <v>893</v>
      </c>
      <c r="J1372" s="19" t="n">
        <v>1012.862925</v>
      </c>
      <c r="K1372" s="35" t="n">
        <v>0.065</v>
      </c>
    </row>
    <row r="1373">
      <c r="A1373" s="36" t="inlineStr">
        <is>
          <t>AGA SPK-tilskudd</t>
        </is>
      </c>
      <c r="B1373" s="36" t="inlineStr">
        <is>
          <t>Region Sør</t>
        </is>
      </c>
      <c r="C1373" s="36" t="inlineStr">
        <is>
          <t>Knuten</t>
        </is>
      </c>
      <c r="D1373" s="26" t="n"/>
      <c r="E1373" s="26" t="n"/>
      <c r="F1373" s="26" t="n">
        <v>5515</v>
      </c>
      <c r="G1373" s="26" t="n">
        <v>5378</v>
      </c>
      <c r="H1373" s="26" t="n">
        <v>5331</v>
      </c>
      <c r="I1373" s="26" t="n">
        <v>6203</v>
      </c>
      <c r="J1373" s="19" t="n">
        <v>7035.597674999999</v>
      </c>
      <c r="K1373" s="37" t="n">
        <v>0.065</v>
      </c>
    </row>
    <row r="1374">
      <c r="A1374" s="34" t="inlineStr">
        <is>
          <t>AGA SPK-tilskudd</t>
        </is>
      </c>
      <c r="B1374" s="34" t="inlineStr">
        <is>
          <t>Region Sør</t>
        </is>
      </c>
      <c r="C1374" s="34" t="inlineStr">
        <is>
          <t>Knuten</t>
        </is>
      </c>
      <c r="D1374" s="18" t="n"/>
      <c r="E1374" s="18" t="n"/>
      <c r="F1374" s="18" t="n">
        <v>1250</v>
      </c>
      <c r="G1374" s="18" t="n">
        <v>5893</v>
      </c>
      <c r="H1374" s="18" t="n">
        <v>4783</v>
      </c>
      <c r="I1374" s="18" t="n">
        <v>1590</v>
      </c>
      <c r="J1374" s="19" t="n">
        <v>1803.41775</v>
      </c>
      <c r="K1374" s="35" t="n">
        <v>0.065</v>
      </c>
    </row>
    <row r="1375">
      <c r="A1375" s="36" t="inlineStr">
        <is>
          <t>AGA SPK-tilskudd</t>
        </is>
      </c>
      <c r="B1375" s="36" t="inlineStr">
        <is>
          <t>Region Sør</t>
        </is>
      </c>
      <c r="C1375" s="36" t="inlineStr">
        <is>
          <t>Knuten</t>
        </is>
      </c>
      <c r="D1375" s="26" t="n"/>
      <c r="E1375" s="26" t="n"/>
      <c r="F1375" s="26" t="n"/>
      <c r="G1375" s="26" t="n"/>
      <c r="H1375" s="26" t="n">
        <v>22869</v>
      </c>
      <c r="I1375" s="26" t="n"/>
      <c r="J1375" s="19" t="n">
        <v>0</v>
      </c>
      <c r="K1375" s="37" t="n">
        <v>0.065</v>
      </c>
    </row>
    <row r="1376">
      <c r="A1376" s="34" t="inlineStr">
        <is>
          <t>AGA SPK-tilskudd</t>
        </is>
      </c>
      <c r="B1376" s="34" t="inlineStr">
        <is>
          <t>Region Sør</t>
        </is>
      </c>
      <c r="C1376" s="34" t="inlineStr">
        <is>
          <t>Knuten</t>
        </is>
      </c>
      <c r="D1376" s="18" t="n"/>
      <c r="E1376" s="18" t="n"/>
      <c r="F1376" s="18" t="n">
        <v>8090</v>
      </c>
      <c r="G1376" s="18" t="n">
        <v>19208</v>
      </c>
      <c r="H1376" s="18" t="n">
        <v>13919</v>
      </c>
      <c r="I1376" s="18" t="n">
        <v>12319</v>
      </c>
      <c r="J1376" s="19" t="n">
        <v>13972.517775</v>
      </c>
      <c r="K1376" s="35" t="n">
        <v>0.065</v>
      </c>
    </row>
    <row r="1377">
      <c r="A1377" s="36" t="inlineStr">
        <is>
          <t>AGA SPK-tilskudd</t>
        </is>
      </c>
      <c r="B1377" s="36" t="inlineStr">
        <is>
          <t>Region Sør</t>
        </is>
      </c>
      <c r="C1377" s="36" t="inlineStr">
        <is>
          <t>Knuten</t>
        </is>
      </c>
      <c r="D1377" s="26" t="n"/>
      <c r="E1377" s="26" t="n"/>
      <c r="F1377" s="26" t="n">
        <v>-392905</v>
      </c>
      <c r="G1377" s="26" t="n">
        <v>-299841</v>
      </c>
      <c r="H1377" s="26" t="n">
        <v>-179511</v>
      </c>
      <c r="I1377" s="26" t="n">
        <v>-164934</v>
      </c>
      <c r="J1377" s="19" t="n">
        <v>-187072.26615</v>
      </c>
      <c r="K1377" s="37" t="n">
        <v>0.065</v>
      </c>
    </row>
    <row r="1378">
      <c r="A1378" s="34" t="inlineStr">
        <is>
          <t>AGA SPK-tilskudd</t>
        </is>
      </c>
      <c r="B1378" s="34" t="inlineStr">
        <is>
          <t>Region Sør</t>
        </is>
      </c>
      <c r="C1378" s="34" t="inlineStr">
        <is>
          <t>Knuten</t>
        </is>
      </c>
      <c r="D1378" s="18" t="n"/>
      <c r="E1378" s="18" t="n"/>
      <c r="F1378" s="18" t="n">
        <v>-1817289</v>
      </c>
      <c r="G1378" s="18" t="n">
        <v>-1106106</v>
      </c>
      <c r="H1378" s="18" t="n">
        <v>-1089063</v>
      </c>
      <c r="I1378" s="18" t="n">
        <v>-2185992</v>
      </c>
      <c r="J1378" s="19" t="n">
        <v>-2479406.7762</v>
      </c>
      <c r="K1378" s="35" t="n">
        <v>0.065</v>
      </c>
    </row>
    <row r="1379">
      <c r="A1379" s="36" t="inlineStr">
        <is>
          <t>AGA SPK-tilskudd</t>
        </is>
      </c>
      <c r="B1379" s="36" t="inlineStr">
        <is>
          <t>Region Sør</t>
        </is>
      </c>
      <c r="C1379" s="36" t="inlineStr">
        <is>
          <t>Lerketoppen</t>
        </is>
      </c>
      <c r="D1379" s="26" t="n"/>
      <c r="E1379" s="26" t="n"/>
      <c r="F1379" s="26" t="n"/>
      <c r="G1379" s="26" t="n"/>
      <c r="H1379" s="26" t="n">
        <v>79213</v>
      </c>
      <c r="I1379" s="26" t="n">
        <v>200597</v>
      </c>
      <c r="J1379" s="19" t="n">
        <v>227522.132325</v>
      </c>
      <c r="K1379" s="37" t="n">
        <v>0.065</v>
      </c>
    </row>
    <row r="1380">
      <c r="A1380" s="34" t="inlineStr">
        <is>
          <t>AGA SPK-tilskudd</t>
        </is>
      </c>
      <c r="B1380" s="34" t="inlineStr">
        <is>
          <t>Region Sør</t>
        </is>
      </c>
      <c r="C1380" s="34" t="inlineStr">
        <is>
          <t>Lerketoppen</t>
        </is>
      </c>
      <c r="D1380" s="18" t="n"/>
      <c r="E1380" s="18" t="n"/>
      <c r="F1380" s="18" t="n"/>
      <c r="G1380" s="18" t="n"/>
      <c r="H1380" s="18" t="n"/>
      <c r="I1380" s="18" t="n">
        <v>91747</v>
      </c>
      <c r="J1380" s="19" t="n">
        <v>104061.741075</v>
      </c>
      <c r="K1380" s="35" t="n">
        <v>0.065</v>
      </c>
    </row>
    <row r="1381">
      <c r="A1381" s="36" t="inlineStr">
        <is>
          <t>AGA SPK-tilskudd</t>
        </is>
      </c>
      <c r="B1381" s="36" t="inlineStr">
        <is>
          <t>Region Sør</t>
        </is>
      </c>
      <c r="C1381" s="36" t="inlineStr">
        <is>
          <t>Lerketoppen</t>
        </is>
      </c>
      <c r="D1381" s="26" t="n"/>
      <c r="E1381" s="26" t="n"/>
      <c r="F1381" s="26" t="n"/>
      <c r="G1381" s="26" t="n"/>
      <c r="H1381" s="26" t="n">
        <v>47764</v>
      </c>
      <c r="I1381" s="26" t="n">
        <v>25801</v>
      </c>
      <c r="J1381" s="19" t="n">
        <v>29264.139225</v>
      </c>
      <c r="K1381" s="37" t="n">
        <v>0.065</v>
      </c>
    </row>
    <row r="1382">
      <c r="A1382" s="34" t="inlineStr">
        <is>
          <t>AGA SPK-tilskudd</t>
        </is>
      </c>
      <c r="B1382" s="34" t="inlineStr">
        <is>
          <t>Region Sør</t>
        </is>
      </c>
      <c r="C1382" s="34" t="inlineStr">
        <is>
          <t>Lerketoppen</t>
        </is>
      </c>
      <c r="D1382" s="18" t="n"/>
      <c r="E1382" s="18" t="n"/>
      <c r="F1382" s="18" t="n"/>
      <c r="G1382" s="18" t="n"/>
      <c r="H1382" s="18" t="n">
        <v>17344</v>
      </c>
      <c r="I1382" s="18" t="n">
        <v>73815</v>
      </c>
      <c r="J1382" s="19" t="n">
        <v>83722.81837499999</v>
      </c>
      <c r="K1382" s="35" t="n">
        <v>0.065</v>
      </c>
    </row>
    <row r="1383">
      <c r="A1383" s="36" t="inlineStr">
        <is>
          <t>AGA SPK-tilskudd</t>
        </is>
      </c>
      <c r="B1383" s="36" t="inlineStr">
        <is>
          <t>Region Sør</t>
        </is>
      </c>
      <c r="C1383" s="36" t="inlineStr">
        <is>
          <t>Lerketoppen</t>
        </is>
      </c>
      <c r="D1383" s="26" t="n"/>
      <c r="E1383" s="26" t="n"/>
      <c r="F1383" s="26" t="n"/>
      <c r="G1383" s="26" t="n"/>
      <c r="H1383" s="26" t="n">
        <v>9450</v>
      </c>
      <c r="I1383" s="26" t="n">
        <v>27725</v>
      </c>
      <c r="J1383" s="19" t="n">
        <v>31446.38812499999</v>
      </c>
      <c r="K1383" s="37" t="n">
        <v>0.065</v>
      </c>
    </row>
    <row r="1384">
      <c r="A1384" s="34" t="inlineStr">
        <is>
          <t>AGA SPK-tilskudd</t>
        </is>
      </c>
      <c r="B1384" s="34" t="inlineStr">
        <is>
          <t>Region Sør</t>
        </is>
      </c>
      <c r="C1384" s="34" t="inlineStr">
        <is>
          <t>Lerketoppen</t>
        </is>
      </c>
      <c r="D1384" s="18" t="n"/>
      <c r="E1384" s="18" t="n"/>
      <c r="F1384" s="18" t="n"/>
      <c r="G1384" s="18" t="n"/>
      <c r="H1384" s="18" t="n">
        <v>4690</v>
      </c>
      <c r="I1384" s="18" t="n">
        <v>5240</v>
      </c>
      <c r="J1384" s="19" t="n">
        <v>5943.338999999999</v>
      </c>
      <c r="K1384" s="35" t="n">
        <v>0.065</v>
      </c>
    </row>
    <row r="1385">
      <c r="A1385" s="36" t="inlineStr">
        <is>
          <t>AGA SPK-tilskudd</t>
        </is>
      </c>
      <c r="B1385" s="36" t="inlineStr">
        <is>
          <t>Region Sør</t>
        </is>
      </c>
      <c r="C1385" s="36" t="inlineStr">
        <is>
          <t>Lerketoppen</t>
        </is>
      </c>
      <c r="D1385" s="26" t="n"/>
      <c r="E1385" s="26" t="n"/>
      <c r="F1385" s="26" t="n"/>
      <c r="G1385" s="26" t="n"/>
      <c r="H1385" s="26" t="n">
        <v>1876</v>
      </c>
      <c r="I1385" s="26" t="n">
        <v>3406</v>
      </c>
      <c r="J1385" s="19" t="n">
        <v>3863.170349999999</v>
      </c>
      <c r="K1385" s="37" t="n">
        <v>0.065</v>
      </c>
    </row>
    <row r="1386">
      <c r="A1386" s="34" t="inlineStr">
        <is>
          <t>AGA SPK-tilskudd</t>
        </is>
      </c>
      <c r="B1386" s="34" t="inlineStr">
        <is>
          <t>Region Sør</t>
        </is>
      </c>
      <c r="C1386" s="34" t="inlineStr">
        <is>
          <t>Lerketoppen</t>
        </is>
      </c>
      <c r="D1386" s="18" t="n"/>
      <c r="E1386" s="18" t="n"/>
      <c r="F1386" s="18" t="n"/>
      <c r="G1386" s="18" t="n"/>
      <c r="H1386" s="18" t="n">
        <v>1573</v>
      </c>
      <c r="I1386" s="18" t="n">
        <v>1356</v>
      </c>
      <c r="J1386" s="19" t="n">
        <v>1538.0091</v>
      </c>
      <c r="K1386" s="35" t="n">
        <v>0.065</v>
      </c>
    </row>
    <row r="1387">
      <c r="A1387" s="36" t="inlineStr">
        <is>
          <t>AGA SPK-tilskudd</t>
        </is>
      </c>
      <c r="B1387" s="36" t="inlineStr">
        <is>
          <t>Region Sør</t>
        </is>
      </c>
      <c r="C1387" s="36" t="inlineStr">
        <is>
          <t>Lerketoppen</t>
        </is>
      </c>
      <c r="D1387" s="26" t="n"/>
      <c r="E1387" s="26" t="n"/>
      <c r="F1387" s="26" t="n"/>
      <c r="G1387" s="26" t="n"/>
      <c r="H1387" s="26" t="n">
        <v>10499</v>
      </c>
      <c r="I1387" s="26" t="n">
        <v>495</v>
      </c>
      <c r="J1387" s="19" t="n">
        <v>561.4413749999999</v>
      </c>
      <c r="K1387" s="37" t="n">
        <v>0.065</v>
      </c>
    </row>
    <row r="1388">
      <c r="A1388" s="34" t="inlineStr">
        <is>
          <t>AGA SPK-tilskudd</t>
        </is>
      </c>
      <c r="B1388" s="34" t="inlineStr">
        <is>
          <t>Region Sør</t>
        </is>
      </c>
      <c r="C1388" s="34" t="inlineStr">
        <is>
          <t>Lerketoppen</t>
        </is>
      </c>
      <c r="D1388" s="18" t="n"/>
      <c r="E1388" s="18" t="n"/>
      <c r="F1388" s="18" t="n"/>
      <c r="G1388" s="18" t="n"/>
      <c r="H1388" s="18" t="n">
        <v>2912</v>
      </c>
      <c r="I1388" s="18" t="n">
        <v>2975</v>
      </c>
      <c r="J1388" s="19" t="n">
        <v>3374.319375</v>
      </c>
      <c r="K1388" s="35" t="n">
        <v>0.065</v>
      </c>
    </row>
    <row r="1389">
      <c r="A1389" s="36" t="inlineStr">
        <is>
          <t>AGA SPK-tilskudd</t>
        </is>
      </c>
      <c r="B1389" s="36" t="inlineStr">
        <is>
          <t>Region Sør</t>
        </is>
      </c>
      <c r="C1389" s="36" t="inlineStr">
        <is>
          <t>Lerketoppen</t>
        </is>
      </c>
      <c r="D1389" s="26" t="n"/>
      <c r="E1389" s="26" t="n"/>
      <c r="F1389" s="26" t="n"/>
      <c r="G1389" s="26" t="n"/>
      <c r="H1389" s="26" t="n"/>
      <c r="I1389" s="26" t="n">
        <v>-23000</v>
      </c>
      <c r="J1389" s="19" t="n">
        <v>-26087.175</v>
      </c>
      <c r="K1389" s="37" t="n">
        <v>0.065</v>
      </c>
    </row>
    <row r="1390">
      <c r="A1390" s="34" t="inlineStr">
        <is>
          <t>AGA SPK-tilskudd</t>
        </is>
      </c>
      <c r="B1390" s="34" t="inlineStr">
        <is>
          <t>Region Sør</t>
        </is>
      </c>
      <c r="C1390" s="34" t="inlineStr">
        <is>
          <t>Lerketoppen</t>
        </is>
      </c>
      <c r="D1390" s="18" t="n"/>
      <c r="E1390" s="18" t="n"/>
      <c r="F1390" s="18" t="n"/>
      <c r="G1390" s="18" t="n"/>
      <c r="H1390" s="18" t="n">
        <v>6184</v>
      </c>
      <c r="I1390" s="18" t="n">
        <v>10612</v>
      </c>
      <c r="J1390" s="19" t="n">
        <v>12036.3957</v>
      </c>
      <c r="K1390" s="35" t="n">
        <v>0.065</v>
      </c>
    </row>
    <row r="1391">
      <c r="A1391" s="36" t="inlineStr">
        <is>
          <t>AGA SPK-tilskudd</t>
        </is>
      </c>
      <c r="B1391" s="36" t="inlineStr">
        <is>
          <t>Region Sør</t>
        </is>
      </c>
      <c r="C1391" s="36" t="inlineStr">
        <is>
          <t>Lerketoppen</t>
        </is>
      </c>
      <c r="D1391" s="26" t="n"/>
      <c r="E1391" s="26" t="n"/>
      <c r="F1391" s="26" t="n"/>
      <c r="G1391" s="26" t="n"/>
      <c r="H1391" s="26" t="n"/>
      <c r="I1391" s="26" t="n">
        <v>-272896</v>
      </c>
      <c r="J1391" s="19" t="n">
        <v>-309525.4655999999</v>
      </c>
      <c r="K1391" s="37" t="n">
        <v>0.065</v>
      </c>
    </row>
    <row r="1392">
      <c r="A1392" s="34" t="inlineStr">
        <is>
          <t>AGA SPK-tilskudd</t>
        </is>
      </c>
      <c r="B1392" s="34" t="inlineStr">
        <is>
          <t>Region Sør</t>
        </is>
      </c>
      <c r="C1392" s="34" t="inlineStr">
        <is>
          <t>Lerketoppen</t>
        </is>
      </c>
      <c r="D1392" s="18" t="n"/>
      <c r="E1392" s="18" t="n"/>
      <c r="F1392" s="18" t="n"/>
      <c r="G1392" s="18" t="n"/>
      <c r="H1392" s="18" t="n">
        <v>-16929</v>
      </c>
      <c r="I1392" s="18" t="n">
        <v>-1519795</v>
      </c>
      <c r="J1392" s="19" t="n">
        <v>-1723789.483875</v>
      </c>
      <c r="K1392" s="35" t="n">
        <v>0.065</v>
      </c>
    </row>
    <row r="1393">
      <c r="A1393" s="36" t="inlineStr">
        <is>
          <t>AGA SPK-tilskudd</t>
        </is>
      </c>
      <c r="B1393" s="36" t="inlineStr">
        <is>
          <t>Region Sør</t>
        </is>
      </c>
      <c r="C1393" s="36" t="inlineStr">
        <is>
          <t>Lunde behandlingssenter</t>
        </is>
      </c>
      <c r="D1393" s="26" t="n">
        <v>311574</v>
      </c>
      <c r="E1393" s="26" t="n">
        <v>260035</v>
      </c>
      <c r="F1393" s="26" t="n">
        <v>240622</v>
      </c>
      <c r="G1393" s="26" t="n">
        <v>238141</v>
      </c>
      <c r="H1393" s="26" t="n">
        <v>248509</v>
      </c>
      <c r="I1393" s="26" t="n">
        <v>241330</v>
      </c>
      <c r="J1393" s="19" t="n">
        <v>217887.0174735613</v>
      </c>
      <c r="K1393" s="37" t="n">
        <v>-0.04981095148467563</v>
      </c>
    </row>
    <row r="1394">
      <c r="A1394" s="34" t="inlineStr">
        <is>
          <t>AGA SPK-tilskudd</t>
        </is>
      </c>
      <c r="B1394" s="34" t="inlineStr">
        <is>
          <t>Region Sør</t>
        </is>
      </c>
      <c r="C1394" s="34" t="inlineStr">
        <is>
          <t>Lunde behandlingssenter</t>
        </is>
      </c>
      <c r="D1394" s="18" t="n">
        <v>316718</v>
      </c>
      <c r="E1394" s="18" t="n">
        <v>529850</v>
      </c>
      <c r="F1394" s="18" t="n">
        <v>367394</v>
      </c>
      <c r="G1394" s="18" t="n">
        <v>273667</v>
      </c>
      <c r="H1394" s="18" t="n">
        <v>205365</v>
      </c>
      <c r="I1394" s="18" t="n">
        <v>263899</v>
      </c>
      <c r="J1394" s="19" t="n">
        <v>245326.0937961668</v>
      </c>
      <c r="K1394" s="35" t="n">
        <v>-0.03583136468655901</v>
      </c>
    </row>
    <row r="1395">
      <c r="A1395" s="36" t="inlineStr">
        <is>
          <t>AGA SPK-tilskudd</t>
        </is>
      </c>
      <c r="B1395" s="36" t="inlineStr">
        <is>
          <t>Region Sør</t>
        </is>
      </c>
      <c r="C1395" s="36" t="inlineStr">
        <is>
          <t>Lunde behandlingssenter</t>
        </is>
      </c>
      <c r="D1395" s="26" t="n">
        <v>191521</v>
      </c>
      <c r="E1395" s="26" t="n">
        <v>250924</v>
      </c>
      <c r="F1395" s="26" t="n">
        <v>368687</v>
      </c>
      <c r="G1395" s="26" t="n">
        <v>161515</v>
      </c>
      <c r="H1395" s="26" t="n">
        <v>131509</v>
      </c>
      <c r="I1395" s="26" t="n">
        <v>131899</v>
      </c>
      <c r="J1395" s="19" t="n">
        <v>113619.1520649024</v>
      </c>
      <c r="K1395" s="37" t="n">
        <v>-0.07187809993864858</v>
      </c>
    </row>
    <row r="1396">
      <c r="A1396" s="34" t="inlineStr">
        <is>
          <t>AGA SPK-tilskudd</t>
        </is>
      </c>
      <c r="B1396" s="34" t="inlineStr">
        <is>
          <t>Region Sør</t>
        </is>
      </c>
      <c r="C1396" s="34" t="inlineStr">
        <is>
          <t>Lunde behandlingssenter</t>
        </is>
      </c>
      <c r="D1396" s="18" t="n">
        <v>59553</v>
      </c>
      <c r="E1396" s="18" t="n">
        <v>67890</v>
      </c>
      <c r="F1396" s="18" t="n">
        <v>60839</v>
      </c>
      <c r="G1396" s="18" t="n">
        <v>80845</v>
      </c>
      <c r="H1396" s="18" t="n">
        <v>84776</v>
      </c>
      <c r="I1396" s="18" t="n">
        <v>104812</v>
      </c>
      <c r="J1396" s="19" t="n">
        <v>131405.6242783525</v>
      </c>
      <c r="K1396" s="35" t="n">
        <v>0.1196994704631948</v>
      </c>
    </row>
    <row r="1397">
      <c r="A1397" s="36" t="inlineStr">
        <is>
          <t>AGA SPK-tilskudd</t>
        </is>
      </c>
      <c r="B1397" s="36" t="inlineStr">
        <is>
          <t>Region Sør</t>
        </is>
      </c>
      <c r="C1397" s="36" t="inlineStr">
        <is>
          <t>Lunde behandlingssenter</t>
        </is>
      </c>
      <c r="D1397" s="26" t="n">
        <v>37978</v>
      </c>
      <c r="E1397" s="26" t="n">
        <v>17934</v>
      </c>
      <c r="F1397" s="26" t="n">
        <v>17666</v>
      </c>
      <c r="G1397" s="26" t="n">
        <v>92390</v>
      </c>
      <c r="H1397" s="26" t="n">
        <v>67148</v>
      </c>
      <c r="I1397" s="26" t="n">
        <v>43970</v>
      </c>
      <c r="J1397" s="19" t="n">
        <v>46623.64419383211</v>
      </c>
      <c r="K1397" s="37" t="n">
        <v>0.02973357908234964</v>
      </c>
    </row>
    <row r="1398">
      <c r="A1398" s="34" t="inlineStr">
        <is>
          <t>AGA SPK-tilskudd</t>
        </is>
      </c>
      <c r="B1398" s="34" t="inlineStr">
        <is>
          <t>Region Sør</t>
        </is>
      </c>
      <c r="C1398" s="34" t="inlineStr">
        <is>
          <t>Lunde behandlingssenter</t>
        </is>
      </c>
      <c r="D1398" s="18" t="n"/>
      <c r="E1398" s="18" t="n"/>
      <c r="F1398" s="18" t="n"/>
      <c r="G1398" s="18" t="n"/>
      <c r="H1398" s="18" t="n">
        <v>130000</v>
      </c>
      <c r="I1398" s="18" t="n"/>
      <c r="J1398" s="19" t="n">
        <v>0</v>
      </c>
      <c r="K1398" s="35" t="n">
        <v>0.065</v>
      </c>
    </row>
    <row r="1399">
      <c r="A1399" s="36" t="inlineStr">
        <is>
          <t>AGA SPK-tilskudd</t>
        </is>
      </c>
      <c r="B1399" s="36" t="inlineStr">
        <is>
          <t>Region Sør</t>
        </is>
      </c>
      <c r="C1399" s="36" t="inlineStr">
        <is>
          <t>Lunde behandlingssenter</t>
        </is>
      </c>
      <c r="D1399" s="26" t="n">
        <v>36760</v>
      </c>
      <c r="E1399" s="26" t="n">
        <v>36012</v>
      </c>
      <c r="F1399" s="26" t="n">
        <v>45489</v>
      </c>
      <c r="G1399" s="26" t="n">
        <v>27953</v>
      </c>
      <c r="H1399" s="26" t="n">
        <v>22193</v>
      </c>
      <c r="I1399" s="26" t="n">
        <v>14174</v>
      </c>
      <c r="J1399" s="19" t="n">
        <v>9681.423067108013</v>
      </c>
      <c r="K1399" s="37" t="n">
        <v>-0.1735370575272865</v>
      </c>
    </row>
    <row r="1400">
      <c r="A1400" s="34" t="inlineStr">
        <is>
          <t>AGA SPK-tilskudd</t>
        </is>
      </c>
      <c r="B1400" s="34" t="inlineStr">
        <is>
          <t>Region Sør</t>
        </is>
      </c>
      <c r="C1400" s="34" t="inlineStr">
        <is>
          <t>Lunde behandlingssenter</t>
        </is>
      </c>
      <c r="D1400" s="18" t="n">
        <v>10634</v>
      </c>
      <c r="E1400" s="18" t="n">
        <v>16122</v>
      </c>
      <c r="F1400" s="18" t="n">
        <v>23909</v>
      </c>
      <c r="G1400" s="18" t="n">
        <v>20636</v>
      </c>
      <c r="H1400" s="18" t="n">
        <v>13225</v>
      </c>
      <c r="I1400" s="18" t="n">
        <v>6825</v>
      </c>
      <c r="J1400" s="19" t="n">
        <v>5715.642483377615</v>
      </c>
      <c r="K1400" s="35" t="n">
        <v>-0.08487335623900538</v>
      </c>
    </row>
    <row r="1401">
      <c r="A1401" s="36" t="inlineStr">
        <is>
          <t>AGA SPK-tilskudd</t>
        </is>
      </c>
      <c r="B1401" s="36" t="inlineStr">
        <is>
          <t>Region Sør</t>
        </is>
      </c>
      <c r="C1401" s="36" t="inlineStr">
        <is>
          <t>Lunde behandlingssenter</t>
        </is>
      </c>
      <c r="D1401" s="26" t="n">
        <v>6100</v>
      </c>
      <c r="E1401" s="26" t="n">
        <v>19716</v>
      </c>
      <c r="F1401" s="26" t="n">
        <v>28610</v>
      </c>
      <c r="G1401" s="26" t="n">
        <v>28819</v>
      </c>
      <c r="H1401" s="26" t="n">
        <v>16075</v>
      </c>
      <c r="I1401" s="26" t="n">
        <v>10950</v>
      </c>
      <c r="J1401" s="19" t="n">
        <v>13837.18772243602</v>
      </c>
      <c r="K1401" s="37" t="n">
        <v>0.1241308249656679</v>
      </c>
    </row>
    <row r="1402">
      <c r="A1402" s="34" t="inlineStr">
        <is>
          <t>AGA SPK-tilskudd</t>
        </is>
      </c>
      <c r="B1402" s="34" t="inlineStr">
        <is>
          <t>Region Sør</t>
        </is>
      </c>
      <c r="C1402" s="34" t="inlineStr">
        <is>
          <t>Lunde behandlingssenter</t>
        </is>
      </c>
      <c r="D1402" s="18" t="n">
        <v>2567</v>
      </c>
      <c r="E1402" s="18" t="n">
        <v>14487</v>
      </c>
      <c r="F1402" s="18" t="n">
        <v>9841</v>
      </c>
      <c r="G1402" s="18" t="n">
        <v>7181</v>
      </c>
      <c r="H1402" s="18" t="n">
        <v>7482</v>
      </c>
      <c r="I1402" s="18" t="n">
        <v>17321</v>
      </c>
      <c r="J1402" s="19" t="n">
        <v>27064.0625</v>
      </c>
      <c r="K1402" s="35" t="n">
        <v>0.25</v>
      </c>
    </row>
    <row r="1403">
      <c r="A1403" s="36" t="inlineStr">
        <is>
          <t>AGA SPK-tilskudd</t>
        </is>
      </c>
      <c r="B1403" s="36" t="inlineStr">
        <is>
          <t>Region Sør</t>
        </is>
      </c>
      <c r="C1403" s="36" t="inlineStr">
        <is>
          <t>Lunde behandlingssenter</t>
        </is>
      </c>
      <c r="D1403" s="26" t="n">
        <v>10919</v>
      </c>
      <c r="E1403" s="26" t="n">
        <v>12957</v>
      </c>
      <c r="F1403" s="26" t="n">
        <v>12047</v>
      </c>
      <c r="G1403" s="26" t="n">
        <v>13314</v>
      </c>
      <c r="H1403" s="26" t="n">
        <v>10934</v>
      </c>
      <c r="I1403" s="26" t="n">
        <v>8144</v>
      </c>
      <c r="J1403" s="19" t="n">
        <v>7242.687124407774</v>
      </c>
      <c r="K1403" s="37" t="n">
        <v>-0.0569581203420636</v>
      </c>
    </row>
    <row r="1404">
      <c r="A1404" s="34" t="inlineStr">
        <is>
          <t>AGA SPK-tilskudd</t>
        </is>
      </c>
      <c r="B1404" s="34" t="inlineStr">
        <is>
          <t>Region Sør</t>
        </is>
      </c>
      <c r="C1404" s="34" t="inlineStr">
        <is>
          <t>Lunde behandlingssenter</t>
        </is>
      </c>
      <c r="D1404" s="18" t="n"/>
      <c r="E1404" s="18" t="n">
        <v>18700</v>
      </c>
      <c r="F1404" s="18" t="n"/>
      <c r="G1404" s="18" t="n">
        <v>24600</v>
      </c>
      <c r="H1404" s="18" t="n">
        <v>21472</v>
      </c>
      <c r="I1404" s="18" t="n"/>
      <c r="J1404" s="19" t="n">
        <v>0</v>
      </c>
      <c r="K1404" s="35" t="n">
        <v>0.065</v>
      </c>
    </row>
    <row r="1405">
      <c r="A1405" s="36" t="inlineStr">
        <is>
          <t>AGA SPK-tilskudd</t>
        </is>
      </c>
      <c r="B1405" s="36" t="inlineStr">
        <is>
          <t>Region Sør</t>
        </is>
      </c>
      <c r="C1405" s="36" t="inlineStr">
        <is>
          <t>Lunde behandlingssenter</t>
        </is>
      </c>
      <c r="D1405" s="26" t="n"/>
      <c r="E1405" s="26" t="n">
        <v>3745</v>
      </c>
      <c r="F1405" s="26" t="n"/>
      <c r="G1405" s="26" t="n">
        <v>3729</v>
      </c>
      <c r="H1405" s="26" t="n"/>
      <c r="I1405" s="26" t="n">
        <v>7744</v>
      </c>
      <c r="J1405" s="19" t="n">
        <v>11135.81751457988</v>
      </c>
      <c r="K1405" s="37" t="n">
        <v>0.1991634434788783</v>
      </c>
    </row>
    <row r="1406">
      <c r="A1406" s="34" t="inlineStr">
        <is>
          <t>AGA SPK-tilskudd</t>
        </is>
      </c>
      <c r="B1406" s="34" t="inlineStr">
        <is>
          <t>Region Sør</t>
        </is>
      </c>
      <c r="C1406" s="34" t="inlineStr">
        <is>
          <t>Lunde behandlingssenter</t>
        </is>
      </c>
      <c r="D1406" s="18" t="n">
        <v>516</v>
      </c>
      <c r="E1406" s="18" t="n"/>
      <c r="F1406" s="18" t="n"/>
      <c r="G1406" s="18" t="n"/>
      <c r="H1406" s="18" t="n"/>
      <c r="I1406" s="18" t="n"/>
      <c r="J1406" s="19" t="n">
        <v>0</v>
      </c>
      <c r="K1406" s="35" t="n">
        <v>0.065</v>
      </c>
    </row>
    <row r="1407">
      <c r="A1407" s="36" t="inlineStr">
        <is>
          <t>AGA SPK-tilskudd</t>
        </is>
      </c>
      <c r="B1407" s="36" t="inlineStr">
        <is>
          <t>Region Sør</t>
        </is>
      </c>
      <c r="C1407" s="36" t="inlineStr">
        <is>
          <t>Lunde behandlingssenter</t>
        </is>
      </c>
      <c r="D1407" s="26" t="n"/>
      <c r="E1407" s="26" t="n">
        <v>22000</v>
      </c>
      <c r="F1407" s="26" t="n"/>
      <c r="G1407" s="26" t="n"/>
      <c r="H1407" s="26" t="n"/>
      <c r="I1407" s="26" t="n"/>
      <c r="J1407" s="19" t="n">
        <v>0</v>
      </c>
      <c r="K1407" s="37" t="n">
        <v>0.065</v>
      </c>
    </row>
    <row r="1408">
      <c r="A1408" s="34" t="inlineStr">
        <is>
          <t>AGA SPK-tilskudd</t>
        </is>
      </c>
      <c r="B1408" s="34" t="inlineStr">
        <is>
          <t>Region Sør</t>
        </is>
      </c>
      <c r="C1408" s="34" t="inlineStr">
        <is>
          <t>Lunde behandlingssenter</t>
        </is>
      </c>
      <c r="D1408" s="18" t="n"/>
      <c r="E1408" s="18" t="n"/>
      <c r="F1408" s="18" t="n"/>
      <c r="G1408" s="18" t="n">
        <v>-22431</v>
      </c>
      <c r="H1408" s="18" t="n"/>
      <c r="I1408" s="18" t="n"/>
      <c r="J1408" s="19" t="n">
        <v>0</v>
      </c>
      <c r="K1408" s="35" t="n">
        <v>0.065</v>
      </c>
    </row>
    <row r="1409">
      <c r="A1409" s="36" t="inlineStr">
        <is>
          <t>AGA SPK-tilskudd</t>
        </is>
      </c>
      <c r="B1409" s="36" t="inlineStr">
        <is>
          <t>Region Sør</t>
        </is>
      </c>
      <c r="C1409" s="36" t="inlineStr">
        <is>
          <t>Lunde behandlingssenter</t>
        </is>
      </c>
      <c r="D1409" s="26" t="n">
        <v>5588</v>
      </c>
      <c r="E1409" s="26" t="n">
        <v>-1360</v>
      </c>
      <c r="F1409" s="26" t="n">
        <v>1690</v>
      </c>
      <c r="G1409" s="26" t="n">
        <v>4282</v>
      </c>
      <c r="H1409" s="26" t="n"/>
      <c r="I1409" s="26" t="n">
        <v>7790</v>
      </c>
      <c r="J1409" s="19" t="n">
        <v>8897.128883010762</v>
      </c>
      <c r="K1409" s="37" t="n">
        <v>0.06870099084446135</v>
      </c>
    </row>
    <row r="1410">
      <c r="A1410" s="34" t="inlineStr">
        <is>
          <t>AGA SPK-tilskudd</t>
        </is>
      </c>
      <c r="B1410" s="34" t="inlineStr">
        <is>
          <t>Region Sør</t>
        </is>
      </c>
      <c r="C1410" s="34" t="inlineStr">
        <is>
          <t>Lunde behandlingssenter</t>
        </is>
      </c>
      <c r="D1410" s="18" t="n"/>
      <c r="E1410" s="18" t="n"/>
      <c r="F1410" s="18" t="n"/>
      <c r="G1410" s="18" t="n">
        <v>-9730</v>
      </c>
      <c r="H1410" s="18" t="n"/>
      <c r="I1410" s="18" t="n"/>
      <c r="J1410" s="19" t="n">
        <v>0</v>
      </c>
      <c r="K1410" s="35" t="n">
        <v>0.065</v>
      </c>
    </row>
    <row r="1411">
      <c r="A1411" s="36" t="inlineStr">
        <is>
          <t>AGA SPK-tilskudd</t>
        </is>
      </c>
      <c r="B1411" s="36" t="inlineStr">
        <is>
          <t>Region Sør</t>
        </is>
      </c>
      <c r="C1411" s="36" t="inlineStr">
        <is>
          <t>Lunde behandlingssenter</t>
        </is>
      </c>
      <c r="D1411" s="26" t="n"/>
      <c r="E1411" s="26" t="n"/>
      <c r="F1411" s="26" t="n"/>
      <c r="G1411" s="26" t="n"/>
      <c r="H1411" s="26" t="n">
        <v>-10850</v>
      </c>
      <c r="I1411" s="26" t="n">
        <v>-14560</v>
      </c>
      <c r="J1411" s="19" t="n">
        <v>-16514.316</v>
      </c>
      <c r="K1411" s="37" t="n">
        <v>0.065</v>
      </c>
    </row>
    <row r="1412">
      <c r="A1412" s="34" t="inlineStr">
        <is>
          <t>AGA SPK-tilskudd</t>
        </is>
      </c>
      <c r="B1412" s="34" t="inlineStr">
        <is>
          <t>Region Sør</t>
        </is>
      </c>
      <c r="C1412" s="34" t="inlineStr">
        <is>
          <t>Lunde behandlingssenter</t>
        </is>
      </c>
      <c r="D1412" s="18" t="n">
        <v>-488431</v>
      </c>
      <c r="E1412" s="18" t="n">
        <v>-208059</v>
      </c>
      <c r="F1412" s="18" t="n">
        <v>-902696</v>
      </c>
      <c r="G1412" s="18" t="n">
        <v>-165446</v>
      </c>
      <c r="H1412" s="18" t="n">
        <v>-395280</v>
      </c>
      <c r="I1412" s="18" t="n">
        <v>-650301</v>
      </c>
      <c r="J1412" s="19" t="n">
        <v>-737587.6517249999</v>
      </c>
      <c r="K1412" s="35" t="n">
        <v>0.065</v>
      </c>
    </row>
    <row r="1413">
      <c r="A1413" s="36" t="inlineStr">
        <is>
          <t>AGA SPK-tilskudd</t>
        </is>
      </c>
      <c r="B1413" s="36" t="inlineStr">
        <is>
          <t>Region Sør</t>
        </is>
      </c>
      <c r="C1413" s="36" t="inlineStr">
        <is>
          <t>Lunde behandlingssenter</t>
        </is>
      </c>
      <c r="D1413" s="26" t="n">
        <v>-3200868</v>
      </c>
      <c r="E1413" s="26" t="n">
        <v>-1710101</v>
      </c>
      <c r="F1413" s="26" t="n">
        <v>-1708117</v>
      </c>
      <c r="G1413" s="26" t="n">
        <v>-1926755</v>
      </c>
      <c r="H1413" s="26" t="n">
        <v>-2674036</v>
      </c>
      <c r="I1413" s="26" t="n">
        <v>-1231075</v>
      </c>
      <c r="J1413" s="19" t="n">
        <v>-1396316.041875</v>
      </c>
      <c r="K1413" s="37" t="n">
        <v>0.065</v>
      </c>
    </row>
    <row r="1414">
      <c r="A1414" s="34" t="inlineStr">
        <is>
          <t>AGA SPK-tilskudd</t>
        </is>
      </c>
      <c r="B1414" s="34" t="inlineStr">
        <is>
          <t>Region Sør</t>
        </is>
      </c>
      <c r="C1414" s="34" t="inlineStr">
        <is>
          <t>Lunde behandlingssenter adm.</t>
        </is>
      </c>
      <c r="D1414" s="18" t="n">
        <v>13814</v>
      </c>
      <c r="E1414" s="18" t="n">
        <v>11774</v>
      </c>
      <c r="F1414" s="18" t="n">
        <v>10599</v>
      </c>
      <c r="G1414" s="18" t="n">
        <v>7022</v>
      </c>
      <c r="H1414" s="18" t="n">
        <v>8551</v>
      </c>
      <c r="I1414" s="18" t="n">
        <v>9932</v>
      </c>
      <c r="J1414" s="19" t="n">
        <v>8704.094842120714</v>
      </c>
      <c r="K1414" s="35" t="n">
        <v>-0.0638542891207291</v>
      </c>
    </row>
    <row r="1415">
      <c r="A1415" s="36" t="inlineStr">
        <is>
          <t>AGA SPK-tilskudd</t>
        </is>
      </c>
      <c r="B1415" s="36" t="inlineStr">
        <is>
          <t>Region Sør</t>
        </is>
      </c>
      <c r="C1415" s="36" t="inlineStr">
        <is>
          <t>Lunde behandlingssenter adm.</t>
        </is>
      </c>
      <c r="D1415" s="26" t="n">
        <v>5579</v>
      </c>
      <c r="E1415" s="26" t="n">
        <v>7175</v>
      </c>
      <c r="F1415" s="26" t="n">
        <v>34301</v>
      </c>
      <c r="G1415" s="26" t="n">
        <v>12103</v>
      </c>
      <c r="H1415" s="26" t="n">
        <v>37107</v>
      </c>
      <c r="I1415" s="26" t="n">
        <v>33075</v>
      </c>
      <c r="J1415" s="19" t="n">
        <v>51679.6875</v>
      </c>
      <c r="K1415" s="37" t="n">
        <v>0.25</v>
      </c>
    </row>
    <row r="1416">
      <c r="A1416" s="34" t="inlineStr">
        <is>
          <t>AGA SPK-tilskudd</t>
        </is>
      </c>
      <c r="B1416" s="34" t="inlineStr">
        <is>
          <t>Region Sør</t>
        </is>
      </c>
      <c r="C1416" s="34" t="inlineStr">
        <is>
          <t>Lunde behandlingssenter adm.</t>
        </is>
      </c>
      <c r="D1416" s="18" t="n">
        <v>1200</v>
      </c>
      <c r="E1416" s="18" t="n">
        <v>1227</v>
      </c>
      <c r="F1416" s="18" t="n">
        <v>1227</v>
      </c>
      <c r="G1416" s="18" t="n">
        <v>1195</v>
      </c>
      <c r="H1416" s="18" t="n">
        <v>1110</v>
      </c>
      <c r="I1416" s="18" t="n"/>
      <c r="J1416" s="19" t="n">
        <v>0</v>
      </c>
      <c r="K1416" s="35" t="n">
        <v>0.065</v>
      </c>
    </row>
    <row r="1417">
      <c r="A1417" s="36" t="inlineStr">
        <is>
          <t>AGA SPK-tilskudd</t>
        </is>
      </c>
      <c r="B1417" s="36" t="inlineStr">
        <is>
          <t>Region Sør</t>
        </is>
      </c>
      <c r="C1417" s="36" t="inlineStr">
        <is>
          <t>Lunde behandlingssenter adm.</t>
        </is>
      </c>
      <c r="D1417" s="26" t="n">
        <v>7022</v>
      </c>
      <c r="E1417" s="26" t="n"/>
      <c r="F1417" s="26" t="n">
        <v>2612</v>
      </c>
      <c r="G1417" s="26" t="n"/>
      <c r="H1417" s="26" t="n"/>
      <c r="I1417" s="26" t="n"/>
      <c r="J1417" s="19" t="n">
        <v>0</v>
      </c>
      <c r="K1417" s="37" t="n">
        <v>0.065</v>
      </c>
    </row>
    <row r="1418">
      <c r="A1418" s="34" t="inlineStr">
        <is>
          <t>AGA SPK-tilskudd</t>
        </is>
      </c>
      <c r="B1418" s="34" t="inlineStr">
        <is>
          <t>Region Sør</t>
        </is>
      </c>
      <c r="C1418" s="34" t="inlineStr">
        <is>
          <t>Lunde behandlingssenter adm.</t>
        </is>
      </c>
      <c r="D1418" s="18" t="n">
        <v>9028</v>
      </c>
      <c r="E1418" s="18" t="n">
        <v>7853</v>
      </c>
      <c r="F1418" s="18" t="n">
        <v>17092</v>
      </c>
      <c r="G1418" s="18" t="n">
        <v>18011</v>
      </c>
      <c r="H1418" s="18" t="n">
        <v>20259</v>
      </c>
      <c r="I1418" s="18" t="n">
        <v>20989</v>
      </c>
      <c r="J1418" s="19" t="n">
        <v>29413.8468207767</v>
      </c>
      <c r="K1418" s="35" t="n">
        <v>0.1838046442070305</v>
      </c>
    </row>
    <row r="1419">
      <c r="A1419" s="36" t="inlineStr">
        <is>
          <t>AGA SPK-tilskudd</t>
        </is>
      </c>
      <c r="B1419" s="36" t="inlineStr">
        <is>
          <t>Region Sør</t>
        </is>
      </c>
      <c r="C1419" s="36" t="inlineStr">
        <is>
          <t>Lunde behandlingssenter adm.</t>
        </is>
      </c>
      <c r="D1419" s="26" t="n">
        <v>1992</v>
      </c>
      <c r="E1419" s="26" t="n">
        <v>2917</v>
      </c>
      <c r="F1419" s="26" t="n">
        <v>6023</v>
      </c>
      <c r="G1419" s="26" t="n">
        <v>5885</v>
      </c>
      <c r="H1419" s="26" t="n">
        <v>5915</v>
      </c>
      <c r="I1419" s="26" t="n">
        <v>7179</v>
      </c>
      <c r="J1419" s="19" t="n">
        <v>11217.1875</v>
      </c>
      <c r="K1419" s="37" t="n">
        <v>0.25</v>
      </c>
    </row>
    <row r="1420">
      <c r="A1420" s="34" t="inlineStr">
        <is>
          <t>AGA SPK-tilskudd</t>
        </is>
      </c>
      <c r="B1420" s="34" t="inlineStr">
        <is>
          <t>Region Sør</t>
        </is>
      </c>
      <c r="C1420" s="34" t="inlineStr">
        <is>
          <t>Lunde behandlingssenter adm.</t>
        </is>
      </c>
      <c r="D1420" s="18" t="n"/>
      <c r="E1420" s="18" t="n"/>
      <c r="F1420" s="18" t="n"/>
      <c r="G1420" s="18" t="n">
        <v>621</v>
      </c>
      <c r="H1420" s="18" t="n">
        <v>2190</v>
      </c>
      <c r="I1420" s="18" t="n">
        <v>1249</v>
      </c>
      <c r="J1420" s="19" t="n">
        <v>1416.647025</v>
      </c>
      <c r="K1420" s="35" t="n">
        <v>0.065</v>
      </c>
    </row>
    <row r="1421">
      <c r="A1421" s="36" t="inlineStr">
        <is>
          <t>AGA SPK-tilskudd</t>
        </is>
      </c>
      <c r="B1421" s="36" t="inlineStr">
        <is>
          <t>Region Sør</t>
        </is>
      </c>
      <c r="C1421" s="36" t="inlineStr">
        <is>
          <t>Lunde behandlingssenter adm.</t>
        </is>
      </c>
      <c r="D1421" s="26" t="n">
        <v>6265</v>
      </c>
      <c r="E1421" s="26" t="n">
        <v>4355</v>
      </c>
      <c r="F1421" s="26" t="n">
        <v>378</v>
      </c>
      <c r="G1421" s="26" t="n">
        <v>800</v>
      </c>
      <c r="H1421" s="26" t="n">
        <v>1427</v>
      </c>
      <c r="I1421" s="26" t="n">
        <v>3710</v>
      </c>
      <c r="J1421" s="19" t="n">
        <v>3008.534827348504</v>
      </c>
      <c r="K1421" s="37" t="n">
        <v>-0.0994857971836367</v>
      </c>
    </row>
    <row r="1422">
      <c r="A1422" s="34" t="inlineStr">
        <is>
          <t>AGA SPK-tilskudd</t>
        </is>
      </c>
      <c r="B1422" s="34" t="inlineStr">
        <is>
          <t>Region Sør</t>
        </is>
      </c>
      <c r="C1422" s="34" t="inlineStr">
        <is>
          <t>Lunde behandlingssenter adm.</t>
        </is>
      </c>
      <c r="D1422" s="18" t="n">
        <v>1867</v>
      </c>
      <c r="E1422" s="18" t="n">
        <v>1793</v>
      </c>
      <c r="F1422" s="18" t="n">
        <v>3999</v>
      </c>
      <c r="G1422" s="18" t="n">
        <v>6536</v>
      </c>
      <c r="H1422" s="18" t="n">
        <v>9260</v>
      </c>
      <c r="I1422" s="18" t="n">
        <v>11505</v>
      </c>
      <c r="J1422" s="19" t="n">
        <v>17976.5625</v>
      </c>
      <c r="K1422" s="35" t="n">
        <v>0.25</v>
      </c>
    </row>
    <row r="1423">
      <c r="A1423" s="36" t="inlineStr">
        <is>
          <t>AGA SPK-tilskudd</t>
        </is>
      </c>
      <c r="B1423" s="36" t="inlineStr">
        <is>
          <t>Region Sør</t>
        </is>
      </c>
      <c r="C1423" s="36" t="inlineStr">
        <is>
          <t>Lunde behandlingssenter adm.</t>
        </is>
      </c>
      <c r="D1423" s="26" t="n"/>
      <c r="E1423" s="26" t="n"/>
      <c r="F1423" s="26" t="n">
        <v>2600</v>
      </c>
      <c r="G1423" s="26" t="n"/>
      <c r="H1423" s="26" t="n"/>
      <c r="I1423" s="26" t="n">
        <v>3840</v>
      </c>
      <c r="J1423" s="19" t="n">
        <v>4355.423999999999</v>
      </c>
      <c r="K1423" s="37" t="n">
        <v>0.065</v>
      </c>
    </row>
    <row r="1424">
      <c r="A1424" s="34" t="inlineStr">
        <is>
          <t>AGA SPK-tilskudd</t>
        </is>
      </c>
      <c r="B1424" s="34" t="inlineStr">
        <is>
          <t>Region Sør</t>
        </is>
      </c>
      <c r="C1424" s="34" t="inlineStr">
        <is>
          <t>Lunde behandlingssenter adm.</t>
        </is>
      </c>
      <c r="D1424" s="18" t="n"/>
      <c r="E1424" s="18" t="n">
        <v>314</v>
      </c>
      <c r="F1424" s="18" t="n"/>
      <c r="G1424" s="18" t="n"/>
      <c r="H1424" s="18" t="n"/>
      <c r="I1424" s="18" t="n"/>
      <c r="J1424" s="19" t="n">
        <v>0</v>
      </c>
      <c r="K1424" s="35" t="n">
        <v>0.065</v>
      </c>
    </row>
    <row r="1425">
      <c r="A1425" s="36" t="inlineStr">
        <is>
          <t>AGA SPK-tilskudd</t>
        </is>
      </c>
      <c r="B1425" s="36" t="inlineStr">
        <is>
          <t>Region Sør</t>
        </is>
      </c>
      <c r="C1425" s="36" t="inlineStr">
        <is>
          <t>Lunde behandlingssenter adm.</t>
        </is>
      </c>
      <c r="D1425" s="26" t="n"/>
      <c r="E1425" s="26" t="n">
        <v>879</v>
      </c>
      <c r="F1425" s="26" t="n"/>
      <c r="G1425" s="26" t="n"/>
      <c r="H1425" s="26" t="n"/>
      <c r="I1425" s="26" t="n"/>
      <c r="J1425" s="19" t="n">
        <v>0</v>
      </c>
      <c r="K1425" s="37" t="n">
        <v>0.065</v>
      </c>
    </row>
    <row r="1426">
      <c r="A1426" s="34" t="inlineStr">
        <is>
          <t>AGA SPK-tilskudd</t>
        </is>
      </c>
      <c r="B1426" s="34" t="inlineStr">
        <is>
          <t>Region Sør</t>
        </is>
      </c>
      <c r="C1426" s="34" t="inlineStr">
        <is>
          <t>Lunde behandlingssenter adm.</t>
        </is>
      </c>
      <c r="D1426" s="18" t="n">
        <v>-2304</v>
      </c>
      <c r="E1426" s="18" t="n">
        <v>-235</v>
      </c>
      <c r="F1426" s="18" t="n"/>
      <c r="G1426" s="18" t="n"/>
      <c r="H1426" s="18" t="n">
        <v>-47075</v>
      </c>
      <c r="I1426" s="18" t="n"/>
      <c r="J1426" s="19" t="n">
        <v>0</v>
      </c>
      <c r="K1426" s="35" t="n">
        <v>0.065</v>
      </c>
    </row>
    <row r="1427">
      <c r="A1427" s="36" t="inlineStr">
        <is>
          <t>AGA SPK-tilskudd</t>
        </is>
      </c>
      <c r="B1427" s="36" t="inlineStr">
        <is>
          <t>Region Sør</t>
        </is>
      </c>
      <c r="C1427" s="36" t="inlineStr">
        <is>
          <t>Lågen spesialiserte fosterhjem</t>
        </is>
      </c>
      <c r="D1427" s="26" t="n"/>
      <c r="E1427" s="26" t="n"/>
      <c r="F1427" s="26" t="n"/>
      <c r="G1427" s="26" t="n"/>
      <c r="H1427" s="26" t="n">
        <v>560</v>
      </c>
      <c r="I1427" s="26" t="n"/>
      <c r="J1427" s="19" t="n">
        <v>0</v>
      </c>
      <c r="K1427" s="37" t="n">
        <v>0.065</v>
      </c>
    </row>
    <row r="1428">
      <c r="A1428" s="34" t="inlineStr">
        <is>
          <t>AGA SPK-tilskudd</t>
        </is>
      </c>
      <c r="B1428" s="34" t="inlineStr">
        <is>
          <t>Region Sør</t>
        </is>
      </c>
      <c r="C1428" s="34" t="inlineStr">
        <is>
          <t>Lågen ungdomshjem</t>
        </is>
      </c>
      <c r="D1428" s="18" t="n"/>
      <c r="E1428" s="18" t="n">
        <v>594</v>
      </c>
      <c r="F1428" s="18" t="n">
        <v>14455</v>
      </c>
      <c r="G1428" s="18" t="n">
        <v>10599</v>
      </c>
      <c r="H1428" s="18" t="n">
        <v>8847</v>
      </c>
      <c r="I1428" s="18" t="n">
        <v>9351</v>
      </c>
      <c r="J1428" s="19" t="n">
        <v>14610.9375</v>
      </c>
      <c r="K1428" s="35" t="n">
        <v>0.25</v>
      </c>
    </row>
    <row r="1429">
      <c r="A1429" s="36" t="inlineStr">
        <is>
          <t>AGA SPK-tilskudd</t>
        </is>
      </c>
      <c r="B1429" s="36" t="inlineStr">
        <is>
          <t>Region Sør</t>
        </is>
      </c>
      <c r="C1429" s="36" t="inlineStr">
        <is>
          <t>Lågen ungdomshjem</t>
        </is>
      </c>
      <c r="D1429" s="26" t="n"/>
      <c r="E1429" s="26" t="n"/>
      <c r="F1429" s="26" t="n">
        <v>10869</v>
      </c>
      <c r="G1429" s="26" t="n">
        <v>8548</v>
      </c>
      <c r="H1429" s="26" t="n">
        <v>7323</v>
      </c>
      <c r="I1429" s="26" t="n">
        <v>9999</v>
      </c>
      <c r="J1429" s="19" t="n">
        <v>11341.115775</v>
      </c>
      <c r="K1429" s="37" t="n">
        <v>0.065</v>
      </c>
    </row>
    <row r="1430">
      <c r="A1430" s="34" t="inlineStr">
        <is>
          <t>AGA SPK-tilskudd</t>
        </is>
      </c>
      <c r="B1430" s="34" t="inlineStr">
        <is>
          <t>Region Sør</t>
        </is>
      </c>
      <c r="C1430" s="34" t="inlineStr">
        <is>
          <t>Lågen ungdomshjem</t>
        </is>
      </c>
      <c r="D1430" s="18" t="n"/>
      <c r="E1430" s="18" t="n">
        <v>102</v>
      </c>
      <c r="F1430" s="18" t="n">
        <v>2454</v>
      </c>
      <c r="G1430" s="18" t="n">
        <v>1593</v>
      </c>
      <c r="H1430" s="18" t="n">
        <v>1332</v>
      </c>
      <c r="I1430" s="18" t="n">
        <v>1528</v>
      </c>
      <c r="J1430" s="19" t="n">
        <v>2387.5</v>
      </c>
      <c r="K1430" s="35" t="n">
        <v>0.25</v>
      </c>
    </row>
    <row r="1431">
      <c r="A1431" s="36" t="inlineStr">
        <is>
          <t>AGA SPK-tilskudd</t>
        </is>
      </c>
      <c r="B1431" s="36" t="inlineStr">
        <is>
          <t>Region Sør</t>
        </is>
      </c>
      <c r="C1431" s="36" t="inlineStr">
        <is>
          <t>Lågen ungdomshjem</t>
        </is>
      </c>
      <c r="D1431" s="26" t="n"/>
      <c r="E1431" s="26" t="n"/>
      <c r="F1431" s="26" t="n">
        <v>8436</v>
      </c>
      <c r="G1431" s="26" t="n"/>
      <c r="H1431" s="26" t="n"/>
      <c r="I1431" s="26" t="n"/>
      <c r="J1431" s="19" t="n">
        <v>0</v>
      </c>
      <c r="K1431" s="37" t="n">
        <v>0.065</v>
      </c>
    </row>
    <row r="1432">
      <c r="A1432" s="34" t="inlineStr">
        <is>
          <t>AGA SPK-tilskudd</t>
        </is>
      </c>
      <c r="B1432" s="34" t="inlineStr">
        <is>
          <t>Region Sør</t>
        </is>
      </c>
      <c r="C1432" s="34" t="inlineStr">
        <is>
          <t>Lågen ungdomshjem</t>
        </is>
      </c>
      <c r="D1432" s="18" t="n"/>
      <c r="E1432" s="18" t="n"/>
      <c r="F1432" s="18" t="n">
        <v>4680</v>
      </c>
      <c r="G1432" s="18" t="n">
        <v>7633</v>
      </c>
      <c r="H1432" s="18" t="n">
        <v>2850</v>
      </c>
      <c r="I1432" s="18" t="n">
        <v>1394</v>
      </c>
      <c r="J1432" s="19" t="n">
        <v>1581.10965</v>
      </c>
      <c r="K1432" s="35" t="n">
        <v>0.065</v>
      </c>
    </row>
    <row r="1433">
      <c r="A1433" s="36" t="inlineStr">
        <is>
          <t>AGA SPK-tilskudd</t>
        </is>
      </c>
      <c r="B1433" s="36" t="inlineStr">
        <is>
          <t>Region Sør</t>
        </is>
      </c>
      <c r="C1433" s="36" t="inlineStr">
        <is>
          <t>Lågen ungdomshjem</t>
        </is>
      </c>
      <c r="D1433" s="26" t="n"/>
      <c r="E1433" s="26" t="n"/>
      <c r="F1433" s="26" t="n">
        <v>1234</v>
      </c>
      <c r="G1433" s="26" t="n">
        <v>3410</v>
      </c>
      <c r="H1433" s="26" t="n">
        <v>778</v>
      </c>
      <c r="I1433" s="26" t="n">
        <v>1808</v>
      </c>
      <c r="J1433" s="19" t="n">
        <v>2050.6788</v>
      </c>
      <c r="K1433" s="37" t="n">
        <v>0.065</v>
      </c>
    </row>
    <row r="1434">
      <c r="A1434" s="34" t="inlineStr">
        <is>
          <t>AGA SPK-tilskudd</t>
        </is>
      </c>
      <c r="B1434" s="34" t="inlineStr">
        <is>
          <t>Region Sør</t>
        </is>
      </c>
      <c r="C1434" s="34" t="inlineStr">
        <is>
          <t>Lågen ungdomshjem</t>
        </is>
      </c>
      <c r="D1434" s="18" t="n"/>
      <c r="E1434" s="18" t="n"/>
      <c r="F1434" s="18" t="n"/>
      <c r="G1434" s="18" t="n"/>
      <c r="H1434" s="18" t="n">
        <v>8472</v>
      </c>
      <c r="I1434" s="18" t="n">
        <v>31073</v>
      </c>
      <c r="J1434" s="19" t="n">
        <v>35243.77342499999</v>
      </c>
      <c r="K1434" s="35" t="n">
        <v>0.065</v>
      </c>
    </row>
    <row r="1435">
      <c r="A1435" s="36" t="inlineStr">
        <is>
          <t>AGA SPK-tilskudd</t>
        </is>
      </c>
      <c r="B1435" s="36" t="inlineStr">
        <is>
          <t>Region Sør</t>
        </is>
      </c>
      <c r="C1435" s="36" t="inlineStr">
        <is>
          <t>Lågen ungdomshjem</t>
        </is>
      </c>
      <c r="D1435" s="26" t="n"/>
      <c r="E1435" s="26" t="n"/>
      <c r="F1435" s="26" t="n">
        <v>3595</v>
      </c>
      <c r="G1435" s="26" t="n"/>
      <c r="H1435" s="26" t="n">
        <v>1730</v>
      </c>
      <c r="I1435" s="26" t="n">
        <v>2877</v>
      </c>
      <c r="J1435" s="19" t="n">
        <v>3263.165324999999</v>
      </c>
      <c r="K1435" s="37" t="n">
        <v>0.065</v>
      </c>
    </row>
    <row r="1436">
      <c r="A1436" s="34" t="inlineStr">
        <is>
          <t>AGA SPK-tilskudd</t>
        </is>
      </c>
      <c r="B1436" s="34" t="inlineStr">
        <is>
          <t>Region Sør</t>
        </is>
      </c>
      <c r="C1436" s="34" t="inlineStr">
        <is>
          <t>Lågen ungdomshjem</t>
        </is>
      </c>
      <c r="D1436" s="18" t="n"/>
      <c r="E1436" s="18" t="n"/>
      <c r="F1436" s="18" t="n">
        <v>1184</v>
      </c>
      <c r="G1436" s="18" t="n">
        <v>3127</v>
      </c>
      <c r="H1436" s="18" t="n">
        <v>1363</v>
      </c>
      <c r="I1436" s="18" t="n">
        <v>1340</v>
      </c>
      <c r="J1436" s="19" t="n">
        <v>1519.8615</v>
      </c>
      <c r="K1436" s="35" t="n">
        <v>0.065</v>
      </c>
    </row>
    <row r="1437">
      <c r="A1437" s="36" t="inlineStr">
        <is>
          <t>AGA SPK-tilskudd</t>
        </is>
      </c>
      <c r="B1437" s="36" t="inlineStr">
        <is>
          <t>Region Sør</t>
        </is>
      </c>
      <c r="C1437" s="36" t="inlineStr">
        <is>
          <t>Lågen ungdomshjem</t>
        </is>
      </c>
      <c r="D1437" s="26" t="n"/>
      <c r="E1437" s="26" t="n"/>
      <c r="F1437" s="26" t="n">
        <v>4601</v>
      </c>
      <c r="G1437" s="26" t="n">
        <v>2413</v>
      </c>
      <c r="H1437" s="26" t="n">
        <v>343</v>
      </c>
      <c r="I1437" s="26" t="n">
        <v>-149</v>
      </c>
      <c r="J1437" s="19" t="n">
        <v>-168.999525</v>
      </c>
      <c r="K1437" s="37" t="n">
        <v>0.065</v>
      </c>
    </row>
    <row r="1438">
      <c r="A1438" s="34" t="inlineStr">
        <is>
          <t>AGA SPK-tilskudd</t>
        </is>
      </c>
      <c r="B1438" s="34" t="inlineStr">
        <is>
          <t>Region Sør</t>
        </is>
      </c>
      <c r="C1438" s="34" t="inlineStr">
        <is>
          <t>Lågen ungdomshjem</t>
        </is>
      </c>
      <c r="D1438" s="18" t="n"/>
      <c r="E1438" s="18" t="n"/>
      <c r="F1438" s="18" t="n">
        <v>-193702</v>
      </c>
      <c r="G1438" s="18" t="n">
        <v>-3119</v>
      </c>
      <c r="H1438" s="18" t="n">
        <v>-17517</v>
      </c>
      <c r="I1438" s="18" t="n"/>
      <c r="J1438" s="19" t="n">
        <v>0</v>
      </c>
      <c r="K1438" s="35" t="n">
        <v>0.065</v>
      </c>
    </row>
    <row r="1439">
      <c r="A1439" s="36" t="inlineStr">
        <is>
          <t>AGA SPK-tilskudd</t>
        </is>
      </c>
      <c r="B1439" s="36" t="inlineStr">
        <is>
          <t>Region Sør</t>
        </is>
      </c>
      <c r="C1439" s="36" t="inlineStr">
        <is>
          <t>MST 1</t>
        </is>
      </c>
      <c r="D1439" s="26" t="n"/>
      <c r="E1439" s="26" t="n"/>
      <c r="F1439" s="26" t="n">
        <v>5076</v>
      </c>
      <c r="G1439" s="26" t="n">
        <v>-5286</v>
      </c>
      <c r="H1439" s="26" t="n"/>
      <c r="I1439" s="26" t="n"/>
      <c r="J1439" s="19" t="n">
        <v>0</v>
      </c>
      <c r="K1439" s="37" t="n">
        <v>0.065</v>
      </c>
    </row>
    <row r="1440">
      <c r="A1440" s="34" t="inlineStr">
        <is>
          <t>AGA SPK-tilskudd</t>
        </is>
      </c>
      <c r="B1440" s="34" t="inlineStr">
        <is>
          <t>Region Sør</t>
        </is>
      </c>
      <c r="C1440" s="34" t="inlineStr">
        <is>
          <t>MST 1</t>
        </is>
      </c>
      <c r="D1440" s="18" t="n"/>
      <c r="E1440" s="18" t="n"/>
      <c r="F1440" s="18" t="n"/>
      <c r="G1440" s="18" t="n">
        <v>523</v>
      </c>
      <c r="H1440" s="18" t="n"/>
      <c r="I1440" s="18" t="n"/>
      <c r="J1440" s="19" t="n">
        <v>0</v>
      </c>
      <c r="K1440" s="35" t="n">
        <v>0.065</v>
      </c>
    </row>
    <row r="1441">
      <c r="A1441" s="36" t="inlineStr">
        <is>
          <t>AGA SPK-tilskudd</t>
        </is>
      </c>
      <c r="B1441" s="36" t="inlineStr">
        <is>
          <t>Region Sør</t>
        </is>
      </c>
      <c r="C1441" s="36" t="inlineStr">
        <is>
          <t>MST 2</t>
        </is>
      </c>
      <c r="D1441" s="26" t="n"/>
      <c r="E1441" s="26" t="n"/>
      <c r="F1441" s="26" t="n">
        <v>1381</v>
      </c>
      <c r="G1441" s="26" t="n"/>
      <c r="H1441" s="26" t="n"/>
      <c r="I1441" s="26" t="n"/>
      <c r="J1441" s="19" t="n">
        <v>0</v>
      </c>
      <c r="K1441" s="37" t="n">
        <v>0.065</v>
      </c>
    </row>
    <row r="1442">
      <c r="A1442" s="34" t="inlineStr">
        <is>
          <t>AGA SPK-tilskudd</t>
        </is>
      </c>
      <c r="B1442" s="34" t="inlineStr">
        <is>
          <t>Region Sør</t>
        </is>
      </c>
      <c r="C1442" s="34" t="inlineStr">
        <is>
          <t>MST 2</t>
        </is>
      </c>
      <c r="D1442" s="18" t="n"/>
      <c r="E1442" s="18" t="n"/>
      <c r="F1442" s="18" t="n">
        <v>4086</v>
      </c>
      <c r="G1442" s="18" t="n"/>
      <c r="H1442" s="18" t="n"/>
      <c r="I1442" s="18" t="n"/>
      <c r="J1442" s="19" t="n">
        <v>0</v>
      </c>
      <c r="K1442" s="35" t="n">
        <v>0.065</v>
      </c>
    </row>
    <row r="1443">
      <c r="A1443" s="36" t="inlineStr">
        <is>
          <t>AGA SPK-tilskudd</t>
        </is>
      </c>
      <c r="B1443" s="36" t="inlineStr">
        <is>
          <t>Region Sør</t>
        </is>
      </c>
      <c r="C1443" s="36" t="inlineStr">
        <is>
          <t>MST i Bufetat, region sør</t>
        </is>
      </c>
      <c r="D1443" s="26" t="n"/>
      <c r="E1443" s="26" t="n"/>
      <c r="F1443" s="26" t="n"/>
      <c r="G1443" s="26" t="n"/>
      <c r="H1443" s="26" t="n">
        <v>10</v>
      </c>
      <c r="I1443" s="26" t="n"/>
      <c r="J1443" s="19" t="n">
        <v>0</v>
      </c>
      <c r="K1443" s="37" t="n">
        <v>0.065</v>
      </c>
    </row>
    <row r="1444">
      <c r="A1444" s="34" t="inlineStr">
        <is>
          <t>AGA SPK-tilskudd</t>
        </is>
      </c>
      <c r="B1444" s="34" t="inlineStr">
        <is>
          <t>Region Sør</t>
        </is>
      </c>
      <c r="C1444" s="34" t="inlineStr">
        <is>
          <t>Mynten</t>
        </is>
      </c>
      <c r="D1444" s="18" t="n"/>
      <c r="E1444" s="18" t="n">
        <v>3312</v>
      </c>
      <c r="F1444" s="18" t="n">
        <v>145060</v>
      </c>
      <c r="G1444" s="18" t="n">
        <v>161605</v>
      </c>
      <c r="H1444" s="18" t="n">
        <v>156983</v>
      </c>
      <c r="I1444" s="18" t="n">
        <v>160225</v>
      </c>
      <c r="J1444" s="19" t="n">
        <v>250351.5625</v>
      </c>
      <c r="K1444" s="35" t="n">
        <v>0.25</v>
      </c>
    </row>
    <row r="1445">
      <c r="A1445" s="36" t="inlineStr">
        <is>
          <t>AGA SPK-tilskudd</t>
        </is>
      </c>
      <c r="B1445" s="36" t="inlineStr">
        <is>
          <t>Region Sør</t>
        </is>
      </c>
      <c r="C1445" s="36" t="inlineStr">
        <is>
          <t>Mynten</t>
        </is>
      </c>
      <c r="D1445" s="26" t="n"/>
      <c r="E1445" s="26" t="n"/>
      <c r="F1445" s="26" t="n">
        <v>164551</v>
      </c>
      <c r="G1445" s="26" t="n">
        <v>35041</v>
      </c>
      <c r="H1445" s="26" t="n">
        <v>162842</v>
      </c>
      <c r="I1445" s="26" t="n">
        <v>154650</v>
      </c>
      <c r="J1445" s="19" t="n">
        <v>175407.89625</v>
      </c>
      <c r="K1445" s="37" t="n">
        <v>0.065</v>
      </c>
    </row>
    <row r="1446">
      <c r="A1446" s="34" t="inlineStr">
        <is>
          <t>AGA SPK-tilskudd</t>
        </is>
      </c>
      <c r="B1446" s="34" t="inlineStr">
        <is>
          <t>Region Sør</t>
        </is>
      </c>
      <c r="C1446" s="34" t="inlineStr">
        <is>
          <t>Mynten</t>
        </is>
      </c>
      <c r="D1446" s="18" t="n"/>
      <c r="E1446" s="18" t="n"/>
      <c r="F1446" s="18" t="n">
        <v>31871</v>
      </c>
      <c r="G1446" s="18" t="n">
        <v>79258</v>
      </c>
      <c r="H1446" s="18" t="n">
        <v>36591</v>
      </c>
      <c r="I1446" s="18" t="n">
        <v>27847</v>
      </c>
      <c r="J1446" s="19" t="n">
        <v>31584.76357499999</v>
      </c>
      <c r="K1446" s="35" t="n">
        <v>0.065</v>
      </c>
    </row>
    <row r="1447">
      <c r="A1447" s="36" t="inlineStr">
        <is>
          <t>AGA SPK-tilskudd</t>
        </is>
      </c>
      <c r="B1447" s="36" t="inlineStr">
        <is>
          <t>Region Sør</t>
        </is>
      </c>
      <c r="C1447" s="36" t="inlineStr">
        <is>
          <t>Mynten</t>
        </is>
      </c>
      <c r="D1447" s="26" t="n"/>
      <c r="E1447" s="26" t="n">
        <v>1432</v>
      </c>
      <c r="F1447" s="26" t="n">
        <v>69121</v>
      </c>
      <c r="G1447" s="26" t="n">
        <v>82438</v>
      </c>
      <c r="H1447" s="26" t="n">
        <v>83811</v>
      </c>
      <c r="I1447" s="26" t="n">
        <v>101496</v>
      </c>
      <c r="J1447" s="19" t="n">
        <v>158587.5</v>
      </c>
      <c r="K1447" s="37" t="n">
        <v>0.25</v>
      </c>
    </row>
    <row r="1448">
      <c r="A1448" s="34" t="inlineStr">
        <is>
          <t>AGA SPK-tilskudd</t>
        </is>
      </c>
      <c r="B1448" s="34" t="inlineStr">
        <is>
          <t>Region Sør</t>
        </is>
      </c>
      <c r="C1448" s="34" t="inlineStr">
        <is>
          <t>Mynten</t>
        </is>
      </c>
      <c r="D1448" s="18" t="n"/>
      <c r="E1448" s="18" t="n"/>
      <c r="F1448" s="18" t="n"/>
      <c r="G1448" s="18" t="n"/>
      <c r="H1448" s="18" t="n">
        <v>7580</v>
      </c>
      <c r="I1448" s="18" t="n">
        <v>9387</v>
      </c>
      <c r="J1448" s="19" t="n">
        <v>10646.970075</v>
      </c>
      <c r="K1448" s="35" t="n">
        <v>0.065</v>
      </c>
    </row>
    <row r="1449">
      <c r="A1449" s="36" t="inlineStr">
        <is>
          <t>AGA SPK-tilskudd</t>
        </is>
      </c>
      <c r="B1449" s="36" t="inlineStr">
        <is>
          <t>Region Sør</t>
        </is>
      </c>
      <c r="C1449" s="36" t="inlineStr">
        <is>
          <t>Mynten</t>
        </is>
      </c>
      <c r="D1449" s="26" t="n"/>
      <c r="E1449" s="26" t="n"/>
      <c r="F1449" s="26" t="n">
        <v>10412</v>
      </c>
      <c r="G1449" s="26" t="n">
        <v>1233</v>
      </c>
      <c r="H1449" s="26" t="n">
        <v>3518</v>
      </c>
      <c r="I1449" s="26" t="n">
        <v>1673</v>
      </c>
      <c r="J1449" s="19" t="n">
        <v>1897.558425</v>
      </c>
      <c r="K1449" s="37" t="n">
        <v>0.065</v>
      </c>
    </row>
    <row r="1450">
      <c r="A1450" s="34" t="inlineStr">
        <is>
          <t>AGA SPK-tilskudd</t>
        </is>
      </c>
      <c r="B1450" s="34" t="inlineStr">
        <is>
          <t>Region Sør</t>
        </is>
      </c>
      <c r="C1450" s="34" t="inlineStr">
        <is>
          <t>Mynten</t>
        </is>
      </c>
      <c r="D1450" s="18" t="n"/>
      <c r="E1450" s="18" t="n"/>
      <c r="F1450" s="18" t="n">
        <v>8753</v>
      </c>
      <c r="G1450" s="18" t="n">
        <v>11784</v>
      </c>
      <c r="H1450" s="18" t="n">
        <v>4809</v>
      </c>
      <c r="I1450" s="18" t="n">
        <v>4633</v>
      </c>
      <c r="J1450" s="19" t="n">
        <v>5254.864424999999</v>
      </c>
      <c r="K1450" s="35" t="n">
        <v>0.065</v>
      </c>
    </row>
    <row r="1451">
      <c r="A1451" s="36" t="inlineStr">
        <is>
          <t>AGA SPK-tilskudd</t>
        </is>
      </c>
      <c r="B1451" s="36" t="inlineStr">
        <is>
          <t>Region Sør</t>
        </is>
      </c>
      <c r="C1451" s="36" t="inlineStr">
        <is>
          <t>Mynten</t>
        </is>
      </c>
      <c r="D1451" s="26" t="n"/>
      <c r="E1451" s="26" t="n"/>
      <c r="F1451" s="26" t="n">
        <v>7206</v>
      </c>
      <c r="G1451" s="26" t="n">
        <v>33441</v>
      </c>
      <c r="H1451" s="26" t="n">
        <v>7897</v>
      </c>
      <c r="I1451" s="26" t="n">
        <v>900</v>
      </c>
      <c r="J1451" s="19" t="n">
        <v>1020.8025</v>
      </c>
      <c r="K1451" s="37" t="n">
        <v>0.065</v>
      </c>
    </row>
    <row r="1452">
      <c r="A1452" s="34" t="inlineStr">
        <is>
          <t>AGA SPK-tilskudd</t>
        </is>
      </c>
      <c r="B1452" s="34" t="inlineStr">
        <is>
          <t>Region Sør</t>
        </is>
      </c>
      <c r="C1452" s="34" t="inlineStr">
        <is>
          <t>Mynten</t>
        </is>
      </c>
      <c r="D1452" s="18" t="n"/>
      <c r="E1452" s="18" t="n"/>
      <c r="F1452" s="18" t="n">
        <v>2385</v>
      </c>
      <c r="G1452" s="18" t="n">
        <v>4656</v>
      </c>
      <c r="H1452" s="18" t="n">
        <v>2012</v>
      </c>
      <c r="I1452" s="18" t="n">
        <v>3919</v>
      </c>
      <c r="J1452" s="19" t="n">
        <v>4445.027775</v>
      </c>
      <c r="K1452" s="35" t="n">
        <v>0.065</v>
      </c>
    </row>
    <row r="1453">
      <c r="A1453" s="36" t="inlineStr">
        <is>
          <t>AGA SPK-tilskudd</t>
        </is>
      </c>
      <c r="B1453" s="36" t="inlineStr">
        <is>
          <t>Region Sør</t>
        </is>
      </c>
      <c r="C1453" s="36" t="inlineStr">
        <is>
          <t>Mynten</t>
        </is>
      </c>
      <c r="D1453" s="26" t="n"/>
      <c r="E1453" s="26" t="n"/>
      <c r="F1453" s="26" t="n">
        <v>3923</v>
      </c>
      <c r="G1453" s="26" t="n">
        <v>4077</v>
      </c>
      <c r="H1453" s="26" t="n">
        <v>2721</v>
      </c>
      <c r="I1453" s="26" t="n">
        <v>2891</v>
      </c>
      <c r="J1453" s="19" t="n">
        <v>3279.044475</v>
      </c>
      <c r="K1453" s="37" t="n">
        <v>0.065</v>
      </c>
    </row>
    <row r="1454">
      <c r="A1454" s="34" t="inlineStr">
        <is>
          <t>AGA SPK-tilskudd</t>
        </is>
      </c>
      <c r="B1454" s="34" t="inlineStr">
        <is>
          <t>Region Sør</t>
        </is>
      </c>
      <c r="C1454" s="34" t="inlineStr">
        <is>
          <t>Mynten</t>
        </is>
      </c>
      <c r="D1454" s="18" t="n"/>
      <c r="E1454" s="18" t="n"/>
      <c r="F1454" s="18" t="n">
        <v>2580</v>
      </c>
      <c r="G1454" s="18" t="n"/>
      <c r="H1454" s="18" t="n"/>
      <c r="I1454" s="18" t="n"/>
      <c r="J1454" s="19" t="n">
        <v>0</v>
      </c>
      <c r="K1454" s="35" t="n">
        <v>0.065</v>
      </c>
    </row>
    <row r="1455">
      <c r="A1455" s="36" t="inlineStr">
        <is>
          <t>AGA SPK-tilskudd</t>
        </is>
      </c>
      <c r="B1455" s="36" t="inlineStr">
        <is>
          <t>Region Sør</t>
        </is>
      </c>
      <c r="C1455" s="36" t="inlineStr">
        <is>
          <t>Mynten</t>
        </is>
      </c>
      <c r="D1455" s="26" t="n"/>
      <c r="E1455" s="26" t="n">
        <v>-100</v>
      </c>
      <c r="F1455" s="26" t="n">
        <v>10532</v>
      </c>
      <c r="G1455" s="26" t="n">
        <v>23778</v>
      </c>
      <c r="H1455" s="26" t="n">
        <v>25606</v>
      </c>
      <c r="I1455" s="26" t="n">
        <v>22107</v>
      </c>
      <c r="J1455" s="19" t="n">
        <v>25074.31207499999</v>
      </c>
      <c r="K1455" s="37" t="n">
        <v>0.065</v>
      </c>
    </row>
    <row r="1456">
      <c r="A1456" s="34" t="inlineStr">
        <is>
          <t>AGA SPK-tilskudd</t>
        </is>
      </c>
      <c r="B1456" s="34" t="inlineStr">
        <is>
          <t>Region Sør</t>
        </is>
      </c>
      <c r="C1456" s="34" t="inlineStr">
        <is>
          <t>Mynten</t>
        </is>
      </c>
      <c r="D1456" s="18" t="n"/>
      <c r="E1456" s="18" t="n"/>
      <c r="F1456" s="18" t="n">
        <v>-21200</v>
      </c>
      <c r="G1456" s="18" t="n">
        <v>-164101</v>
      </c>
      <c r="H1456" s="18" t="n"/>
      <c r="I1456" s="18" t="n"/>
      <c r="J1456" s="19" t="n">
        <v>0</v>
      </c>
      <c r="K1456" s="35" t="n">
        <v>0.065</v>
      </c>
    </row>
    <row r="1457">
      <c r="A1457" s="36" t="inlineStr">
        <is>
          <t>AGA SPK-tilskudd</t>
        </is>
      </c>
      <c r="B1457" s="36" t="inlineStr">
        <is>
          <t>Region Sør</t>
        </is>
      </c>
      <c r="C1457" s="36" t="inlineStr">
        <is>
          <t>Mynten</t>
        </is>
      </c>
      <c r="D1457" s="26" t="n"/>
      <c r="E1457" s="26" t="n"/>
      <c r="F1457" s="26" t="n">
        <v>-4815</v>
      </c>
      <c r="G1457" s="26" t="n"/>
      <c r="H1457" s="26" t="n"/>
      <c r="I1457" s="26" t="n"/>
      <c r="J1457" s="19" t="n">
        <v>0</v>
      </c>
      <c r="K1457" s="37" t="n">
        <v>0.065</v>
      </c>
    </row>
    <row r="1458">
      <c r="A1458" s="34" t="inlineStr">
        <is>
          <t>AGA SPK-tilskudd</t>
        </is>
      </c>
      <c r="B1458" s="34" t="inlineStr">
        <is>
          <t>Region Sør</t>
        </is>
      </c>
      <c r="C1458" s="34" t="inlineStr">
        <is>
          <t>Mynten</t>
        </is>
      </c>
      <c r="D1458" s="18" t="n"/>
      <c r="E1458" s="18" t="n"/>
      <c r="F1458" s="18" t="n">
        <v>-121766</v>
      </c>
      <c r="G1458" s="18" t="n">
        <v>-898431</v>
      </c>
      <c r="H1458" s="18" t="n">
        <v>-164047</v>
      </c>
      <c r="I1458" s="18" t="n">
        <v>-642011</v>
      </c>
      <c r="J1458" s="19" t="n">
        <v>-728184.9264749999</v>
      </c>
      <c r="K1458" s="35" t="n">
        <v>0.065</v>
      </c>
    </row>
    <row r="1459">
      <c r="A1459" s="36" t="inlineStr">
        <is>
          <t>AGA SPK-tilskudd</t>
        </is>
      </c>
      <c r="B1459" s="36" t="inlineStr">
        <is>
          <t>Region Sør</t>
        </is>
      </c>
      <c r="C1459" s="36" t="inlineStr">
        <is>
          <t>Mynten</t>
        </is>
      </c>
      <c r="D1459" s="26" t="n"/>
      <c r="E1459" s="26" t="n"/>
      <c r="F1459" s="26" t="n">
        <v>-1524479</v>
      </c>
      <c r="G1459" s="26" t="n">
        <v>-743447</v>
      </c>
      <c r="H1459" s="26" t="n">
        <v>-440735</v>
      </c>
      <c r="I1459" s="26" t="n">
        <v>-1903085</v>
      </c>
      <c r="J1459" s="19" t="n">
        <v>-2158526.584125</v>
      </c>
      <c r="K1459" s="37" t="n">
        <v>0.065</v>
      </c>
    </row>
    <row r="1460">
      <c r="A1460" s="34" t="inlineStr">
        <is>
          <t>AGA SPK-tilskudd</t>
        </is>
      </c>
      <c r="B1460" s="34" t="inlineStr">
        <is>
          <t>Region Sør</t>
        </is>
      </c>
      <c r="C1460" s="34" t="inlineStr">
        <is>
          <t>Nye Toppen</t>
        </is>
      </c>
      <c r="D1460" s="18" t="n">
        <v>188494</v>
      </c>
      <c r="E1460" s="18" t="n">
        <v>163476</v>
      </c>
      <c r="F1460" s="18" t="n">
        <v>138988</v>
      </c>
      <c r="G1460" s="18" t="n">
        <v>187549</v>
      </c>
      <c r="H1460" s="18" t="n">
        <v>222155</v>
      </c>
      <c r="I1460" s="18" t="n">
        <v>213097</v>
      </c>
      <c r="J1460" s="19" t="n">
        <v>223815.035213554</v>
      </c>
      <c r="K1460" s="35" t="n">
        <v>0.02483974804117239</v>
      </c>
    </row>
    <row r="1461">
      <c r="A1461" s="36" t="inlineStr">
        <is>
          <t>AGA SPK-tilskudd</t>
        </is>
      </c>
      <c r="B1461" s="36" t="inlineStr">
        <is>
          <t>Region Sør</t>
        </is>
      </c>
      <c r="C1461" s="36" t="inlineStr">
        <is>
          <t>Nye Toppen</t>
        </is>
      </c>
      <c r="D1461" s="26" t="n">
        <v>126417</v>
      </c>
      <c r="E1461" s="26" t="n">
        <v>15643</v>
      </c>
      <c r="F1461" s="26" t="n">
        <v>32995</v>
      </c>
      <c r="G1461" s="26" t="n">
        <v>311220</v>
      </c>
      <c r="H1461" s="26" t="n">
        <v>203066</v>
      </c>
      <c r="I1461" s="26" t="n">
        <v>91464</v>
      </c>
      <c r="J1461" s="19" t="n">
        <v>80357.80673654433</v>
      </c>
      <c r="K1461" s="37" t="n">
        <v>-0.06267771598099325</v>
      </c>
    </row>
    <row r="1462">
      <c r="A1462" s="34" t="inlineStr">
        <is>
          <t>AGA SPK-tilskudd</t>
        </is>
      </c>
      <c r="B1462" s="34" t="inlineStr">
        <is>
          <t>Region Sør</t>
        </is>
      </c>
      <c r="C1462" s="34" t="inlineStr">
        <is>
          <t>Nye Toppen</t>
        </is>
      </c>
      <c r="D1462" s="18" t="n">
        <v>10799</v>
      </c>
      <c r="E1462" s="18" t="n">
        <v>4776</v>
      </c>
      <c r="F1462" s="18" t="n">
        <v>56644</v>
      </c>
      <c r="G1462" s="18" t="n">
        <v>37287</v>
      </c>
      <c r="H1462" s="18" t="n">
        <v>70748</v>
      </c>
      <c r="I1462" s="18" t="n">
        <v>27327</v>
      </c>
      <c r="J1462" s="19" t="n">
        <v>39616.42873620813</v>
      </c>
      <c r="K1462" s="35" t="n">
        <v>0.2040421293585413</v>
      </c>
    </row>
    <row r="1463">
      <c r="A1463" s="36" t="inlineStr">
        <is>
          <t>AGA SPK-tilskudd</t>
        </is>
      </c>
      <c r="B1463" s="36" t="inlineStr">
        <is>
          <t>Region Sør</t>
        </is>
      </c>
      <c r="C1463" s="36" t="inlineStr">
        <is>
          <t>Nye Toppen</t>
        </is>
      </c>
      <c r="D1463" s="26" t="n">
        <v>54300</v>
      </c>
      <c r="E1463" s="26" t="n">
        <v>46994</v>
      </c>
      <c r="F1463" s="26" t="n">
        <v>46360</v>
      </c>
      <c r="G1463" s="26" t="n">
        <v>66925</v>
      </c>
      <c r="H1463" s="26" t="n">
        <v>82140</v>
      </c>
      <c r="I1463" s="26" t="n">
        <v>96882</v>
      </c>
      <c r="J1463" s="19" t="n">
        <v>122129.4502232234</v>
      </c>
      <c r="K1463" s="37" t="n">
        <v>0.1227644501682188</v>
      </c>
    </row>
    <row r="1464">
      <c r="A1464" s="34" t="inlineStr">
        <is>
          <t>AGA SPK-tilskudd</t>
        </is>
      </c>
      <c r="B1464" s="34" t="inlineStr">
        <is>
          <t>Region Sør</t>
        </is>
      </c>
      <c r="C1464" s="34" t="inlineStr">
        <is>
          <t>Nye Toppen</t>
        </is>
      </c>
      <c r="D1464" s="18" t="n">
        <v>1425</v>
      </c>
      <c r="E1464" s="18" t="n"/>
      <c r="F1464" s="18" t="n"/>
      <c r="G1464" s="18" t="n">
        <v>1072</v>
      </c>
      <c r="H1464" s="18" t="n">
        <v>8400</v>
      </c>
      <c r="I1464" s="18" t="n">
        <v>16895</v>
      </c>
      <c r="J1464" s="19" t="n">
        <v>26398.4375</v>
      </c>
      <c r="K1464" s="35" t="n">
        <v>0.25</v>
      </c>
    </row>
    <row r="1465">
      <c r="A1465" s="36" t="inlineStr">
        <is>
          <t>AGA SPK-tilskudd</t>
        </is>
      </c>
      <c r="B1465" s="36" t="inlineStr">
        <is>
          <t>Region Sør</t>
        </is>
      </c>
      <c r="C1465" s="36" t="inlineStr">
        <is>
          <t>Nye Toppen</t>
        </is>
      </c>
      <c r="D1465" s="26" t="n">
        <v>4284</v>
      </c>
      <c r="E1465" s="26" t="n">
        <v>9336</v>
      </c>
      <c r="F1465" s="26" t="n">
        <v>17036</v>
      </c>
      <c r="G1465" s="26" t="n">
        <v>5677</v>
      </c>
      <c r="H1465" s="26" t="n">
        <v>10619</v>
      </c>
      <c r="I1465" s="26" t="n">
        <v>29379</v>
      </c>
      <c r="J1465" s="19" t="n">
        <v>45904.6875</v>
      </c>
      <c r="K1465" s="37" t="n">
        <v>0.25</v>
      </c>
    </row>
    <row r="1466">
      <c r="A1466" s="34" t="inlineStr">
        <is>
          <t>AGA SPK-tilskudd</t>
        </is>
      </c>
      <c r="B1466" s="34" t="inlineStr">
        <is>
          <t>Region Sør</t>
        </is>
      </c>
      <c r="C1466" s="34" t="inlineStr">
        <is>
          <t>Nye Toppen</t>
        </is>
      </c>
      <c r="D1466" s="18" t="n">
        <v>200</v>
      </c>
      <c r="E1466" s="18" t="n"/>
      <c r="F1466" s="18" t="n">
        <v>3130</v>
      </c>
      <c r="G1466" s="18" t="n">
        <v>1746</v>
      </c>
      <c r="H1466" s="18" t="n">
        <v>5506</v>
      </c>
      <c r="I1466" s="18" t="n">
        <v>7039</v>
      </c>
      <c r="J1466" s="19" t="n">
        <v>10998.4375</v>
      </c>
      <c r="K1466" s="35" t="n">
        <v>0.25</v>
      </c>
    </row>
    <row r="1467">
      <c r="A1467" s="36" t="inlineStr">
        <is>
          <t>AGA SPK-tilskudd</t>
        </is>
      </c>
      <c r="B1467" s="36" t="inlineStr">
        <is>
          <t>Region Sør</t>
        </is>
      </c>
      <c r="C1467" s="36" t="inlineStr">
        <is>
          <t>Nye Toppen</t>
        </is>
      </c>
      <c r="D1467" s="26" t="n">
        <v>3276</v>
      </c>
      <c r="E1467" s="26" t="n">
        <v>2126</v>
      </c>
      <c r="F1467" s="26" t="n">
        <v>3879</v>
      </c>
      <c r="G1467" s="26" t="n">
        <v>2332</v>
      </c>
      <c r="H1467" s="26" t="n"/>
      <c r="I1467" s="26" t="n"/>
      <c r="J1467" s="19" t="n">
        <v>0</v>
      </c>
      <c r="K1467" s="37" t="n">
        <v>0.065</v>
      </c>
    </row>
    <row r="1468">
      <c r="A1468" s="34" t="inlineStr">
        <is>
          <t>AGA SPK-tilskudd</t>
        </is>
      </c>
      <c r="B1468" s="34" t="inlineStr">
        <is>
          <t>Region Sør</t>
        </is>
      </c>
      <c r="C1468" s="34" t="inlineStr">
        <is>
          <t>Nye Toppen</t>
        </is>
      </c>
      <c r="D1468" s="18" t="n">
        <v>9926</v>
      </c>
      <c r="E1468" s="18" t="n">
        <v>11737</v>
      </c>
      <c r="F1468" s="18" t="n">
        <v>9780</v>
      </c>
      <c r="G1468" s="18" t="n">
        <v>15406</v>
      </c>
      <c r="H1468" s="18" t="n">
        <v>17782</v>
      </c>
      <c r="I1468" s="18" t="n">
        <v>6175</v>
      </c>
      <c r="J1468" s="19" t="n">
        <v>5107.19027498249</v>
      </c>
      <c r="K1468" s="35" t="n">
        <v>-0.09056316977191758</v>
      </c>
    </row>
    <row r="1469">
      <c r="A1469" s="36" t="inlineStr">
        <is>
          <t>AGA SPK-tilskudd</t>
        </is>
      </c>
      <c r="B1469" s="36" t="inlineStr">
        <is>
          <t>Region Sør</t>
        </is>
      </c>
      <c r="C1469" s="36" t="inlineStr">
        <is>
          <t>Nye Toppen</t>
        </is>
      </c>
      <c r="D1469" s="26" t="n">
        <v>3579</v>
      </c>
      <c r="E1469" s="26" t="n">
        <v>1406</v>
      </c>
      <c r="F1469" s="26" t="n">
        <v>3044</v>
      </c>
      <c r="G1469" s="26" t="n">
        <v>1889</v>
      </c>
      <c r="H1469" s="26" t="n">
        <v>6927</v>
      </c>
      <c r="I1469" s="26" t="n">
        <v>14490</v>
      </c>
      <c r="J1469" s="19" t="n">
        <v>22640.625</v>
      </c>
      <c r="K1469" s="37" t="n">
        <v>0.25</v>
      </c>
    </row>
    <row r="1470">
      <c r="A1470" s="34" t="inlineStr">
        <is>
          <t>AGA SPK-tilskudd</t>
        </is>
      </c>
      <c r="B1470" s="34" t="inlineStr">
        <is>
          <t>Region Sør</t>
        </is>
      </c>
      <c r="C1470" s="34" t="inlineStr">
        <is>
          <t>Nye Toppen</t>
        </is>
      </c>
      <c r="D1470" s="18" t="n"/>
      <c r="E1470" s="18" t="n">
        <v>4040</v>
      </c>
      <c r="F1470" s="18" t="n"/>
      <c r="G1470" s="18" t="n"/>
      <c r="H1470" s="18" t="n">
        <v>16510</v>
      </c>
      <c r="I1470" s="18" t="n"/>
      <c r="J1470" s="19" t="n">
        <v>0</v>
      </c>
      <c r="K1470" s="35" t="n">
        <v>0.065</v>
      </c>
    </row>
    <row r="1471">
      <c r="A1471" s="36" t="inlineStr">
        <is>
          <t>AGA SPK-tilskudd</t>
        </is>
      </c>
      <c r="B1471" s="36" t="inlineStr">
        <is>
          <t>Region Sør</t>
        </is>
      </c>
      <c r="C1471" s="36" t="inlineStr">
        <is>
          <t>Nye Toppen</t>
        </is>
      </c>
      <c r="D1471" s="26" t="n"/>
      <c r="E1471" s="26" t="n"/>
      <c r="F1471" s="26" t="n"/>
      <c r="G1471" s="26" t="n">
        <v>798</v>
      </c>
      <c r="H1471" s="26" t="n"/>
      <c r="I1471" s="26" t="n"/>
      <c r="J1471" s="19" t="n">
        <v>0</v>
      </c>
      <c r="K1471" s="37" t="n">
        <v>0.065</v>
      </c>
    </row>
    <row r="1472">
      <c r="A1472" s="34" t="inlineStr">
        <is>
          <t>AGA SPK-tilskudd</t>
        </is>
      </c>
      <c r="B1472" s="34" t="inlineStr">
        <is>
          <t>Region Sør</t>
        </is>
      </c>
      <c r="C1472" s="34" t="inlineStr">
        <is>
          <t>Nye Toppen</t>
        </is>
      </c>
      <c r="D1472" s="18" t="n">
        <v>-7003</v>
      </c>
      <c r="E1472" s="18" t="n">
        <v>977</v>
      </c>
      <c r="F1472" s="18" t="n">
        <v>-3115</v>
      </c>
      <c r="G1472" s="18" t="n">
        <v>41216</v>
      </c>
      <c r="H1472" s="18" t="n">
        <v>23254</v>
      </c>
      <c r="I1472" s="18" t="n">
        <v>-598</v>
      </c>
      <c r="J1472" s="19" t="n">
        <v>-678.2665499999999</v>
      </c>
      <c r="K1472" s="35" t="n">
        <v>0.065</v>
      </c>
    </row>
    <row r="1473">
      <c r="A1473" s="36" t="inlineStr">
        <is>
          <t>AGA SPK-tilskudd</t>
        </is>
      </c>
      <c r="B1473" s="36" t="inlineStr">
        <is>
          <t>Region Sør</t>
        </is>
      </c>
      <c r="C1473" s="36" t="inlineStr">
        <is>
          <t>Nye Toppen</t>
        </is>
      </c>
      <c r="D1473" s="26" t="n"/>
      <c r="E1473" s="26" t="n"/>
      <c r="F1473" s="26" t="n"/>
      <c r="G1473" s="26" t="n"/>
      <c r="H1473" s="26" t="n"/>
      <c r="I1473" s="26" t="n">
        <v>-15320</v>
      </c>
      <c r="J1473" s="19" t="n">
        <v>-17376.327</v>
      </c>
      <c r="K1473" s="37" t="n">
        <v>0.065</v>
      </c>
    </row>
    <row r="1474">
      <c r="A1474" s="34" t="inlineStr">
        <is>
          <t>AGA SPK-tilskudd</t>
        </is>
      </c>
      <c r="B1474" s="34" t="inlineStr">
        <is>
          <t>Region Sør</t>
        </is>
      </c>
      <c r="C1474" s="34" t="inlineStr">
        <is>
          <t>Nye Toppen</t>
        </is>
      </c>
      <c r="D1474" s="18" t="n"/>
      <c r="E1474" s="18" t="n"/>
      <c r="F1474" s="18" t="n"/>
      <c r="G1474" s="18" t="n">
        <v>-8208</v>
      </c>
      <c r="H1474" s="18" t="n">
        <v>-8434</v>
      </c>
      <c r="I1474" s="18" t="n">
        <v>-12280</v>
      </c>
      <c r="J1474" s="19" t="n">
        <v>-13928.283</v>
      </c>
      <c r="K1474" s="35" t="n">
        <v>0.065</v>
      </c>
    </row>
    <row r="1475">
      <c r="A1475" s="36" t="inlineStr">
        <is>
          <t>AGA SPK-tilskudd</t>
        </is>
      </c>
      <c r="B1475" s="36" t="inlineStr">
        <is>
          <t>Region Sør</t>
        </is>
      </c>
      <c r="C1475" s="36" t="inlineStr">
        <is>
          <t>Nye Toppen</t>
        </is>
      </c>
      <c r="D1475" s="26" t="n">
        <v>-31492</v>
      </c>
      <c r="E1475" s="26" t="n"/>
      <c r="F1475" s="26" t="n"/>
      <c r="G1475" s="26" t="n">
        <v>-367765</v>
      </c>
      <c r="H1475" s="26" t="n">
        <v>-782961</v>
      </c>
      <c r="I1475" s="26" t="n">
        <v>-614783</v>
      </c>
      <c r="J1475" s="19" t="n">
        <v>-697302.2481749998</v>
      </c>
      <c r="K1475" s="37" t="n">
        <v>0.065</v>
      </c>
    </row>
    <row r="1476">
      <c r="A1476" s="34" t="inlineStr">
        <is>
          <t>AGA SPK-tilskudd</t>
        </is>
      </c>
      <c r="B1476" s="34" t="inlineStr">
        <is>
          <t>Region Sør</t>
        </is>
      </c>
      <c r="C1476" s="34" t="inlineStr">
        <is>
          <t>Nye Toppen</t>
        </is>
      </c>
      <c r="D1476" s="18" t="n">
        <v>-674477</v>
      </c>
      <c r="E1476" s="18" t="n">
        <v>-1267892</v>
      </c>
      <c r="F1476" s="18" t="n">
        <v>-788352</v>
      </c>
      <c r="G1476" s="18" t="n">
        <v>-1623751</v>
      </c>
      <c r="H1476" s="18" t="n">
        <v>-2113853</v>
      </c>
      <c r="I1476" s="18" t="n">
        <v>-2480830</v>
      </c>
      <c r="J1476" s="19" t="n">
        <v>-2813819.40675</v>
      </c>
      <c r="K1476" s="35" t="n">
        <v>0.065</v>
      </c>
    </row>
    <row r="1477">
      <c r="A1477" s="36" t="inlineStr">
        <is>
          <t>AGA SPK-tilskudd</t>
        </is>
      </c>
      <c r="B1477" s="36" t="inlineStr">
        <is>
          <t>Region Sør</t>
        </is>
      </c>
      <c r="C1477" s="36" t="inlineStr">
        <is>
          <t>Nyhuset</t>
        </is>
      </c>
      <c r="D1477" s="26" t="n"/>
      <c r="E1477" s="26" t="n"/>
      <c r="F1477" s="26" t="n"/>
      <c r="G1477" s="26" t="n">
        <v>168890</v>
      </c>
      <c r="H1477" s="26" t="n">
        <v>182098</v>
      </c>
      <c r="I1477" s="26" t="n">
        <v>189349</v>
      </c>
      <c r="J1477" s="19" t="n">
        <v>214764.369525</v>
      </c>
      <c r="K1477" s="37" t="n">
        <v>0.065</v>
      </c>
    </row>
    <row r="1478">
      <c r="A1478" s="34" t="inlineStr">
        <is>
          <t>AGA SPK-tilskudd</t>
        </is>
      </c>
      <c r="B1478" s="34" t="inlineStr">
        <is>
          <t>Region Sør</t>
        </is>
      </c>
      <c r="C1478" s="34" t="inlineStr">
        <is>
          <t>Nyhuset</t>
        </is>
      </c>
      <c r="D1478" s="18" t="n"/>
      <c r="E1478" s="18" t="n"/>
      <c r="F1478" s="18" t="n"/>
      <c r="G1478" s="18" t="n">
        <v>48383</v>
      </c>
      <c r="H1478" s="18" t="n"/>
      <c r="I1478" s="18" t="n"/>
      <c r="J1478" s="19" t="n">
        <v>0</v>
      </c>
      <c r="K1478" s="35" t="n">
        <v>0.065</v>
      </c>
    </row>
    <row r="1479">
      <c r="A1479" s="36" t="inlineStr">
        <is>
          <t>AGA SPK-tilskudd</t>
        </is>
      </c>
      <c r="B1479" s="36" t="inlineStr">
        <is>
          <t>Region Sør</t>
        </is>
      </c>
      <c r="C1479" s="36" t="inlineStr">
        <is>
          <t>Nyhuset</t>
        </is>
      </c>
      <c r="D1479" s="26" t="n"/>
      <c r="E1479" s="26" t="n"/>
      <c r="F1479" s="26" t="n"/>
      <c r="G1479" s="26" t="n">
        <v>152285</v>
      </c>
      <c r="H1479" s="26" t="n">
        <v>41289</v>
      </c>
      <c r="I1479" s="26" t="n">
        <v>20820</v>
      </c>
      <c r="J1479" s="19" t="n">
        <v>23614.5645</v>
      </c>
      <c r="K1479" s="37" t="n">
        <v>0.065</v>
      </c>
    </row>
    <row r="1480">
      <c r="A1480" s="34" t="inlineStr">
        <is>
          <t>AGA SPK-tilskudd</t>
        </is>
      </c>
      <c r="B1480" s="34" t="inlineStr">
        <is>
          <t>Region Sør</t>
        </is>
      </c>
      <c r="C1480" s="34" t="inlineStr">
        <is>
          <t>Nyhuset</t>
        </is>
      </c>
      <c r="D1480" s="18" t="n"/>
      <c r="E1480" s="18" t="n"/>
      <c r="F1480" s="18" t="n"/>
      <c r="G1480" s="18" t="n">
        <v>61662</v>
      </c>
      <c r="H1480" s="18" t="n">
        <v>67294</v>
      </c>
      <c r="I1480" s="18" t="n">
        <v>75545</v>
      </c>
      <c r="J1480" s="19" t="n">
        <v>85685.02762499999</v>
      </c>
      <c r="K1480" s="35" t="n">
        <v>0.065</v>
      </c>
    </row>
    <row r="1481">
      <c r="A1481" s="36" t="inlineStr">
        <is>
          <t>AGA SPK-tilskudd</t>
        </is>
      </c>
      <c r="B1481" s="36" t="inlineStr">
        <is>
          <t>Region Sør</t>
        </is>
      </c>
      <c r="C1481" s="36" t="inlineStr">
        <is>
          <t>Nyhuset</t>
        </is>
      </c>
      <c r="D1481" s="26" t="n"/>
      <c r="E1481" s="26" t="n"/>
      <c r="F1481" s="26" t="n"/>
      <c r="G1481" s="26" t="n">
        <v>54279</v>
      </c>
      <c r="H1481" s="26" t="n">
        <v>21952</v>
      </c>
      <c r="I1481" s="26" t="n">
        <v>25387</v>
      </c>
      <c r="J1481" s="19" t="n">
        <v>28794.570075</v>
      </c>
      <c r="K1481" s="37" t="n">
        <v>0.065</v>
      </c>
    </row>
    <row r="1482">
      <c r="A1482" s="34" t="inlineStr">
        <is>
          <t>AGA SPK-tilskudd</t>
        </is>
      </c>
      <c r="B1482" s="34" t="inlineStr">
        <is>
          <t>Region Sør</t>
        </is>
      </c>
      <c r="C1482" s="34" t="inlineStr">
        <is>
          <t>Nyhuset</t>
        </is>
      </c>
      <c r="D1482" s="18" t="n"/>
      <c r="E1482" s="18" t="n"/>
      <c r="F1482" s="18" t="n"/>
      <c r="G1482" s="18" t="n">
        <v>5662</v>
      </c>
      <c r="H1482" s="18" t="n">
        <v>12513</v>
      </c>
      <c r="I1482" s="18" t="n">
        <v>8327</v>
      </c>
      <c r="J1482" s="19" t="n">
        <v>9444.691574999999</v>
      </c>
      <c r="K1482" s="35" t="n">
        <v>0.065</v>
      </c>
    </row>
    <row r="1483">
      <c r="A1483" s="36" t="inlineStr">
        <is>
          <t>AGA SPK-tilskudd</t>
        </is>
      </c>
      <c r="B1483" s="36" t="inlineStr">
        <is>
          <t>Region Sør</t>
        </is>
      </c>
      <c r="C1483" s="36" t="inlineStr">
        <is>
          <t>Nyhuset</t>
        </is>
      </c>
      <c r="D1483" s="26" t="n"/>
      <c r="E1483" s="26" t="n"/>
      <c r="F1483" s="26" t="n"/>
      <c r="G1483" s="26" t="n"/>
      <c r="H1483" s="26" t="n"/>
      <c r="I1483" s="26" t="n">
        <v>5114</v>
      </c>
      <c r="J1483" s="19" t="n">
        <v>5800.426649999999</v>
      </c>
      <c r="K1483" s="37" t="n">
        <v>0.065</v>
      </c>
    </row>
    <row r="1484">
      <c r="A1484" s="34" t="inlineStr">
        <is>
          <t>AGA SPK-tilskudd</t>
        </is>
      </c>
      <c r="B1484" s="34" t="inlineStr">
        <is>
          <t>Region Sør</t>
        </is>
      </c>
      <c r="C1484" s="34" t="inlineStr">
        <is>
          <t>Nyhuset</t>
        </is>
      </c>
      <c r="D1484" s="18" t="n"/>
      <c r="E1484" s="18" t="n"/>
      <c r="F1484" s="18" t="n"/>
      <c r="G1484" s="18" t="n">
        <v>14834</v>
      </c>
      <c r="H1484" s="18" t="n">
        <v>12595</v>
      </c>
      <c r="I1484" s="18" t="n">
        <v>27299</v>
      </c>
      <c r="J1484" s="19" t="n">
        <v>30963.20827499999</v>
      </c>
      <c r="K1484" s="35" t="n">
        <v>0.065</v>
      </c>
    </row>
    <row r="1485">
      <c r="A1485" s="36" t="inlineStr">
        <is>
          <t>AGA SPK-tilskudd</t>
        </is>
      </c>
      <c r="B1485" s="36" t="inlineStr">
        <is>
          <t>Region Sør</t>
        </is>
      </c>
      <c r="C1485" s="36" t="inlineStr">
        <is>
          <t>Nyhuset</t>
        </is>
      </c>
      <c r="D1485" s="26" t="n"/>
      <c r="E1485" s="26" t="n"/>
      <c r="F1485" s="26" t="n"/>
      <c r="G1485" s="26" t="n">
        <v>17459</v>
      </c>
      <c r="H1485" s="26" t="n">
        <v>12564</v>
      </c>
      <c r="I1485" s="26" t="n">
        <v>16222</v>
      </c>
      <c r="J1485" s="19" t="n">
        <v>18399.39795</v>
      </c>
      <c r="K1485" s="37" t="n">
        <v>0.065</v>
      </c>
    </row>
    <row r="1486">
      <c r="A1486" s="34" t="inlineStr">
        <is>
          <t>AGA SPK-tilskudd</t>
        </is>
      </c>
      <c r="B1486" s="34" t="inlineStr">
        <is>
          <t>Region Sør</t>
        </is>
      </c>
      <c r="C1486" s="34" t="inlineStr">
        <is>
          <t>Nyhuset</t>
        </is>
      </c>
      <c r="D1486" s="18" t="n"/>
      <c r="E1486" s="18" t="n"/>
      <c r="F1486" s="18" t="n"/>
      <c r="G1486" s="18" t="n"/>
      <c r="H1486" s="18" t="n"/>
      <c r="I1486" s="18" t="n">
        <v>1750</v>
      </c>
      <c r="J1486" s="19" t="n">
        <v>1984.89375</v>
      </c>
      <c r="K1486" s="35" t="n">
        <v>0.065</v>
      </c>
    </row>
    <row r="1487">
      <c r="A1487" s="36" t="inlineStr">
        <is>
          <t>AGA SPK-tilskudd</t>
        </is>
      </c>
      <c r="B1487" s="36" t="inlineStr">
        <is>
          <t>Region Sør</t>
        </is>
      </c>
      <c r="C1487" s="36" t="inlineStr">
        <is>
          <t>Nyhuset</t>
        </is>
      </c>
      <c r="D1487" s="26" t="n"/>
      <c r="E1487" s="26" t="n"/>
      <c r="F1487" s="26" t="n"/>
      <c r="G1487" s="26" t="n">
        <v>15230</v>
      </c>
      <c r="H1487" s="26" t="n">
        <v>12515</v>
      </c>
      <c r="I1487" s="26" t="n">
        <v>6434</v>
      </c>
      <c r="J1487" s="19" t="n">
        <v>7297.603649999999</v>
      </c>
      <c r="K1487" s="37" t="n">
        <v>0.065</v>
      </c>
    </row>
    <row r="1488">
      <c r="A1488" s="34" t="inlineStr">
        <is>
          <t>AGA SPK-tilskudd</t>
        </is>
      </c>
      <c r="B1488" s="34" t="inlineStr">
        <is>
          <t>Region Sør</t>
        </is>
      </c>
      <c r="C1488" s="34" t="inlineStr">
        <is>
          <t>Nyhuset</t>
        </is>
      </c>
      <c r="D1488" s="18" t="n"/>
      <c r="E1488" s="18" t="n"/>
      <c r="F1488" s="18" t="n"/>
      <c r="G1488" s="18" t="n"/>
      <c r="H1488" s="18" t="n"/>
      <c r="I1488" s="18" t="n">
        <v>-5000</v>
      </c>
      <c r="J1488" s="19" t="n">
        <v>-5671.124999999999</v>
      </c>
      <c r="K1488" s="35" t="n">
        <v>0.065</v>
      </c>
    </row>
    <row r="1489">
      <c r="A1489" s="36" t="inlineStr">
        <is>
          <t>AGA SPK-tilskudd</t>
        </is>
      </c>
      <c r="B1489" s="36" t="inlineStr">
        <is>
          <t>Region Sør</t>
        </is>
      </c>
      <c r="C1489" s="36" t="inlineStr">
        <is>
          <t>Nyhuset</t>
        </is>
      </c>
      <c r="D1489" s="26" t="n"/>
      <c r="E1489" s="26" t="n"/>
      <c r="F1489" s="26" t="n"/>
      <c r="G1489" s="26" t="n">
        <v>-313406</v>
      </c>
      <c r="H1489" s="26" t="n">
        <v>-147672</v>
      </c>
      <c r="I1489" s="26" t="n">
        <v>-219978</v>
      </c>
      <c r="J1489" s="19" t="n">
        <v>-249504.54705</v>
      </c>
      <c r="K1489" s="37" t="n">
        <v>0.065</v>
      </c>
    </row>
    <row r="1490">
      <c r="A1490" s="34" t="inlineStr">
        <is>
          <t>AGA SPK-tilskudd</t>
        </is>
      </c>
      <c r="B1490" s="34" t="inlineStr">
        <is>
          <t>Region Sør</t>
        </is>
      </c>
      <c r="C1490" s="34" t="inlineStr">
        <is>
          <t>Nyhuset</t>
        </is>
      </c>
      <c r="D1490" s="18" t="n"/>
      <c r="E1490" s="18" t="n"/>
      <c r="F1490" s="18" t="n"/>
      <c r="G1490" s="18" t="n">
        <v>-813176</v>
      </c>
      <c r="H1490" s="18" t="n">
        <v>-939459</v>
      </c>
      <c r="I1490" s="18" t="n">
        <v>-713992</v>
      </c>
      <c r="J1490" s="19" t="n">
        <v>-809827.5761999999</v>
      </c>
      <c r="K1490" s="35" t="n">
        <v>0.065</v>
      </c>
    </row>
    <row r="1491">
      <c r="A1491" s="36" t="inlineStr">
        <is>
          <t>AGA SPK-tilskudd</t>
        </is>
      </c>
      <c r="B1491" s="36" t="inlineStr">
        <is>
          <t>Region Sør</t>
        </is>
      </c>
      <c r="C1491" s="36" t="inlineStr">
        <is>
          <t>Omsorg for ungdom</t>
        </is>
      </c>
      <c r="D1491" s="26" t="n">
        <v>16760</v>
      </c>
      <c r="E1491" s="26" t="n">
        <v>16</v>
      </c>
      <c r="F1491" s="26" t="n"/>
      <c r="G1491" s="26" t="n"/>
      <c r="H1491" s="26" t="n"/>
      <c r="I1491" s="26" t="n"/>
      <c r="J1491" s="19" t="n">
        <v>0</v>
      </c>
      <c r="K1491" s="37" t="n">
        <v>0.065</v>
      </c>
    </row>
    <row r="1492">
      <c r="A1492" s="34" t="inlineStr">
        <is>
          <t>AGA SPK-tilskudd</t>
        </is>
      </c>
      <c r="B1492" s="34" t="inlineStr">
        <is>
          <t>Region Sør</t>
        </is>
      </c>
      <c r="C1492" s="34" t="inlineStr">
        <is>
          <t>Omsorg for ungdom</t>
        </is>
      </c>
      <c r="D1492" s="18" t="n">
        <v>4411</v>
      </c>
      <c r="E1492" s="18" t="n"/>
      <c r="F1492" s="18" t="n"/>
      <c r="G1492" s="18" t="n"/>
      <c r="H1492" s="18" t="n"/>
      <c r="I1492" s="18" t="n"/>
      <c r="J1492" s="19" t="n">
        <v>0</v>
      </c>
      <c r="K1492" s="35" t="n">
        <v>0.065</v>
      </c>
    </row>
    <row r="1493">
      <c r="A1493" s="36" t="inlineStr">
        <is>
          <t>AGA SPK-tilskudd</t>
        </is>
      </c>
      <c r="B1493" s="36" t="inlineStr">
        <is>
          <t>Region Sør</t>
        </is>
      </c>
      <c r="C1493" s="36" t="inlineStr">
        <is>
          <t>Omsorg for ungdom</t>
        </is>
      </c>
      <c r="D1493" s="26" t="n">
        <v>30642</v>
      </c>
      <c r="E1493" s="26" t="n">
        <v>29635</v>
      </c>
      <c r="F1493" s="26" t="n">
        <v>5528</v>
      </c>
      <c r="G1493" s="26" t="n"/>
      <c r="H1493" s="26" t="n">
        <v>200</v>
      </c>
      <c r="I1493" s="26" t="n"/>
      <c r="J1493" s="19" t="n">
        <v>0</v>
      </c>
      <c r="K1493" s="37" t="n">
        <v>0.065</v>
      </c>
    </row>
    <row r="1494">
      <c r="A1494" s="34" t="inlineStr">
        <is>
          <t>AGA SPK-tilskudd</t>
        </is>
      </c>
      <c r="B1494" s="34" t="inlineStr">
        <is>
          <t>Region Sør</t>
        </is>
      </c>
      <c r="C1494" s="34" t="inlineStr">
        <is>
          <t>Omsorg for ungdom</t>
        </is>
      </c>
      <c r="D1494" s="18" t="n">
        <v>1700</v>
      </c>
      <c r="E1494" s="18" t="n"/>
      <c r="F1494" s="18" t="n"/>
      <c r="G1494" s="18" t="n"/>
      <c r="H1494" s="18" t="n"/>
      <c r="I1494" s="18" t="n"/>
      <c r="J1494" s="19" t="n">
        <v>0</v>
      </c>
      <c r="K1494" s="35" t="n">
        <v>0.065</v>
      </c>
    </row>
    <row r="1495">
      <c r="A1495" s="36" t="inlineStr">
        <is>
          <t>AGA SPK-tilskudd</t>
        </is>
      </c>
      <c r="B1495" s="36" t="inlineStr">
        <is>
          <t>Region Sør</t>
        </is>
      </c>
      <c r="C1495" s="36" t="inlineStr">
        <is>
          <t>Omsorg for ungdom</t>
        </is>
      </c>
      <c r="D1495" s="26" t="n">
        <v>59922</v>
      </c>
      <c r="E1495" s="26" t="n">
        <v>82678</v>
      </c>
      <c r="F1495" s="26" t="n">
        <v>15380</v>
      </c>
      <c r="G1495" s="26" t="n"/>
      <c r="H1495" s="26" t="n">
        <v>280</v>
      </c>
      <c r="I1495" s="26" t="n"/>
      <c r="J1495" s="19" t="n">
        <v>0</v>
      </c>
      <c r="K1495" s="37" t="n">
        <v>0.065</v>
      </c>
    </row>
    <row r="1496">
      <c r="A1496" s="34" t="inlineStr">
        <is>
          <t>AGA SPK-tilskudd</t>
        </is>
      </c>
      <c r="B1496" s="34" t="inlineStr">
        <is>
          <t>Region Sør</t>
        </is>
      </c>
      <c r="C1496" s="34" t="inlineStr">
        <is>
          <t>Omsorg for ungdom</t>
        </is>
      </c>
      <c r="D1496" s="18" t="n">
        <v>5978</v>
      </c>
      <c r="E1496" s="18" t="n">
        <v>13669</v>
      </c>
      <c r="F1496" s="18" t="n">
        <v>1782</v>
      </c>
      <c r="G1496" s="18" t="n"/>
      <c r="H1496" s="18" t="n"/>
      <c r="I1496" s="18" t="n"/>
      <c r="J1496" s="19" t="n">
        <v>0</v>
      </c>
      <c r="K1496" s="35" t="n">
        <v>0.065</v>
      </c>
    </row>
    <row r="1497">
      <c r="A1497" s="36" t="inlineStr">
        <is>
          <t>AGA SPK-tilskudd</t>
        </is>
      </c>
      <c r="B1497" s="36" t="inlineStr">
        <is>
          <t>Region Sør</t>
        </is>
      </c>
      <c r="C1497" s="36" t="inlineStr">
        <is>
          <t>Omsorg for ungdom</t>
        </is>
      </c>
      <c r="D1497" s="26" t="n">
        <v>10041</v>
      </c>
      <c r="E1497" s="26" t="n">
        <v>26377</v>
      </c>
      <c r="F1497" s="26" t="n">
        <v>2801</v>
      </c>
      <c r="G1497" s="26" t="n"/>
      <c r="H1497" s="26" t="n">
        <v>112</v>
      </c>
      <c r="I1497" s="26" t="n"/>
      <c r="J1497" s="19" t="n">
        <v>0</v>
      </c>
      <c r="K1497" s="37" t="n">
        <v>0.065</v>
      </c>
    </row>
    <row r="1498">
      <c r="A1498" s="34" t="inlineStr">
        <is>
          <t>AGA SPK-tilskudd</t>
        </is>
      </c>
      <c r="B1498" s="34" t="inlineStr">
        <is>
          <t>Region Sør</t>
        </is>
      </c>
      <c r="C1498" s="34" t="inlineStr">
        <is>
          <t>Omsorg for ungdom</t>
        </is>
      </c>
      <c r="D1498" s="18" t="n">
        <v>-131328</v>
      </c>
      <c r="E1498" s="18" t="n"/>
      <c r="F1498" s="18" t="n"/>
      <c r="G1498" s="18" t="n"/>
      <c r="H1498" s="18" t="n"/>
      <c r="I1498" s="18" t="n"/>
      <c r="J1498" s="19" t="n">
        <v>0</v>
      </c>
      <c r="K1498" s="35" t="n">
        <v>0.065</v>
      </c>
    </row>
    <row r="1499">
      <c r="A1499" s="36" t="inlineStr">
        <is>
          <t>AGA SPK-tilskudd</t>
        </is>
      </c>
      <c r="B1499" s="36" t="inlineStr">
        <is>
          <t>Region Sør</t>
        </is>
      </c>
      <c r="C1499" s="36" t="inlineStr">
        <is>
          <t>Prosjekt Care</t>
        </is>
      </c>
      <c r="D1499" s="26" t="n"/>
      <c r="E1499" s="26" t="n">
        <v>1155</v>
      </c>
      <c r="F1499" s="26" t="n"/>
      <c r="G1499" s="26" t="n"/>
      <c r="H1499" s="26" t="n"/>
      <c r="I1499" s="26" t="n"/>
      <c r="J1499" s="19" t="n">
        <v>0</v>
      </c>
      <c r="K1499" s="37" t="n">
        <v>0.065</v>
      </c>
    </row>
    <row r="1500">
      <c r="A1500" s="34" t="inlineStr">
        <is>
          <t>AGA SPK-tilskudd</t>
        </is>
      </c>
      <c r="B1500" s="34" t="inlineStr">
        <is>
          <t>Region Sør</t>
        </is>
      </c>
      <c r="C1500" s="34" t="inlineStr">
        <is>
          <t>Prosjekt Care</t>
        </is>
      </c>
      <c r="D1500" s="18" t="n"/>
      <c r="E1500" s="18" t="n">
        <v>123</v>
      </c>
      <c r="F1500" s="18" t="n"/>
      <c r="G1500" s="18" t="n"/>
      <c r="H1500" s="18" t="n"/>
      <c r="I1500" s="18" t="n"/>
      <c r="J1500" s="19" t="n">
        <v>0</v>
      </c>
      <c r="K1500" s="35" t="n">
        <v>0.065</v>
      </c>
    </row>
    <row r="1501">
      <c r="A1501" s="36" t="inlineStr">
        <is>
          <t>AGA SPK-tilskudd</t>
        </is>
      </c>
      <c r="B1501" s="36" t="inlineStr">
        <is>
          <t>Region Sør</t>
        </is>
      </c>
      <c r="C1501" s="36" t="inlineStr">
        <is>
          <t>Prosjekt Care</t>
        </is>
      </c>
      <c r="D1501" s="26" t="n"/>
      <c r="E1501" s="26" t="n">
        <v>-60</v>
      </c>
      <c r="F1501" s="26" t="n"/>
      <c r="G1501" s="26" t="n"/>
      <c r="H1501" s="26" t="n"/>
      <c r="I1501" s="26" t="n"/>
      <c r="J1501" s="19" t="n">
        <v>0</v>
      </c>
      <c r="K1501" s="37" t="n">
        <v>0.065</v>
      </c>
    </row>
    <row r="1502">
      <c r="A1502" s="34" t="inlineStr">
        <is>
          <t>AGA SPK-tilskudd</t>
        </is>
      </c>
      <c r="B1502" s="34" t="inlineStr">
        <is>
          <t>Region Sør</t>
        </is>
      </c>
      <c r="C1502" s="34" t="inlineStr">
        <is>
          <t>Psykologteam</t>
        </is>
      </c>
      <c r="D1502" s="18" t="n"/>
      <c r="E1502" s="18" t="n">
        <v>37466</v>
      </c>
      <c r="F1502" s="18" t="n">
        <v>48061</v>
      </c>
      <c r="G1502" s="18" t="n">
        <v>62753</v>
      </c>
      <c r="H1502" s="18" t="n">
        <v>70537</v>
      </c>
      <c r="I1502" s="18" t="n">
        <v>67713</v>
      </c>
      <c r="J1502" s="19" t="n">
        <v>91031.02205780346</v>
      </c>
      <c r="K1502" s="35" t="n">
        <v>0.1594677719207607</v>
      </c>
    </row>
    <row r="1503">
      <c r="A1503" s="36" t="inlineStr">
        <is>
          <t>AGA SPK-tilskudd</t>
        </is>
      </c>
      <c r="B1503" s="36" t="inlineStr">
        <is>
          <t>Region Sør</t>
        </is>
      </c>
      <c r="C1503" s="36" t="inlineStr">
        <is>
          <t>Psykologteam</t>
        </is>
      </c>
      <c r="D1503" s="26" t="n"/>
      <c r="E1503" s="26" t="n"/>
      <c r="F1503" s="26" t="n">
        <v>122526</v>
      </c>
      <c r="G1503" s="26" t="n">
        <v>107488</v>
      </c>
      <c r="H1503" s="26" t="n">
        <v>205454</v>
      </c>
      <c r="I1503" s="26" t="n">
        <v>134678</v>
      </c>
      <c r="J1503" s="19" t="n">
        <v>152755.15455</v>
      </c>
      <c r="K1503" s="37" t="n">
        <v>0.065</v>
      </c>
    </row>
    <row r="1504">
      <c r="A1504" s="34" t="inlineStr">
        <is>
          <t>AGA SPK-tilskudd</t>
        </is>
      </c>
      <c r="B1504" s="34" t="inlineStr">
        <is>
          <t>Region Sør</t>
        </is>
      </c>
      <c r="C1504" s="34" t="inlineStr">
        <is>
          <t>Psykologteam</t>
        </is>
      </c>
      <c r="D1504" s="18" t="n"/>
      <c r="E1504" s="18" t="n">
        <v>4397</v>
      </c>
      <c r="F1504" s="18" t="n">
        <v>5317</v>
      </c>
      <c r="G1504" s="18" t="n">
        <v>8337</v>
      </c>
      <c r="H1504" s="18" t="n">
        <v>10104</v>
      </c>
      <c r="I1504" s="18" t="n">
        <v>10380</v>
      </c>
      <c r="J1504" s="19" t="n">
        <v>15948.42489208728</v>
      </c>
      <c r="K1504" s="35" t="n">
        <v>0.2395390750993678</v>
      </c>
    </row>
    <row r="1505">
      <c r="A1505" s="36" t="inlineStr">
        <is>
          <t>AGA SPK-tilskudd</t>
        </is>
      </c>
      <c r="B1505" s="36" t="inlineStr">
        <is>
          <t>Region Sør</t>
        </is>
      </c>
      <c r="C1505" s="36" t="inlineStr">
        <is>
          <t>Psykologteam</t>
        </is>
      </c>
      <c r="D1505" s="26" t="n"/>
      <c r="E1505" s="26" t="n"/>
      <c r="F1505" s="26" t="n">
        <v>110443</v>
      </c>
      <c r="G1505" s="26" t="n">
        <v>129317</v>
      </c>
      <c r="H1505" s="26" t="n">
        <v>100179</v>
      </c>
      <c r="I1505" s="26" t="n">
        <v>111398</v>
      </c>
      <c r="J1505" s="19" t="n">
        <v>126350.39655</v>
      </c>
      <c r="K1505" s="37" t="n">
        <v>0.065</v>
      </c>
    </row>
    <row r="1506">
      <c r="A1506" s="34" t="inlineStr">
        <is>
          <t>AGA SPK-tilskudd</t>
        </is>
      </c>
      <c r="B1506" s="34" t="inlineStr">
        <is>
          <t>Region Sør</t>
        </is>
      </c>
      <c r="C1506" s="34" t="inlineStr">
        <is>
          <t>Psykologteam</t>
        </is>
      </c>
      <c r="D1506" s="18" t="n"/>
      <c r="E1506" s="18" t="n"/>
      <c r="F1506" s="18" t="n">
        <v>22837</v>
      </c>
      <c r="G1506" s="18" t="n">
        <v>19148</v>
      </c>
      <c r="H1506" s="18" t="n">
        <v>30855</v>
      </c>
      <c r="I1506" s="18" t="n">
        <v>29644</v>
      </c>
      <c r="J1506" s="19" t="n">
        <v>33622.9659</v>
      </c>
      <c r="K1506" s="35" t="n">
        <v>0.065</v>
      </c>
    </row>
    <row r="1507">
      <c r="A1507" s="36" t="inlineStr">
        <is>
          <t>AGA SPK-tilskudd</t>
        </is>
      </c>
      <c r="B1507" s="36" t="inlineStr">
        <is>
          <t>Region Sør</t>
        </is>
      </c>
      <c r="C1507" s="36" t="inlineStr">
        <is>
          <t>Psykologteam</t>
        </is>
      </c>
      <c r="D1507" s="26" t="n"/>
      <c r="E1507" s="26" t="n"/>
      <c r="F1507" s="26" t="n"/>
      <c r="G1507" s="26" t="n">
        <v>3970</v>
      </c>
      <c r="H1507" s="26" t="n">
        <v>6685</v>
      </c>
      <c r="I1507" s="26" t="n">
        <v>6809</v>
      </c>
      <c r="J1507" s="19" t="n">
        <v>7722.938024999999</v>
      </c>
      <c r="K1507" s="37" t="n">
        <v>0.065</v>
      </c>
    </row>
    <row r="1508">
      <c r="A1508" s="34" t="inlineStr">
        <is>
          <t>AGA SPK-tilskudd</t>
        </is>
      </c>
      <c r="B1508" s="34" t="inlineStr">
        <is>
          <t>Region Sør</t>
        </is>
      </c>
      <c r="C1508" s="34" t="inlineStr">
        <is>
          <t>Psykologteam</t>
        </is>
      </c>
      <c r="D1508" s="18" t="n"/>
      <c r="E1508" s="18" t="n"/>
      <c r="F1508" s="18" t="n"/>
      <c r="G1508" s="18" t="n">
        <v>1589</v>
      </c>
      <c r="H1508" s="18" t="n">
        <v>728</v>
      </c>
      <c r="I1508" s="18" t="n">
        <v>2552</v>
      </c>
      <c r="J1508" s="19" t="n">
        <v>2894.542199999999</v>
      </c>
      <c r="K1508" s="35" t="n">
        <v>0.065</v>
      </c>
    </row>
    <row r="1509">
      <c r="A1509" s="36" t="inlineStr">
        <is>
          <t>AGA SPK-tilskudd</t>
        </is>
      </c>
      <c r="B1509" s="36" t="inlineStr">
        <is>
          <t>Region Sør</t>
        </is>
      </c>
      <c r="C1509" s="36" t="inlineStr">
        <is>
          <t>Psykologteam</t>
        </is>
      </c>
      <c r="D1509" s="26" t="n"/>
      <c r="E1509" s="26" t="n"/>
      <c r="F1509" s="26" t="n">
        <v>29164</v>
      </c>
      <c r="G1509" s="26" t="n">
        <v>51157</v>
      </c>
      <c r="H1509" s="26" t="n">
        <v>52242</v>
      </c>
      <c r="I1509" s="26" t="n">
        <v>59273</v>
      </c>
      <c r="J1509" s="19" t="n">
        <v>67228.918425</v>
      </c>
      <c r="K1509" s="37" t="n">
        <v>0.065</v>
      </c>
    </row>
    <row r="1510">
      <c r="A1510" s="34" t="inlineStr">
        <is>
          <t>AGA SPK-tilskudd</t>
        </is>
      </c>
      <c r="B1510" s="34" t="inlineStr">
        <is>
          <t>Region Sør</t>
        </is>
      </c>
      <c r="C1510" s="34" t="inlineStr">
        <is>
          <t>Psykologteam</t>
        </is>
      </c>
      <c r="D1510" s="18" t="n"/>
      <c r="E1510" s="18" t="n"/>
      <c r="F1510" s="18" t="n"/>
      <c r="G1510" s="18" t="n"/>
      <c r="H1510" s="18" t="n"/>
      <c r="I1510" s="18" t="n">
        <v>75</v>
      </c>
      <c r="J1510" s="19" t="n">
        <v>85.06687499999998</v>
      </c>
      <c r="K1510" s="35" t="n">
        <v>0.065</v>
      </c>
    </row>
    <row r="1511">
      <c r="A1511" s="36" t="inlineStr">
        <is>
          <t>AGA SPK-tilskudd</t>
        </is>
      </c>
      <c r="B1511" s="36" t="inlineStr">
        <is>
          <t>Region Sør</t>
        </is>
      </c>
      <c r="C1511" s="36" t="inlineStr">
        <is>
          <t>Psykologteam</t>
        </is>
      </c>
      <c r="D1511" s="26" t="n"/>
      <c r="E1511" s="26" t="n">
        <v>-130984</v>
      </c>
      <c r="F1511" s="26" t="n">
        <v>-44441</v>
      </c>
      <c r="G1511" s="26" t="n"/>
      <c r="H1511" s="26" t="n">
        <v>-670565</v>
      </c>
      <c r="I1511" s="26" t="n">
        <v>-319423</v>
      </c>
      <c r="J1511" s="19" t="n">
        <v>-362297.552175</v>
      </c>
      <c r="K1511" s="37" t="n">
        <v>0.065</v>
      </c>
    </row>
    <row r="1512">
      <c r="A1512" s="34" t="inlineStr">
        <is>
          <t>AGA SPK-tilskudd</t>
        </is>
      </c>
      <c r="B1512" s="34" t="inlineStr">
        <is>
          <t>Region Sør</t>
        </is>
      </c>
      <c r="C1512" s="34" t="inlineStr">
        <is>
          <t>Psykologteam</t>
        </is>
      </c>
      <c r="D1512" s="18" t="n"/>
      <c r="E1512" s="18" t="n">
        <v>-50579</v>
      </c>
      <c r="F1512" s="18" t="n">
        <v>43815</v>
      </c>
      <c r="G1512" s="18" t="n">
        <v>-85607</v>
      </c>
      <c r="H1512" s="18" t="n">
        <v>-45628</v>
      </c>
      <c r="I1512" s="18" t="n">
        <v>-2450</v>
      </c>
      <c r="J1512" s="19" t="n">
        <v>-2778.85125</v>
      </c>
      <c r="K1512" s="35" t="n">
        <v>0.065</v>
      </c>
    </row>
    <row r="1513">
      <c r="A1513" s="36" t="inlineStr">
        <is>
          <t>AGA SPK-tilskudd</t>
        </is>
      </c>
      <c r="B1513" s="36" t="inlineStr">
        <is>
          <t>Region Sør</t>
        </is>
      </c>
      <c r="C1513" s="36" t="inlineStr">
        <is>
          <t>Regionale kostnader</t>
        </is>
      </c>
      <c r="D1513" s="26" t="n"/>
      <c r="E1513" s="26" t="n"/>
      <c r="F1513" s="26" t="n"/>
      <c r="G1513" s="26" t="n"/>
      <c r="H1513" s="26" t="n"/>
      <c r="I1513" s="26" t="n">
        <v>-55719</v>
      </c>
      <c r="J1513" s="19" t="n">
        <v>-63197.88277499999</v>
      </c>
      <c r="K1513" s="37" t="n">
        <v>0.065</v>
      </c>
    </row>
    <row r="1514">
      <c r="A1514" s="34" t="inlineStr">
        <is>
          <t>AGA SPK-tilskudd</t>
        </is>
      </c>
      <c r="B1514" s="34" t="inlineStr">
        <is>
          <t>Region Sør</t>
        </is>
      </c>
      <c r="C1514" s="34" t="inlineStr">
        <is>
          <t>Regionale kostnader</t>
        </is>
      </c>
      <c r="D1514" s="18" t="n"/>
      <c r="E1514" s="18" t="n"/>
      <c r="F1514" s="18" t="n"/>
      <c r="G1514" s="18" t="n"/>
      <c r="H1514" s="18" t="n"/>
      <c r="I1514" s="18" t="n">
        <v>-317502</v>
      </c>
      <c r="J1514" s="19" t="n">
        <v>-360118.7059499999</v>
      </c>
      <c r="K1514" s="35" t="n">
        <v>0.065</v>
      </c>
    </row>
    <row r="1515">
      <c r="A1515" s="36" t="inlineStr">
        <is>
          <t>AGA SPK-tilskudd</t>
        </is>
      </c>
      <c r="B1515" s="36" t="inlineStr">
        <is>
          <t>Region Sør</t>
        </is>
      </c>
      <c r="C1515" s="36" t="inlineStr">
        <is>
          <t>Regionale kostnader</t>
        </is>
      </c>
      <c r="D1515" s="26" t="n"/>
      <c r="E1515" s="26" t="n"/>
      <c r="F1515" s="26" t="n"/>
      <c r="G1515" s="26" t="n"/>
      <c r="H1515" s="26" t="n">
        <v>1150</v>
      </c>
      <c r="I1515" s="26" t="n"/>
      <c r="J1515" s="19" t="n">
        <v>0</v>
      </c>
      <c r="K1515" s="37" t="n">
        <v>0.065</v>
      </c>
    </row>
    <row r="1516">
      <c r="A1516" s="34" t="inlineStr">
        <is>
          <t>AGA SPK-tilskudd</t>
        </is>
      </c>
      <c r="B1516" s="34" t="inlineStr">
        <is>
          <t>Region Sør</t>
        </is>
      </c>
      <c r="C1516" s="34" t="inlineStr">
        <is>
          <t>Regionale kostnader</t>
        </is>
      </c>
      <c r="D1516" s="18" t="n"/>
      <c r="E1516" s="18" t="n"/>
      <c r="F1516" s="18" t="n"/>
      <c r="G1516" s="18" t="n">
        <v>167383</v>
      </c>
      <c r="H1516" s="18" t="n"/>
      <c r="I1516" s="18" t="n"/>
      <c r="J1516" s="19" t="n">
        <v>0</v>
      </c>
      <c r="K1516" s="35" t="n">
        <v>0.065</v>
      </c>
    </row>
    <row r="1517">
      <c r="A1517" s="36" t="inlineStr">
        <is>
          <t>AGA SPK-tilskudd</t>
        </is>
      </c>
      <c r="B1517" s="36" t="inlineStr">
        <is>
          <t>Region Sør</t>
        </is>
      </c>
      <c r="C1517" s="36" t="inlineStr">
        <is>
          <t>Regionale kostnader</t>
        </is>
      </c>
      <c r="D1517" s="26" t="n"/>
      <c r="E1517" s="26" t="n"/>
      <c r="F1517" s="26" t="n"/>
      <c r="G1517" s="26" t="n"/>
      <c r="H1517" s="26" t="n">
        <v>4467</v>
      </c>
      <c r="I1517" s="26" t="n"/>
      <c r="J1517" s="19" t="n">
        <v>0</v>
      </c>
      <c r="K1517" s="37" t="n">
        <v>0.065</v>
      </c>
    </row>
    <row r="1518">
      <c r="A1518" s="34" t="inlineStr">
        <is>
          <t>AGA SPK-tilskudd</t>
        </is>
      </c>
      <c r="B1518" s="34" t="inlineStr">
        <is>
          <t>Region Sør</t>
        </is>
      </c>
      <c r="C1518" s="34" t="inlineStr">
        <is>
          <t>Ressursmiljø for trygghet og sikkerhet</t>
        </is>
      </c>
      <c r="D1518" s="18" t="n">
        <v>23940</v>
      </c>
      <c r="E1518" s="18" t="n">
        <v>24932</v>
      </c>
      <c r="F1518" s="18" t="n">
        <v>33580</v>
      </c>
      <c r="G1518" s="18" t="n">
        <v>34728</v>
      </c>
      <c r="H1518" s="18" t="n">
        <v>35930</v>
      </c>
      <c r="I1518" s="18" t="n">
        <v>41688</v>
      </c>
      <c r="J1518" s="19" t="n">
        <v>52043.41971037218</v>
      </c>
      <c r="K1518" s="35" t="n">
        <v>0.1173195114956413</v>
      </c>
    </row>
    <row r="1519">
      <c r="A1519" s="36" t="inlineStr">
        <is>
          <t>AGA SPK-tilskudd</t>
        </is>
      </c>
      <c r="B1519" s="36" t="inlineStr">
        <is>
          <t>Region Sør</t>
        </is>
      </c>
      <c r="C1519" s="36" t="inlineStr">
        <is>
          <t>Ressursmiljø for trygghet og sikkerhet</t>
        </is>
      </c>
      <c r="D1519" s="26" t="n">
        <v>45306</v>
      </c>
      <c r="E1519" s="26" t="n">
        <v>12858</v>
      </c>
      <c r="F1519" s="26" t="n">
        <v>105165</v>
      </c>
      <c r="G1519" s="26" t="n">
        <v>92526</v>
      </c>
      <c r="H1519" s="26" t="n">
        <v>142873</v>
      </c>
      <c r="I1519" s="26" t="n">
        <v>105468</v>
      </c>
      <c r="J1519" s="19" t="n">
        <v>147879.0685704821</v>
      </c>
      <c r="K1519" s="37" t="n">
        <v>0.1841125878899794</v>
      </c>
    </row>
    <row r="1520">
      <c r="A1520" s="34" t="inlineStr">
        <is>
          <t>AGA SPK-tilskudd</t>
        </is>
      </c>
      <c r="B1520" s="34" t="inlineStr">
        <is>
          <t>Region Sør</t>
        </is>
      </c>
      <c r="C1520" s="34" t="inlineStr">
        <is>
          <t>Ressursmiljø for trygghet og sikkerhet</t>
        </is>
      </c>
      <c r="D1520" s="18" t="n">
        <v>3600</v>
      </c>
      <c r="E1520" s="18" t="n">
        <v>5306</v>
      </c>
      <c r="F1520" s="18" t="n">
        <v>5419</v>
      </c>
      <c r="G1520" s="18" t="n">
        <v>7036</v>
      </c>
      <c r="H1520" s="18" t="n">
        <v>7215</v>
      </c>
      <c r="I1520" s="18" t="n">
        <v>8650</v>
      </c>
      <c r="J1520" s="19" t="n">
        <v>12282.91793238641</v>
      </c>
      <c r="K1520" s="35" t="n">
        <v>0.1916335478722533</v>
      </c>
    </row>
    <row r="1521">
      <c r="A1521" s="36" t="inlineStr">
        <is>
          <t>AGA SPK-tilskudd</t>
        </is>
      </c>
      <c r="B1521" s="36" t="inlineStr">
        <is>
          <t>Region Sør</t>
        </is>
      </c>
      <c r="C1521" s="36" t="inlineStr">
        <is>
          <t>Ressursmiljø for trygghet og sikkerhet</t>
        </is>
      </c>
      <c r="D1521" s="26" t="n">
        <v>9729</v>
      </c>
      <c r="E1521" s="26" t="n">
        <v>5663</v>
      </c>
      <c r="F1521" s="26" t="n">
        <v>4470</v>
      </c>
      <c r="G1521" s="26" t="n">
        <v>3927</v>
      </c>
      <c r="H1521" s="26" t="n">
        <v>17214</v>
      </c>
      <c r="I1521" s="26" t="n">
        <v>10518</v>
      </c>
      <c r="J1521" s="19" t="n">
        <v>10851.23457075767</v>
      </c>
      <c r="K1521" s="37" t="n">
        <v>0.01571763460592024</v>
      </c>
    </row>
    <row r="1522">
      <c r="A1522" s="34" t="inlineStr">
        <is>
          <t>AGA SPK-tilskudd</t>
        </is>
      </c>
      <c r="B1522" s="34" t="inlineStr">
        <is>
          <t>Region Sør</t>
        </is>
      </c>
      <c r="C1522" s="34" t="inlineStr">
        <is>
          <t>Ressursmiljø for trygghet og sikkerhet</t>
        </is>
      </c>
      <c r="D1522" s="18" t="n">
        <v>20187</v>
      </c>
      <c r="E1522" s="18" t="n">
        <v>14724</v>
      </c>
      <c r="F1522" s="18" t="n">
        <v>37299</v>
      </c>
      <c r="G1522" s="18" t="n">
        <v>27371</v>
      </c>
      <c r="H1522" s="18" t="n">
        <v>48208</v>
      </c>
      <c r="I1522" s="18" t="n">
        <v>32350</v>
      </c>
      <c r="J1522" s="19" t="n">
        <v>39065.67078021888</v>
      </c>
      <c r="K1522" s="35" t="n">
        <v>0.09890588807997713</v>
      </c>
    </row>
    <row r="1523">
      <c r="A1523" s="36" t="inlineStr">
        <is>
          <t>AGA SPK-tilskudd</t>
        </is>
      </c>
      <c r="B1523" s="36" t="inlineStr">
        <is>
          <t>Region Sør</t>
        </is>
      </c>
      <c r="C1523" s="36" t="inlineStr">
        <is>
          <t>Ressursmiljø for trygghet og sikkerhet</t>
        </is>
      </c>
      <c r="D1523" s="26" t="n"/>
      <c r="E1523" s="26" t="n"/>
      <c r="F1523" s="26" t="n"/>
      <c r="G1523" s="26" t="n"/>
      <c r="H1523" s="26" t="n">
        <v>890</v>
      </c>
      <c r="I1523" s="26" t="n">
        <v>1126</v>
      </c>
      <c r="J1523" s="19" t="n">
        <v>1277.13735</v>
      </c>
      <c r="K1523" s="37" t="n">
        <v>0.065</v>
      </c>
    </row>
    <row r="1524">
      <c r="A1524" s="34" t="inlineStr">
        <is>
          <t>AGA SPK-tilskudd</t>
        </is>
      </c>
      <c r="B1524" s="34" t="inlineStr">
        <is>
          <t>Region Sør</t>
        </is>
      </c>
      <c r="C1524" s="34" t="inlineStr">
        <is>
          <t>Ressursmiljø for trygghet og sikkerhet</t>
        </is>
      </c>
      <c r="D1524" s="18" t="n"/>
      <c r="E1524" s="18" t="n">
        <v>238</v>
      </c>
      <c r="F1524" s="18" t="n"/>
      <c r="G1524" s="18" t="n"/>
      <c r="H1524" s="18" t="n">
        <v>1814</v>
      </c>
      <c r="I1524" s="18" t="n"/>
      <c r="J1524" s="19" t="n">
        <v>0</v>
      </c>
      <c r="K1524" s="35" t="n">
        <v>0.065</v>
      </c>
    </row>
    <row r="1525">
      <c r="A1525" s="36" t="inlineStr">
        <is>
          <t>AGA SPK-tilskudd</t>
        </is>
      </c>
      <c r="B1525" s="36" t="inlineStr">
        <is>
          <t>Region Sør</t>
        </is>
      </c>
      <c r="C1525" s="36" t="inlineStr">
        <is>
          <t>Ressursmiljø for trygghet og sikkerhet</t>
        </is>
      </c>
      <c r="D1525" s="26" t="n">
        <v>8756</v>
      </c>
      <c r="E1525" s="26" t="n">
        <v>4940</v>
      </c>
      <c r="F1525" s="26" t="n">
        <v>10984</v>
      </c>
      <c r="G1525" s="26" t="n">
        <v>11764</v>
      </c>
      <c r="H1525" s="26" t="n">
        <v>25030</v>
      </c>
      <c r="I1525" s="26" t="n">
        <v>21478</v>
      </c>
      <c r="J1525" s="19" t="n">
        <v>30751.69595519688</v>
      </c>
      <c r="K1525" s="37" t="n">
        <v>0.1965686413316357</v>
      </c>
    </row>
    <row r="1526">
      <c r="A1526" s="34" t="inlineStr">
        <is>
          <t>AGA SPK-tilskudd</t>
        </is>
      </c>
      <c r="B1526" s="34" t="inlineStr">
        <is>
          <t>Region Sør</t>
        </is>
      </c>
      <c r="C1526" s="34" t="inlineStr">
        <is>
          <t>Ressursmiljø for trygghet og sikkerhet</t>
        </is>
      </c>
      <c r="D1526" s="18" t="n"/>
      <c r="E1526" s="18" t="n"/>
      <c r="F1526" s="18" t="n">
        <v>798</v>
      </c>
      <c r="G1526" s="18" t="n"/>
      <c r="H1526" s="18" t="n"/>
      <c r="I1526" s="18" t="n">
        <v>3493</v>
      </c>
      <c r="J1526" s="19" t="n">
        <v>3961.847925</v>
      </c>
      <c r="K1526" s="35" t="n">
        <v>0.065</v>
      </c>
    </row>
    <row r="1527">
      <c r="A1527" s="36" t="inlineStr">
        <is>
          <t>AGA SPK-tilskudd</t>
        </is>
      </c>
      <c r="B1527" s="36" t="inlineStr">
        <is>
          <t>Region Sør</t>
        </is>
      </c>
      <c r="C1527" s="36" t="inlineStr">
        <is>
          <t>Ressursmiljø for trygghet og sikkerhet</t>
        </is>
      </c>
      <c r="D1527" s="26" t="n">
        <v>-114375</v>
      </c>
      <c r="E1527" s="26" t="n">
        <v>-17685</v>
      </c>
      <c r="F1527" s="26" t="n">
        <v>-462465</v>
      </c>
      <c r="G1527" s="26" t="n">
        <v>-85728</v>
      </c>
      <c r="H1527" s="26" t="n"/>
      <c r="I1527" s="26" t="n">
        <v>-129800</v>
      </c>
      <c r="J1527" s="19" t="n">
        <v>-147222.405</v>
      </c>
      <c r="K1527" s="37" t="n">
        <v>0.065</v>
      </c>
    </row>
    <row r="1528">
      <c r="A1528" s="34" t="inlineStr">
        <is>
          <t>AGA SPK-tilskudd</t>
        </is>
      </c>
      <c r="B1528" s="34" t="inlineStr">
        <is>
          <t>Region Sør</t>
        </is>
      </c>
      <c r="C1528" s="34" t="inlineStr">
        <is>
          <t>Ressursmiljø for trygghet og sikkerhet</t>
        </is>
      </c>
      <c r="D1528" s="18" t="n"/>
      <c r="E1528" s="18" t="n"/>
      <c r="F1528" s="18" t="n"/>
      <c r="G1528" s="18" t="n"/>
      <c r="H1528" s="18" t="n"/>
      <c r="I1528" s="18" t="n">
        <v>-18527</v>
      </c>
      <c r="J1528" s="19" t="n">
        <v>-21013.786575</v>
      </c>
      <c r="K1528" s="35" t="n">
        <v>0.065</v>
      </c>
    </row>
    <row r="1529">
      <c r="A1529" s="36" t="inlineStr">
        <is>
          <t>AGA SPK-tilskudd</t>
        </is>
      </c>
      <c r="B1529" s="36" t="inlineStr">
        <is>
          <t>Region Sør</t>
        </is>
      </c>
      <c r="C1529" s="36" t="inlineStr">
        <is>
          <t>Seksjon faglig støtte</t>
        </is>
      </c>
      <c r="D1529" s="26" t="n"/>
      <c r="E1529" s="26" t="n">
        <v>1243</v>
      </c>
      <c r="F1529" s="26" t="n"/>
      <c r="G1529" s="26" t="n"/>
      <c r="H1529" s="26" t="n"/>
      <c r="I1529" s="26" t="n"/>
      <c r="J1529" s="19" t="n">
        <v>0</v>
      </c>
      <c r="K1529" s="37" t="n">
        <v>0.065</v>
      </c>
    </row>
    <row r="1530">
      <c r="A1530" s="34" t="inlineStr">
        <is>
          <t>AGA SPK-tilskudd</t>
        </is>
      </c>
      <c r="B1530" s="34" t="inlineStr">
        <is>
          <t>Region Sør</t>
        </is>
      </c>
      <c r="C1530" s="34" t="inlineStr">
        <is>
          <t>Seksjon økonomi og virksomhetsstyring</t>
        </is>
      </c>
      <c r="D1530" s="18" t="n"/>
      <c r="E1530" s="18" t="n"/>
      <c r="F1530" s="18" t="n">
        <v>1472</v>
      </c>
      <c r="G1530" s="18" t="n"/>
      <c r="H1530" s="18" t="n">
        <v>3042</v>
      </c>
      <c r="I1530" s="18" t="n"/>
      <c r="J1530" s="19" t="n">
        <v>0</v>
      </c>
      <c r="K1530" s="35" t="n">
        <v>0.065</v>
      </c>
    </row>
    <row r="1531">
      <c r="A1531" s="36" t="inlineStr">
        <is>
          <t>AGA SPK-tilskudd</t>
        </is>
      </c>
      <c r="B1531" s="36" t="inlineStr">
        <is>
          <t>Region Sør</t>
        </is>
      </c>
      <c r="C1531" s="36" t="inlineStr">
        <is>
          <t>Skjerfheimkollektivet</t>
        </is>
      </c>
      <c r="D1531" s="26" t="n">
        <v>242568</v>
      </c>
      <c r="E1531" s="26" t="n">
        <v>171892</v>
      </c>
      <c r="F1531" s="26" t="n">
        <v>168781</v>
      </c>
      <c r="G1531" s="26" t="n">
        <v>2478</v>
      </c>
      <c r="H1531" s="26" t="n"/>
      <c r="I1531" s="26" t="n"/>
      <c r="J1531" s="19" t="n">
        <v>0</v>
      </c>
      <c r="K1531" s="37" t="n">
        <v>0.065</v>
      </c>
    </row>
    <row r="1532">
      <c r="A1532" s="34" t="inlineStr">
        <is>
          <t>AGA SPK-tilskudd</t>
        </is>
      </c>
      <c r="B1532" s="34" t="inlineStr">
        <is>
          <t>Region Sør</t>
        </is>
      </c>
      <c r="C1532" s="34" t="inlineStr">
        <is>
          <t>Skjerfheimkollektivet</t>
        </is>
      </c>
      <c r="D1532" s="18" t="n">
        <v>31029</v>
      </c>
      <c r="E1532" s="18" t="n">
        <v>30115</v>
      </c>
      <c r="F1532" s="18" t="n">
        <v>671</v>
      </c>
      <c r="G1532" s="18" t="n"/>
      <c r="H1532" s="18" t="n"/>
      <c r="I1532" s="18" t="n"/>
      <c r="J1532" s="19" t="n">
        <v>0</v>
      </c>
      <c r="K1532" s="35" t="n">
        <v>0.065</v>
      </c>
    </row>
    <row r="1533">
      <c r="A1533" s="36" t="inlineStr">
        <is>
          <t>AGA SPK-tilskudd</t>
        </is>
      </c>
      <c r="B1533" s="36" t="inlineStr">
        <is>
          <t>Region Sør</t>
        </is>
      </c>
      <c r="C1533" s="36" t="inlineStr">
        <is>
          <t>Skjerfheimkollektivet</t>
        </is>
      </c>
      <c r="D1533" s="26" t="n">
        <v>19248</v>
      </c>
      <c r="E1533" s="26" t="n">
        <v>8797</v>
      </c>
      <c r="F1533" s="26" t="n">
        <v>101164</v>
      </c>
      <c r="G1533" s="26" t="n">
        <v>1189</v>
      </c>
      <c r="H1533" s="26" t="n"/>
      <c r="I1533" s="26" t="n"/>
      <c r="J1533" s="19" t="n">
        <v>0</v>
      </c>
      <c r="K1533" s="37" t="n">
        <v>0.065</v>
      </c>
    </row>
    <row r="1534">
      <c r="A1534" s="34" t="inlineStr">
        <is>
          <t>AGA SPK-tilskudd</t>
        </is>
      </c>
      <c r="B1534" s="34" t="inlineStr">
        <is>
          <t>Region Sør</t>
        </is>
      </c>
      <c r="C1534" s="34" t="inlineStr">
        <is>
          <t>Skjerfheimkollektivet</t>
        </is>
      </c>
      <c r="D1534" s="18" t="n">
        <v>54600</v>
      </c>
      <c r="E1534" s="18" t="n">
        <v>45395</v>
      </c>
      <c r="F1534" s="18" t="n">
        <v>55931</v>
      </c>
      <c r="G1534" s="18" t="n">
        <v>266</v>
      </c>
      <c r="H1534" s="18" t="n"/>
      <c r="I1534" s="18" t="n"/>
      <c r="J1534" s="19" t="n">
        <v>0</v>
      </c>
      <c r="K1534" s="35" t="n">
        <v>0.065</v>
      </c>
    </row>
    <row r="1535">
      <c r="A1535" s="36" t="inlineStr">
        <is>
          <t>AGA SPK-tilskudd</t>
        </is>
      </c>
      <c r="B1535" s="36" t="inlineStr">
        <is>
          <t>Region Sør</t>
        </is>
      </c>
      <c r="C1535" s="36" t="inlineStr">
        <is>
          <t>Skjerfheimkollektivet</t>
        </is>
      </c>
      <c r="D1535" s="26" t="n">
        <v>11256</v>
      </c>
      <c r="E1535" s="26" t="n">
        <v>17871</v>
      </c>
      <c r="F1535" s="26" t="n">
        <v>10563</v>
      </c>
      <c r="G1535" s="26" t="n"/>
      <c r="H1535" s="26" t="n"/>
      <c r="I1535" s="26" t="n"/>
      <c r="J1535" s="19" t="n">
        <v>0</v>
      </c>
      <c r="K1535" s="37" t="n">
        <v>0.065</v>
      </c>
    </row>
    <row r="1536">
      <c r="A1536" s="34" t="inlineStr">
        <is>
          <t>AGA SPK-tilskudd</t>
        </is>
      </c>
      <c r="B1536" s="34" t="inlineStr">
        <is>
          <t>Region Sør</t>
        </is>
      </c>
      <c r="C1536" s="34" t="inlineStr">
        <is>
          <t>Skjerfheimkollektivet</t>
        </is>
      </c>
      <c r="D1536" s="18" t="n">
        <v>17639</v>
      </c>
      <c r="E1536" s="18" t="n">
        <v>28816</v>
      </c>
      <c r="F1536" s="18" t="n">
        <v>62687</v>
      </c>
      <c r="G1536" s="18" t="n">
        <v>2324</v>
      </c>
      <c r="H1536" s="18" t="n"/>
      <c r="I1536" s="18" t="n"/>
      <c r="J1536" s="19" t="n">
        <v>0</v>
      </c>
      <c r="K1536" s="35" t="n">
        <v>0.065</v>
      </c>
    </row>
    <row r="1537">
      <c r="A1537" s="36" t="inlineStr">
        <is>
          <t>AGA SPK-tilskudd</t>
        </is>
      </c>
      <c r="B1537" s="36" t="inlineStr">
        <is>
          <t>Region Sør</t>
        </is>
      </c>
      <c r="C1537" s="36" t="inlineStr">
        <is>
          <t>Skjerfheimkollektivet</t>
        </is>
      </c>
      <c r="D1537" s="26" t="n"/>
      <c r="E1537" s="26" t="n"/>
      <c r="F1537" s="26" t="n">
        <v>1116</v>
      </c>
      <c r="G1537" s="26" t="n">
        <v>536</v>
      </c>
      <c r="H1537" s="26" t="n"/>
      <c r="I1537" s="26" t="n"/>
      <c r="J1537" s="19" t="n">
        <v>0</v>
      </c>
      <c r="K1537" s="37" t="n">
        <v>0.065</v>
      </c>
    </row>
    <row r="1538">
      <c r="A1538" s="34" t="inlineStr">
        <is>
          <t>AGA SPK-tilskudd</t>
        </is>
      </c>
      <c r="B1538" s="34" t="inlineStr">
        <is>
          <t>Region Sør</t>
        </is>
      </c>
      <c r="C1538" s="34" t="inlineStr">
        <is>
          <t>Skjerfheimkollektivet</t>
        </is>
      </c>
      <c r="D1538" s="18" t="n">
        <v>19433</v>
      </c>
      <c r="E1538" s="18" t="n">
        <v>14017</v>
      </c>
      <c r="F1538" s="18" t="n"/>
      <c r="G1538" s="18" t="n"/>
      <c r="H1538" s="18" t="n"/>
      <c r="I1538" s="18" t="n"/>
      <c r="J1538" s="19" t="n">
        <v>0</v>
      </c>
      <c r="K1538" s="35" t="n">
        <v>0.065</v>
      </c>
    </row>
    <row r="1539">
      <c r="A1539" s="36" t="inlineStr">
        <is>
          <t>AGA SPK-tilskudd</t>
        </is>
      </c>
      <c r="B1539" s="36" t="inlineStr">
        <is>
          <t>Region Sør</t>
        </is>
      </c>
      <c r="C1539" s="36" t="inlineStr">
        <is>
          <t>Skjerfheimkollektivet</t>
        </is>
      </c>
      <c r="D1539" s="26" t="n">
        <v>3998</v>
      </c>
      <c r="E1539" s="26" t="n">
        <v>9976</v>
      </c>
      <c r="F1539" s="26" t="n">
        <v>11279</v>
      </c>
      <c r="G1539" s="26" t="n"/>
      <c r="H1539" s="26" t="n"/>
      <c r="I1539" s="26" t="n"/>
      <c r="J1539" s="19" t="n">
        <v>0</v>
      </c>
      <c r="K1539" s="37" t="n">
        <v>0.065</v>
      </c>
    </row>
    <row r="1540">
      <c r="A1540" s="34" t="inlineStr">
        <is>
          <t>AGA SPK-tilskudd</t>
        </is>
      </c>
      <c r="B1540" s="34" t="inlineStr">
        <is>
          <t>Region Sør</t>
        </is>
      </c>
      <c r="C1540" s="34" t="inlineStr">
        <is>
          <t>Skjerfheimkollektivet</t>
        </is>
      </c>
      <c r="D1540" s="18" t="n">
        <v>3700</v>
      </c>
      <c r="E1540" s="18" t="n">
        <v>4351</v>
      </c>
      <c r="F1540" s="18" t="n">
        <v>9610</v>
      </c>
      <c r="G1540" s="18" t="n">
        <v>455</v>
      </c>
      <c r="H1540" s="18" t="n"/>
      <c r="I1540" s="18" t="n"/>
      <c r="J1540" s="19" t="n">
        <v>0</v>
      </c>
      <c r="K1540" s="35" t="n">
        <v>0.065</v>
      </c>
    </row>
    <row r="1541">
      <c r="A1541" s="36" t="inlineStr">
        <is>
          <t>AGA SPK-tilskudd</t>
        </is>
      </c>
      <c r="B1541" s="36" t="inlineStr">
        <is>
          <t>Region Sør</t>
        </is>
      </c>
      <c r="C1541" s="36" t="inlineStr">
        <is>
          <t>Skjerfheimkollektivet</t>
        </is>
      </c>
      <c r="D1541" s="26" t="n">
        <v>3195</v>
      </c>
      <c r="E1541" s="26" t="n">
        <v>4480</v>
      </c>
      <c r="F1541" s="26" t="n"/>
      <c r="G1541" s="26" t="n"/>
      <c r="H1541" s="26" t="n"/>
      <c r="I1541" s="26" t="n"/>
      <c r="J1541" s="19" t="n">
        <v>0</v>
      </c>
      <c r="K1541" s="37" t="n">
        <v>0.065</v>
      </c>
    </row>
    <row r="1542">
      <c r="A1542" s="34" t="inlineStr">
        <is>
          <t>AGA SPK-tilskudd</t>
        </is>
      </c>
      <c r="B1542" s="34" t="inlineStr">
        <is>
          <t>Region Sør</t>
        </is>
      </c>
      <c r="C1542" s="34" t="inlineStr">
        <is>
          <t>Skjerfheimkollektivet</t>
        </is>
      </c>
      <c r="D1542" s="18" t="n"/>
      <c r="E1542" s="18" t="n">
        <v>45</v>
      </c>
      <c r="F1542" s="18" t="n">
        <v>196</v>
      </c>
      <c r="G1542" s="18" t="n"/>
      <c r="H1542" s="18" t="n"/>
      <c r="I1542" s="18" t="n"/>
      <c r="J1542" s="19" t="n">
        <v>0</v>
      </c>
      <c r="K1542" s="35" t="n">
        <v>0.065</v>
      </c>
    </row>
    <row r="1543">
      <c r="A1543" s="36" t="inlineStr">
        <is>
          <t>AGA SPK-tilskudd</t>
        </is>
      </c>
      <c r="B1543" s="36" t="inlineStr">
        <is>
          <t>Region Sør</t>
        </is>
      </c>
      <c r="C1543" s="36" t="inlineStr">
        <is>
          <t>Skjerfheimkollektivet</t>
        </is>
      </c>
      <c r="D1543" s="26" t="n">
        <v>2533</v>
      </c>
      <c r="E1543" s="26" t="n">
        <v>2205</v>
      </c>
      <c r="F1543" s="26" t="n">
        <v>2450</v>
      </c>
      <c r="G1543" s="26" t="n"/>
      <c r="H1543" s="26" t="n"/>
      <c r="I1543" s="26" t="n"/>
      <c r="J1543" s="19" t="n">
        <v>0</v>
      </c>
      <c r="K1543" s="37" t="n">
        <v>0.065</v>
      </c>
    </row>
    <row r="1544">
      <c r="A1544" s="34" t="inlineStr">
        <is>
          <t>AGA SPK-tilskudd</t>
        </is>
      </c>
      <c r="B1544" s="34" t="inlineStr">
        <is>
          <t>Region Sør</t>
        </is>
      </c>
      <c r="C1544" s="34" t="inlineStr">
        <is>
          <t>Skjerfheimkollektivet</t>
        </is>
      </c>
      <c r="D1544" s="18" t="n">
        <v>-403490</v>
      </c>
      <c r="E1544" s="18" t="n">
        <v>-361253</v>
      </c>
      <c r="F1544" s="18" t="n">
        <v>-273427</v>
      </c>
      <c r="G1544" s="18" t="n">
        <v>-14749</v>
      </c>
      <c r="H1544" s="18" t="n"/>
      <c r="I1544" s="18" t="n"/>
      <c r="J1544" s="19" t="n">
        <v>0</v>
      </c>
      <c r="K1544" s="35" t="n">
        <v>0.065</v>
      </c>
    </row>
    <row r="1545">
      <c r="A1545" s="36" t="inlineStr">
        <is>
          <t>AGA SPK-tilskudd</t>
        </is>
      </c>
      <c r="B1545" s="36" t="inlineStr">
        <is>
          <t>Region Sør</t>
        </is>
      </c>
      <c r="C1545" s="36" t="inlineStr">
        <is>
          <t>Skjerfheimkollektivet</t>
        </is>
      </c>
      <c r="D1545" s="26" t="n">
        <v>-1415631</v>
      </c>
      <c r="E1545" s="26" t="n">
        <v>-291597</v>
      </c>
      <c r="F1545" s="26" t="n">
        <v>-983876</v>
      </c>
      <c r="G1545" s="26" t="n">
        <v>-96979</v>
      </c>
      <c r="H1545" s="26" t="n"/>
      <c r="I1545" s="26" t="n"/>
      <c r="J1545" s="19" t="n">
        <v>0</v>
      </c>
      <c r="K1545" s="37" t="n">
        <v>0.065</v>
      </c>
    </row>
    <row r="1546">
      <c r="A1546" s="34" t="inlineStr">
        <is>
          <t>AGA SPK-tilskudd</t>
        </is>
      </c>
      <c r="B1546" s="34" t="inlineStr">
        <is>
          <t>Region Sør</t>
        </is>
      </c>
      <c r="C1546" s="34" t="inlineStr">
        <is>
          <t>Skjerven rusbehandling ungdom</t>
        </is>
      </c>
      <c r="D1546" s="18" t="n"/>
      <c r="E1546" s="18" t="n"/>
      <c r="F1546" s="18" t="n"/>
      <c r="G1546" s="18" t="n">
        <v>10948</v>
      </c>
      <c r="H1546" s="18" t="n">
        <v>11550</v>
      </c>
      <c r="I1546" s="18" t="n">
        <v>8104</v>
      </c>
      <c r="J1546" s="19" t="n">
        <v>9191.759399999999</v>
      </c>
      <c r="K1546" s="35" t="n">
        <v>0.065</v>
      </c>
    </row>
    <row r="1547">
      <c r="A1547" s="36" t="inlineStr">
        <is>
          <t>AGA SPK-tilskudd</t>
        </is>
      </c>
      <c r="B1547" s="36" t="inlineStr">
        <is>
          <t>Region Sør</t>
        </is>
      </c>
      <c r="C1547" s="36" t="inlineStr">
        <is>
          <t>Skjerven rusbehandling ungdom</t>
        </is>
      </c>
      <c r="D1547" s="26" t="n"/>
      <c r="E1547" s="26" t="n"/>
      <c r="F1547" s="26" t="n"/>
      <c r="G1547" s="26" t="n">
        <v>3966</v>
      </c>
      <c r="H1547" s="26" t="n">
        <v>10450</v>
      </c>
      <c r="I1547" s="26" t="n">
        <v>16409</v>
      </c>
      <c r="J1547" s="19" t="n">
        <v>18611.498025</v>
      </c>
      <c r="K1547" s="37" t="n">
        <v>0.065</v>
      </c>
    </row>
    <row r="1548">
      <c r="A1548" s="34" t="inlineStr">
        <is>
          <t>AGA SPK-tilskudd</t>
        </is>
      </c>
      <c r="B1548" s="34" t="inlineStr">
        <is>
          <t>Region Sør</t>
        </is>
      </c>
      <c r="C1548" s="34" t="inlineStr">
        <is>
          <t>Skjerven rusbehandling ungdom</t>
        </is>
      </c>
      <c r="D1548" s="18" t="n"/>
      <c r="E1548" s="18" t="n"/>
      <c r="F1548" s="18" t="n"/>
      <c r="G1548" s="18" t="n">
        <v>1726</v>
      </c>
      <c r="H1548" s="18" t="n">
        <v>1665</v>
      </c>
      <c r="I1548" s="18" t="n">
        <v>1225</v>
      </c>
      <c r="J1548" s="19" t="n">
        <v>1389.425625</v>
      </c>
      <c r="K1548" s="35" t="n">
        <v>0.065</v>
      </c>
    </row>
    <row r="1549">
      <c r="A1549" s="36" t="inlineStr">
        <is>
          <t>AGA SPK-tilskudd</t>
        </is>
      </c>
      <c r="B1549" s="36" t="inlineStr">
        <is>
          <t>Region Sør</t>
        </is>
      </c>
      <c r="C1549" s="36" t="inlineStr">
        <is>
          <t>Skjerven rusbehandling ungdom</t>
        </is>
      </c>
      <c r="D1549" s="26" t="n"/>
      <c r="E1549" s="26" t="n"/>
      <c r="F1549" s="26" t="n"/>
      <c r="G1549" s="26" t="n">
        <v>20675</v>
      </c>
      <c r="H1549" s="26" t="n">
        <v>34462</v>
      </c>
      <c r="I1549" s="26" t="n">
        <v>22389</v>
      </c>
      <c r="J1549" s="19" t="n">
        <v>25394.163525</v>
      </c>
      <c r="K1549" s="37" t="n">
        <v>0.065</v>
      </c>
    </row>
    <row r="1550">
      <c r="A1550" s="34" t="inlineStr">
        <is>
          <t>AGA SPK-tilskudd</t>
        </is>
      </c>
      <c r="B1550" s="34" t="inlineStr">
        <is>
          <t>Region Sør</t>
        </is>
      </c>
      <c r="C1550" s="34" t="inlineStr">
        <is>
          <t>Skjerven rusbehandling ungdom</t>
        </is>
      </c>
      <c r="D1550" s="18" t="n"/>
      <c r="E1550" s="18" t="n"/>
      <c r="F1550" s="18" t="n"/>
      <c r="G1550" s="18" t="n">
        <v>317</v>
      </c>
      <c r="H1550" s="18" t="n">
        <v>3901</v>
      </c>
      <c r="I1550" s="18" t="n">
        <v>6690</v>
      </c>
      <c r="J1550" s="19" t="n">
        <v>7587.965249999998</v>
      </c>
      <c r="K1550" s="35" t="n">
        <v>0.065</v>
      </c>
    </row>
    <row r="1551">
      <c r="A1551" s="36" t="inlineStr">
        <is>
          <t>AGA SPK-tilskudd</t>
        </is>
      </c>
      <c r="B1551" s="36" t="inlineStr">
        <is>
          <t>Region Sør</t>
        </is>
      </c>
      <c r="C1551" s="36" t="inlineStr">
        <is>
          <t>Skjerven rusbehandling ungdom</t>
        </is>
      </c>
      <c r="D1551" s="26" t="n"/>
      <c r="E1551" s="26" t="n"/>
      <c r="F1551" s="26" t="n"/>
      <c r="G1551" s="26" t="n"/>
      <c r="H1551" s="26" t="n"/>
      <c r="I1551" s="26" t="n">
        <v>538</v>
      </c>
      <c r="J1551" s="19" t="n">
        <v>610.21305</v>
      </c>
      <c r="K1551" s="37" t="n">
        <v>0.065</v>
      </c>
    </row>
    <row r="1552">
      <c r="A1552" s="34" t="inlineStr">
        <is>
          <t>AGA SPK-tilskudd</t>
        </is>
      </c>
      <c r="B1552" s="34" t="inlineStr">
        <is>
          <t>Region Sør</t>
        </is>
      </c>
      <c r="C1552" s="34" t="inlineStr">
        <is>
          <t>Skjerven rusbehandling ungdom</t>
        </is>
      </c>
      <c r="D1552" s="18" t="n"/>
      <c r="E1552" s="18" t="n"/>
      <c r="F1552" s="18" t="n"/>
      <c r="G1552" s="18" t="n"/>
      <c r="H1552" s="18" t="n">
        <v>205</v>
      </c>
      <c r="I1552" s="18" t="n"/>
      <c r="J1552" s="19" t="n">
        <v>0</v>
      </c>
      <c r="K1552" s="35" t="n">
        <v>0.065</v>
      </c>
    </row>
    <row r="1553">
      <c r="A1553" s="36" t="inlineStr">
        <is>
          <t>AGA SPK-tilskudd</t>
        </is>
      </c>
      <c r="B1553" s="36" t="inlineStr">
        <is>
          <t>Region Sør</t>
        </is>
      </c>
      <c r="C1553" s="36" t="inlineStr">
        <is>
          <t>Skjerven rusbehandling ungdom</t>
        </is>
      </c>
      <c r="D1553" s="26" t="n"/>
      <c r="E1553" s="26" t="n"/>
      <c r="F1553" s="26" t="n"/>
      <c r="G1553" s="26" t="n">
        <v>5908</v>
      </c>
      <c r="H1553" s="26" t="n">
        <v>14773</v>
      </c>
      <c r="I1553" s="26" t="n">
        <v>13525</v>
      </c>
      <c r="J1553" s="19" t="n">
        <v>15340.393125</v>
      </c>
      <c r="K1553" s="37" t="n">
        <v>0.065</v>
      </c>
    </row>
    <row r="1554">
      <c r="A1554" s="34" t="inlineStr">
        <is>
          <t>AGA SPK-tilskudd</t>
        </is>
      </c>
      <c r="B1554" s="34" t="inlineStr">
        <is>
          <t>Region Sør</t>
        </is>
      </c>
      <c r="C1554" s="34" t="inlineStr">
        <is>
          <t>Spisskompetansemiljø for akuttarbeid</t>
        </is>
      </c>
      <c r="D1554" s="18" t="n">
        <v>11317</v>
      </c>
      <c r="E1554" s="18" t="n">
        <v>19050</v>
      </c>
      <c r="F1554" s="18" t="n">
        <v>34615</v>
      </c>
      <c r="G1554" s="18" t="n">
        <v>36686</v>
      </c>
      <c r="H1554" s="18" t="n">
        <v>36685</v>
      </c>
      <c r="I1554" s="18" t="n">
        <v>31109</v>
      </c>
      <c r="J1554" s="19" t="n">
        <v>46617.38894947375</v>
      </c>
      <c r="K1554" s="35" t="n">
        <v>0.2241395992735287</v>
      </c>
    </row>
    <row r="1555">
      <c r="A1555" s="36" t="inlineStr">
        <is>
          <t>AGA SPK-tilskudd</t>
        </is>
      </c>
      <c r="B1555" s="36" t="inlineStr">
        <is>
          <t>Region Sør</t>
        </is>
      </c>
      <c r="C1555" s="36" t="inlineStr">
        <is>
          <t>Spisskompetansemiljø for akuttarbeid</t>
        </is>
      </c>
      <c r="D1555" s="26" t="n">
        <v>1216</v>
      </c>
      <c r="E1555" s="26" t="n">
        <v>2196</v>
      </c>
      <c r="F1555" s="26" t="n">
        <v>10537</v>
      </c>
      <c r="G1555" s="26" t="n">
        <v>7073</v>
      </c>
      <c r="H1555" s="26" t="n">
        <v>12099</v>
      </c>
      <c r="I1555" s="26" t="n">
        <v>6627</v>
      </c>
      <c r="J1555" s="19" t="n">
        <v>10354.6875</v>
      </c>
      <c r="K1555" s="37" t="n">
        <v>0.25</v>
      </c>
    </row>
    <row r="1556">
      <c r="A1556" s="34" t="inlineStr">
        <is>
          <t>AGA SPK-tilskudd</t>
        </is>
      </c>
      <c r="B1556" s="34" t="inlineStr">
        <is>
          <t>Region Sør</t>
        </is>
      </c>
      <c r="C1556" s="34" t="inlineStr">
        <is>
          <t>Spisskompetansemiljø for akuttarbeid</t>
        </is>
      </c>
      <c r="D1556" s="18" t="n">
        <v>1200</v>
      </c>
      <c r="E1556" s="18" t="n">
        <v>2659</v>
      </c>
      <c r="F1556" s="18" t="n">
        <v>4704</v>
      </c>
      <c r="G1556" s="18" t="n">
        <v>6372</v>
      </c>
      <c r="H1556" s="18" t="n">
        <v>6660</v>
      </c>
      <c r="I1556" s="18" t="n">
        <v>5911</v>
      </c>
      <c r="J1556" s="19" t="n">
        <v>9235.9375</v>
      </c>
      <c r="K1556" s="35" t="n">
        <v>0.25</v>
      </c>
    </row>
    <row r="1557">
      <c r="A1557" s="36" t="inlineStr">
        <is>
          <t>AGA SPK-tilskudd</t>
        </is>
      </c>
      <c r="B1557" s="36" t="inlineStr">
        <is>
          <t>Region Sør</t>
        </is>
      </c>
      <c r="C1557" s="36" t="inlineStr">
        <is>
          <t>Spisskompetansemiljø for akuttarbeid</t>
        </is>
      </c>
      <c r="D1557" s="26" t="n">
        <v>4032</v>
      </c>
      <c r="E1557" s="26" t="n">
        <v>6934</v>
      </c>
      <c r="F1557" s="26" t="n">
        <v>14714</v>
      </c>
      <c r="G1557" s="26" t="n">
        <v>10626</v>
      </c>
      <c r="H1557" s="26" t="n">
        <v>13158</v>
      </c>
      <c r="I1557" s="26" t="n">
        <v>1839</v>
      </c>
      <c r="J1557" s="19" t="n">
        <v>1343.402683730061</v>
      </c>
      <c r="K1557" s="37" t="n">
        <v>-0.1453028788121122</v>
      </c>
    </row>
    <row r="1558">
      <c r="A1558" s="34" t="inlineStr">
        <is>
          <t>AGA SPK-tilskudd</t>
        </is>
      </c>
      <c r="B1558" s="34" t="inlineStr">
        <is>
          <t>Region Sør</t>
        </is>
      </c>
      <c r="C1558" s="34" t="inlineStr">
        <is>
          <t>Spisskompetansemiljø for akuttarbeid</t>
        </is>
      </c>
      <c r="D1558" s="18" t="n">
        <v>1000</v>
      </c>
      <c r="E1558" s="18" t="n">
        <v>722</v>
      </c>
      <c r="F1558" s="18" t="n">
        <v>12946</v>
      </c>
      <c r="G1558" s="18" t="n">
        <v>13966</v>
      </c>
      <c r="H1558" s="18" t="n">
        <v>23620</v>
      </c>
      <c r="I1558" s="18" t="n">
        <v>20184</v>
      </c>
      <c r="J1558" s="19" t="n">
        <v>31537.5</v>
      </c>
      <c r="K1558" s="35" t="n">
        <v>0.25</v>
      </c>
    </row>
    <row r="1559">
      <c r="A1559" s="36" t="inlineStr">
        <is>
          <t>AGA SPK-tilskudd</t>
        </is>
      </c>
      <c r="B1559" s="36" t="inlineStr">
        <is>
          <t>Region Sør</t>
        </is>
      </c>
      <c r="C1559" s="36" t="inlineStr">
        <is>
          <t>Spisskompetansemiljø for akuttarbeid</t>
        </is>
      </c>
      <c r="D1559" s="26" t="n"/>
      <c r="E1559" s="26" t="n">
        <v>710</v>
      </c>
      <c r="F1559" s="26" t="n">
        <v>2884</v>
      </c>
      <c r="G1559" s="26" t="n">
        <v>1398</v>
      </c>
      <c r="H1559" s="26" t="n">
        <v>3905</v>
      </c>
      <c r="I1559" s="26" t="n">
        <v>978</v>
      </c>
      <c r="J1559" s="19" t="n">
        <v>1147.834060736096</v>
      </c>
      <c r="K1559" s="37" t="n">
        <v>0.08335333978825399</v>
      </c>
    </row>
    <row r="1560">
      <c r="A1560" s="34" t="inlineStr">
        <is>
          <t>AGA SPK-tilskudd</t>
        </is>
      </c>
      <c r="B1560" s="34" t="inlineStr">
        <is>
          <t>Region Sør</t>
        </is>
      </c>
      <c r="C1560" s="34" t="inlineStr">
        <is>
          <t>Spisskompetansemiljø for akuttarbeid</t>
        </is>
      </c>
      <c r="D1560" s="18" t="n"/>
      <c r="E1560" s="18" t="n">
        <v>2427</v>
      </c>
      <c r="F1560" s="18" t="n">
        <v>3746</v>
      </c>
      <c r="G1560" s="18" t="n">
        <v>1640</v>
      </c>
      <c r="H1560" s="18" t="n">
        <v>477</v>
      </c>
      <c r="I1560" s="18" t="n"/>
      <c r="J1560" s="19" t="n">
        <v>0</v>
      </c>
      <c r="K1560" s="35" t="n">
        <v>0.065</v>
      </c>
    </row>
    <row r="1561">
      <c r="A1561" s="36" t="inlineStr">
        <is>
          <t>AGA SPK-tilskudd</t>
        </is>
      </c>
      <c r="B1561" s="36" t="inlineStr">
        <is>
          <t>Region Sør</t>
        </is>
      </c>
      <c r="C1561" s="36" t="inlineStr">
        <is>
          <t>Spisskompetansemiljø for akuttarbeid</t>
        </is>
      </c>
      <c r="D1561" s="26" t="n">
        <v>1142</v>
      </c>
      <c r="E1561" s="26" t="n">
        <v>845</v>
      </c>
      <c r="F1561" s="26" t="n">
        <v>4800</v>
      </c>
      <c r="G1561" s="26" t="n">
        <v>7044</v>
      </c>
      <c r="H1561" s="26" t="n">
        <v>12421</v>
      </c>
      <c r="I1561" s="26" t="n">
        <v>8034</v>
      </c>
      <c r="J1561" s="19" t="n">
        <v>12553.125</v>
      </c>
      <c r="K1561" s="37" t="n">
        <v>0.25</v>
      </c>
    </row>
    <row r="1562">
      <c r="A1562" s="34" t="inlineStr">
        <is>
          <t>AGA SPK-tilskudd</t>
        </is>
      </c>
      <c r="B1562" s="34" t="inlineStr">
        <is>
          <t>Region Sør</t>
        </is>
      </c>
      <c r="C1562" s="34" t="inlineStr">
        <is>
          <t>Spisskompetansemiljø for akuttarbeid</t>
        </is>
      </c>
      <c r="D1562" s="18" t="n">
        <v>3299</v>
      </c>
      <c r="E1562" s="18" t="n"/>
      <c r="F1562" s="18" t="n">
        <v>7788</v>
      </c>
      <c r="G1562" s="18" t="n">
        <v>5914</v>
      </c>
      <c r="H1562" s="18" t="n">
        <v>15544</v>
      </c>
      <c r="I1562" s="18" t="n">
        <v>3790</v>
      </c>
      <c r="J1562" s="19" t="n">
        <v>4006.286169175779</v>
      </c>
      <c r="K1562" s="35" t="n">
        <v>0.02813792402165149</v>
      </c>
    </row>
    <row r="1563">
      <c r="A1563" s="36" t="inlineStr">
        <is>
          <t>AGA SPK-tilskudd</t>
        </is>
      </c>
      <c r="B1563" s="36" t="inlineStr">
        <is>
          <t>Region Sør</t>
        </is>
      </c>
      <c r="C1563" s="36" t="inlineStr">
        <is>
          <t>Spisskompetansemiljø for akuttarbeid</t>
        </is>
      </c>
      <c r="D1563" s="26" t="n"/>
      <c r="E1563" s="26" t="n"/>
      <c r="F1563" s="26" t="n">
        <v>-94178</v>
      </c>
      <c r="G1563" s="26" t="n">
        <v>-7453</v>
      </c>
      <c r="H1563" s="26" t="n">
        <v>-156824</v>
      </c>
      <c r="I1563" s="26" t="n">
        <v>-84396</v>
      </c>
      <c r="J1563" s="19" t="n">
        <v>-95724.05309999999</v>
      </c>
      <c r="K1563" s="37" t="n">
        <v>0.065</v>
      </c>
    </row>
    <row r="1564">
      <c r="A1564" s="34" t="inlineStr">
        <is>
          <t>AGA SPK-tilskudd</t>
        </is>
      </c>
      <c r="B1564" s="34" t="inlineStr">
        <is>
          <t>Region Sør</t>
        </is>
      </c>
      <c r="C1564" s="34" t="inlineStr">
        <is>
          <t>St. Hansgården ungdomssenter akutt</t>
        </is>
      </c>
      <c r="D1564" s="18" t="n">
        <v>13814</v>
      </c>
      <c r="E1564" s="18" t="n">
        <v>8632</v>
      </c>
      <c r="F1564" s="18" t="n">
        <v>10599</v>
      </c>
      <c r="G1564" s="18" t="n">
        <v>10601</v>
      </c>
      <c r="H1564" s="18" t="n">
        <v>11003</v>
      </c>
      <c r="I1564" s="18" t="n">
        <v>9613</v>
      </c>
      <c r="J1564" s="19" t="n">
        <v>8315.239041439068</v>
      </c>
      <c r="K1564" s="35" t="n">
        <v>-0.06994657134337612</v>
      </c>
    </row>
    <row r="1565">
      <c r="A1565" s="36" t="inlineStr">
        <is>
          <t>AGA SPK-tilskudd</t>
        </is>
      </c>
      <c r="B1565" s="36" t="inlineStr">
        <is>
          <t>Region Sør</t>
        </is>
      </c>
      <c r="C1565" s="36" t="inlineStr">
        <is>
          <t>St. Hansgården ungdomssenter akutt</t>
        </is>
      </c>
      <c r="D1565" s="26" t="n">
        <v>27463</v>
      </c>
      <c r="E1565" s="26" t="n">
        <v>189</v>
      </c>
      <c r="F1565" s="26" t="n">
        <v>24731</v>
      </c>
      <c r="G1565" s="26" t="n">
        <v>17181</v>
      </c>
      <c r="H1565" s="26" t="n">
        <v>16742</v>
      </c>
      <c r="I1565" s="26" t="n">
        <v>15356</v>
      </c>
      <c r="J1565" s="19" t="n">
        <v>12169.98811379036</v>
      </c>
      <c r="K1565" s="37" t="n">
        <v>-0.1097622111070483</v>
      </c>
    </row>
    <row r="1566">
      <c r="A1566" s="34" t="inlineStr">
        <is>
          <t>AGA SPK-tilskudd</t>
        </is>
      </c>
      <c r="B1566" s="34" t="inlineStr">
        <is>
          <t>Region Sør</t>
        </is>
      </c>
      <c r="C1566" s="34" t="inlineStr">
        <is>
          <t>St. Hansgården ungdomssenter akutt</t>
        </is>
      </c>
      <c r="D1566" s="18" t="n">
        <v>1200</v>
      </c>
      <c r="E1566" s="18" t="n">
        <v>900</v>
      </c>
      <c r="F1566" s="18" t="n">
        <v>1227</v>
      </c>
      <c r="G1566" s="18" t="n">
        <v>1593</v>
      </c>
      <c r="H1566" s="18" t="n">
        <v>1665</v>
      </c>
      <c r="I1566" s="18" t="n">
        <v>1442</v>
      </c>
      <c r="J1566" s="19" t="n">
        <v>1551.954076889636</v>
      </c>
      <c r="K1566" s="35" t="n">
        <v>0.03742522310932683</v>
      </c>
    </row>
    <row r="1567">
      <c r="A1567" s="36" t="inlineStr">
        <is>
          <t>AGA SPK-tilskudd</t>
        </is>
      </c>
      <c r="B1567" s="36" t="inlineStr">
        <is>
          <t>Region Sør</t>
        </is>
      </c>
      <c r="C1567" s="36" t="inlineStr">
        <is>
          <t>St. Hansgården ungdomssenter akutt</t>
        </is>
      </c>
      <c r="D1567" s="26" t="n">
        <v>11253</v>
      </c>
      <c r="E1567" s="26" t="n">
        <v>1817</v>
      </c>
      <c r="F1567" s="26" t="n">
        <v>4372</v>
      </c>
      <c r="G1567" s="26" t="n">
        <v>4963</v>
      </c>
      <c r="H1567" s="26" t="n">
        <v>1962</v>
      </c>
      <c r="I1567" s="26" t="n"/>
      <c r="J1567" s="19" t="n">
        <v>0</v>
      </c>
      <c r="K1567" s="37" t="n">
        <v>0.065</v>
      </c>
    </row>
    <row r="1568">
      <c r="A1568" s="34" t="inlineStr">
        <is>
          <t>AGA SPK-tilskudd</t>
        </is>
      </c>
      <c r="B1568" s="34" t="inlineStr">
        <is>
          <t>Region Sør</t>
        </is>
      </c>
      <c r="C1568" s="34" t="inlineStr">
        <is>
          <t>St. Hansgården ungdomssenter akutt</t>
        </is>
      </c>
      <c r="D1568" s="18" t="n">
        <v>3533</v>
      </c>
      <c r="E1568" s="18" t="n">
        <v>785</v>
      </c>
      <c r="F1568" s="18" t="n">
        <v>3974</v>
      </c>
      <c r="G1568" s="18" t="n">
        <v>11411</v>
      </c>
      <c r="H1568" s="18" t="n">
        <v>2119</v>
      </c>
      <c r="I1568" s="18" t="n">
        <v>2323</v>
      </c>
      <c r="J1568" s="19" t="n">
        <v>1964.316382712736</v>
      </c>
      <c r="K1568" s="35" t="n">
        <v>-0.08043779186336775</v>
      </c>
    </row>
    <row r="1569">
      <c r="A1569" s="36" t="inlineStr">
        <is>
          <t>AGA SPK-tilskudd</t>
        </is>
      </c>
      <c r="B1569" s="36" t="inlineStr">
        <is>
          <t>Region Sør</t>
        </is>
      </c>
      <c r="C1569" s="36" t="inlineStr">
        <is>
          <t>St. Hansgården ungdomssenter akutt</t>
        </is>
      </c>
      <c r="D1569" s="26" t="n">
        <v>3297</v>
      </c>
      <c r="E1569" s="26" t="n">
        <v>405</v>
      </c>
      <c r="F1569" s="26" t="n">
        <v>1753</v>
      </c>
      <c r="G1569" s="26" t="n">
        <v>4933</v>
      </c>
      <c r="H1569" s="26" t="n">
        <v>1203</v>
      </c>
      <c r="I1569" s="26" t="n">
        <v>837</v>
      </c>
      <c r="J1569" s="19" t="n">
        <v>483.6910620938665</v>
      </c>
      <c r="K1569" s="37" t="n">
        <v>-0.2398114881236044</v>
      </c>
    </row>
    <row r="1570">
      <c r="A1570" s="34" t="inlineStr">
        <is>
          <t>AGA SPK-tilskudd</t>
        </is>
      </c>
      <c r="B1570" s="34" t="inlineStr">
        <is>
          <t>Region Sør</t>
        </is>
      </c>
      <c r="C1570" s="34" t="inlineStr">
        <is>
          <t>St. Hansgården ungdomssenter akutt</t>
        </is>
      </c>
      <c r="D1570" s="18" t="n"/>
      <c r="E1570" s="18" t="n">
        <v>600</v>
      </c>
      <c r="F1570" s="18" t="n"/>
      <c r="G1570" s="18" t="n"/>
      <c r="H1570" s="18" t="n">
        <v>17875</v>
      </c>
      <c r="I1570" s="18" t="n"/>
      <c r="J1570" s="19" t="n">
        <v>0</v>
      </c>
      <c r="K1570" s="35" t="n">
        <v>0.065</v>
      </c>
    </row>
    <row r="1571">
      <c r="A1571" s="36" t="inlineStr">
        <is>
          <t>AGA SPK-tilskudd</t>
        </is>
      </c>
      <c r="B1571" s="36" t="inlineStr">
        <is>
          <t>Region Sør</t>
        </is>
      </c>
      <c r="C1571" s="36" t="inlineStr">
        <is>
          <t>St.Hansgården</t>
        </is>
      </c>
      <c r="D1571" s="26" t="n">
        <v>234758</v>
      </c>
      <c r="E1571" s="26" t="n">
        <v>195924</v>
      </c>
      <c r="F1571" s="26" t="n">
        <v>185245</v>
      </c>
      <c r="G1571" s="26" t="n">
        <v>218474</v>
      </c>
      <c r="H1571" s="26" t="n">
        <v>257309</v>
      </c>
      <c r="I1571" s="26" t="n">
        <v>255700</v>
      </c>
      <c r="J1571" s="19" t="n">
        <v>264590.8727828473</v>
      </c>
      <c r="K1571" s="37" t="n">
        <v>0.01723680563771657</v>
      </c>
    </row>
    <row r="1572">
      <c r="A1572" s="34" t="inlineStr">
        <is>
          <t>AGA SPK-tilskudd</t>
        </is>
      </c>
      <c r="B1572" s="34" t="inlineStr">
        <is>
          <t>Region Sør</t>
        </is>
      </c>
      <c r="C1572" s="34" t="inlineStr">
        <is>
          <t>St.Hansgården</t>
        </is>
      </c>
      <c r="D1572" s="18" t="n">
        <v>294622</v>
      </c>
      <c r="E1572" s="18" t="n">
        <v>412752</v>
      </c>
      <c r="F1572" s="18" t="n">
        <v>157196</v>
      </c>
      <c r="G1572" s="18" t="n"/>
      <c r="H1572" s="18" t="n"/>
      <c r="I1572" s="18" t="n">
        <v>19740</v>
      </c>
      <c r="J1572" s="19" t="n">
        <v>11103.75</v>
      </c>
      <c r="K1572" s="35" t="n">
        <v>-0.25</v>
      </c>
    </row>
    <row r="1573">
      <c r="A1573" s="36" t="inlineStr">
        <is>
          <t>AGA SPK-tilskudd</t>
        </is>
      </c>
      <c r="B1573" s="36" t="inlineStr">
        <is>
          <t>Region Sør</t>
        </is>
      </c>
      <c r="C1573" s="36" t="inlineStr">
        <is>
          <t>St.Hansgården</t>
        </is>
      </c>
      <c r="D1573" s="26" t="n">
        <v>31507</v>
      </c>
      <c r="E1573" s="26" t="n">
        <v>6000</v>
      </c>
      <c r="F1573" s="26" t="n">
        <v>50339</v>
      </c>
      <c r="G1573" s="26" t="n">
        <v>73653</v>
      </c>
      <c r="H1573" s="26" t="n">
        <v>44924</v>
      </c>
      <c r="I1573" s="26" t="n">
        <v>78838</v>
      </c>
      <c r="J1573" s="19" t="n">
        <v>113780.2848044266</v>
      </c>
      <c r="K1573" s="37" t="n">
        <v>0.2013393677354767</v>
      </c>
    </row>
    <row r="1574">
      <c r="A1574" s="34" t="inlineStr">
        <is>
          <t>AGA SPK-tilskudd</t>
        </is>
      </c>
      <c r="B1574" s="34" t="inlineStr">
        <is>
          <t>Region Sør</t>
        </is>
      </c>
      <c r="C1574" s="34" t="inlineStr">
        <is>
          <t>St.Hansgården</t>
        </is>
      </c>
      <c r="D1574" s="18" t="n">
        <v>62200</v>
      </c>
      <c r="E1574" s="18" t="n">
        <v>62166</v>
      </c>
      <c r="F1574" s="18" t="n">
        <v>59816</v>
      </c>
      <c r="G1574" s="18" t="n">
        <v>81345</v>
      </c>
      <c r="H1574" s="18" t="n">
        <v>93101</v>
      </c>
      <c r="I1574" s="18" t="n">
        <v>106253</v>
      </c>
      <c r="J1574" s="19" t="n">
        <v>131632.0144078368</v>
      </c>
      <c r="K1574" s="35" t="n">
        <v>0.1130384395629744</v>
      </c>
    </row>
    <row r="1575">
      <c r="A1575" s="36" t="inlineStr">
        <is>
          <t>AGA SPK-tilskudd</t>
        </is>
      </c>
      <c r="B1575" s="36" t="inlineStr">
        <is>
          <t>Region Sør</t>
        </is>
      </c>
      <c r="C1575" s="36" t="inlineStr">
        <is>
          <t>St.Hansgården</t>
        </is>
      </c>
      <c r="D1575" s="26" t="n">
        <v>56851</v>
      </c>
      <c r="E1575" s="26" t="n">
        <v>37214</v>
      </c>
      <c r="F1575" s="26" t="n">
        <v>21463</v>
      </c>
      <c r="G1575" s="26" t="n">
        <v>95337</v>
      </c>
      <c r="H1575" s="26" t="n">
        <v>71476</v>
      </c>
      <c r="I1575" s="26" t="n">
        <v>44319</v>
      </c>
      <c r="J1575" s="19" t="n">
        <v>40117.20708084411</v>
      </c>
      <c r="K1575" s="37" t="n">
        <v>-0.04858417927837411</v>
      </c>
    </row>
    <row r="1576">
      <c r="A1576" s="34" t="inlineStr">
        <is>
          <t>AGA SPK-tilskudd</t>
        </is>
      </c>
      <c r="B1576" s="34" t="inlineStr">
        <is>
          <t>Region Sør</t>
        </is>
      </c>
      <c r="C1576" s="34" t="inlineStr">
        <is>
          <t>St.Hansgården</t>
        </is>
      </c>
      <c r="D1576" s="18" t="n">
        <v>1674</v>
      </c>
      <c r="E1576" s="18" t="n">
        <v>1260</v>
      </c>
      <c r="F1576" s="18" t="n">
        <v>222</v>
      </c>
      <c r="G1576" s="18" t="n"/>
      <c r="H1576" s="18" t="n"/>
      <c r="I1576" s="18" t="n">
        <v>5356</v>
      </c>
      <c r="J1576" s="19" t="n">
        <v>8368.75</v>
      </c>
      <c r="K1576" s="35" t="n">
        <v>0.25</v>
      </c>
    </row>
    <row r="1577">
      <c r="A1577" s="36" t="inlineStr">
        <is>
          <t>AGA SPK-tilskudd</t>
        </is>
      </c>
      <c r="B1577" s="36" t="inlineStr">
        <is>
          <t>Region Sør</t>
        </is>
      </c>
      <c r="C1577" s="36" t="inlineStr">
        <is>
          <t>St.Hansgården</t>
        </is>
      </c>
      <c r="D1577" s="26" t="n">
        <v>2264</v>
      </c>
      <c r="E1577" s="26" t="n">
        <v>560</v>
      </c>
      <c r="F1577" s="26" t="n">
        <v>3507</v>
      </c>
      <c r="G1577" s="26" t="n">
        <v>9650</v>
      </c>
      <c r="H1577" s="26" t="n">
        <v>7182</v>
      </c>
      <c r="I1577" s="26" t="n">
        <v>11583</v>
      </c>
      <c r="J1577" s="19" t="n">
        <v>18098.4375</v>
      </c>
      <c r="K1577" s="37" t="n">
        <v>0.25</v>
      </c>
    </row>
    <row r="1578">
      <c r="A1578" s="34" t="inlineStr">
        <is>
          <t>AGA SPK-tilskudd</t>
        </is>
      </c>
      <c r="B1578" s="34" t="inlineStr">
        <is>
          <t>Region Sør</t>
        </is>
      </c>
      <c r="C1578" s="34" t="inlineStr">
        <is>
          <t>St.Hansgården</t>
        </is>
      </c>
      <c r="D1578" s="18" t="n"/>
      <c r="E1578" s="18" t="n"/>
      <c r="F1578" s="18" t="n">
        <v>10330</v>
      </c>
      <c r="G1578" s="18" t="n">
        <v>2970</v>
      </c>
      <c r="H1578" s="18" t="n">
        <v>1952</v>
      </c>
      <c r="I1578" s="18" t="n">
        <v>23060</v>
      </c>
      <c r="J1578" s="19" t="n">
        <v>26155.2285</v>
      </c>
      <c r="K1578" s="35" t="n">
        <v>0.065</v>
      </c>
    </row>
    <row r="1579">
      <c r="A1579" s="36" t="inlineStr">
        <is>
          <t>AGA SPK-tilskudd</t>
        </is>
      </c>
      <c r="B1579" s="36" t="inlineStr">
        <is>
          <t>Region Sør</t>
        </is>
      </c>
      <c r="C1579" s="36" t="inlineStr">
        <is>
          <t>St.Hansgården</t>
        </is>
      </c>
      <c r="D1579" s="26" t="n">
        <v>1373</v>
      </c>
      <c r="E1579" s="26" t="n">
        <v>23172</v>
      </c>
      <c r="F1579" s="26" t="n">
        <v>32989</v>
      </c>
      <c r="G1579" s="26" t="n">
        <v>5742</v>
      </c>
      <c r="H1579" s="26" t="n">
        <v>7400</v>
      </c>
      <c r="I1579" s="26" t="n">
        <v>8765</v>
      </c>
      <c r="J1579" s="19" t="n">
        <v>13695.3125</v>
      </c>
      <c r="K1579" s="37" t="n">
        <v>0.25</v>
      </c>
    </row>
    <row r="1580">
      <c r="A1580" s="34" t="inlineStr">
        <is>
          <t>AGA SPK-tilskudd</t>
        </is>
      </c>
      <c r="B1580" s="34" t="inlineStr">
        <is>
          <t>Region Sør</t>
        </is>
      </c>
      <c r="C1580" s="34" t="inlineStr">
        <is>
          <t>St.Hansgården</t>
        </is>
      </c>
      <c r="D1580" s="18" t="n">
        <v>2781</v>
      </c>
      <c r="E1580" s="18" t="n">
        <v>321</v>
      </c>
      <c r="F1580" s="18" t="n">
        <v>1330</v>
      </c>
      <c r="G1580" s="18" t="n">
        <v>3418</v>
      </c>
      <c r="H1580" s="18" t="n">
        <v>2646</v>
      </c>
      <c r="I1580" s="18" t="n">
        <v>5449</v>
      </c>
      <c r="J1580" s="19" t="n">
        <v>7131.208518440708</v>
      </c>
      <c r="K1580" s="35" t="n">
        <v>0.1439924646251978</v>
      </c>
    </row>
    <row r="1581">
      <c r="A1581" s="36" t="inlineStr">
        <is>
          <t>AGA SPK-tilskudd</t>
        </is>
      </c>
      <c r="B1581" s="36" t="inlineStr">
        <is>
          <t>Region Sør</t>
        </is>
      </c>
      <c r="C1581" s="36" t="inlineStr">
        <is>
          <t>St.Hansgården</t>
        </is>
      </c>
      <c r="D1581" s="26" t="n"/>
      <c r="E1581" s="26" t="n"/>
      <c r="F1581" s="26" t="n"/>
      <c r="G1581" s="26" t="n">
        <v>800</v>
      </c>
      <c r="H1581" s="26" t="n"/>
      <c r="I1581" s="26" t="n"/>
      <c r="J1581" s="19" t="n">
        <v>0</v>
      </c>
      <c r="K1581" s="37" t="n">
        <v>0.065</v>
      </c>
    </row>
    <row r="1582">
      <c r="A1582" s="34" t="inlineStr">
        <is>
          <t>AGA SPK-tilskudd</t>
        </is>
      </c>
      <c r="B1582" s="34" t="inlineStr">
        <is>
          <t>Region Sør</t>
        </is>
      </c>
      <c r="C1582" s="34" t="inlineStr">
        <is>
          <t>St.Hansgården</t>
        </is>
      </c>
      <c r="D1582" s="18" t="n"/>
      <c r="E1582" s="18" t="n"/>
      <c r="F1582" s="18" t="n"/>
      <c r="G1582" s="18" t="n"/>
      <c r="H1582" s="18" t="n">
        <v>5195</v>
      </c>
      <c r="I1582" s="18" t="n"/>
      <c r="J1582" s="19" t="n">
        <v>0</v>
      </c>
      <c r="K1582" s="35" t="n">
        <v>0.065</v>
      </c>
    </row>
    <row r="1583">
      <c r="A1583" s="36" t="inlineStr">
        <is>
          <t>AGA SPK-tilskudd</t>
        </is>
      </c>
      <c r="B1583" s="36" t="inlineStr">
        <is>
          <t>Region Sør</t>
        </is>
      </c>
      <c r="C1583" s="36" t="inlineStr">
        <is>
          <t>St.Hansgården</t>
        </is>
      </c>
      <c r="D1583" s="26" t="n">
        <v>596</v>
      </c>
      <c r="E1583" s="26" t="n">
        <v>2757</v>
      </c>
      <c r="F1583" s="26" t="n">
        <v>10994</v>
      </c>
      <c r="G1583" s="26" t="n">
        <v>1879</v>
      </c>
      <c r="H1583" s="26" t="n">
        <v>53603</v>
      </c>
      <c r="I1583" s="26" t="n">
        <v>18187</v>
      </c>
      <c r="J1583" s="19" t="n">
        <v>28417.1875</v>
      </c>
      <c r="K1583" s="37" t="n">
        <v>0.25</v>
      </c>
    </row>
    <row r="1584">
      <c r="A1584" s="34" t="inlineStr">
        <is>
          <t>AGA SPK-tilskudd</t>
        </is>
      </c>
      <c r="B1584" s="34" t="inlineStr">
        <is>
          <t>Region Sør</t>
        </is>
      </c>
      <c r="C1584" s="34" t="inlineStr">
        <is>
          <t>St.Hansgården</t>
        </is>
      </c>
      <c r="D1584" s="18" t="n"/>
      <c r="E1584" s="18" t="n"/>
      <c r="F1584" s="18" t="n"/>
      <c r="G1584" s="18" t="n">
        <v>-24387</v>
      </c>
      <c r="H1584" s="18" t="n">
        <v>-13860</v>
      </c>
      <c r="I1584" s="18" t="n">
        <v>-14560</v>
      </c>
      <c r="J1584" s="19" t="n">
        <v>-16514.316</v>
      </c>
      <c r="K1584" s="35" t="n">
        <v>0.065</v>
      </c>
    </row>
    <row r="1585">
      <c r="A1585" s="36" t="inlineStr">
        <is>
          <t>AGA SPK-tilskudd</t>
        </is>
      </c>
      <c r="B1585" s="36" t="inlineStr">
        <is>
          <t>Region Sør</t>
        </is>
      </c>
      <c r="C1585" s="36" t="inlineStr">
        <is>
          <t>St.Hansgården</t>
        </is>
      </c>
      <c r="D1585" s="26" t="n">
        <v>-6956</v>
      </c>
      <c r="E1585" s="26" t="n">
        <v>-333397</v>
      </c>
      <c r="F1585" s="26" t="n">
        <v>-736512</v>
      </c>
      <c r="G1585" s="26" t="n">
        <v>-421971</v>
      </c>
      <c r="H1585" s="26" t="n">
        <v>-665594</v>
      </c>
      <c r="I1585" s="26" t="n">
        <v>-686044</v>
      </c>
      <c r="J1585" s="19" t="n">
        <v>-778128.2558999999</v>
      </c>
      <c r="K1585" s="37" t="n">
        <v>0.065</v>
      </c>
    </row>
    <row r="1586">
      <c r="A1586" s="34" t="inlineStr">
        <is>
          <t>AGA SPK-tilskudd</t>
        </is>
      </c>
      <c r="B1586" s="34" t="inlineStr">
        <is>
          <t>Region Sør</t>
        </is>
      </c>
      <c r="C1586" s="34" t="inlineStr">
        <is>
          <t>St.Hansgården</t>
        </is>
      </c>
      <c r="D1586" s="18" t="n">
        <v>-1344811</v>
      </c>
      <c r="E1586" s="18" t="n">
        <v>-1069978</v>
      </c>
      <c r="F1586" s="18" t="n">
        <v>-1286839</v>
      </c>
      <c r="G1586" s="18" t="n">
        <v>-1625569</v>
      </c>
      <c r="H1586" s="18" t="n">
        <v>-1965075</v>
      </c>
      <c r="I1586" s="18" t="n">
        <v>-2405246</v>
      </c>
      <c r="J1586" s="19" t="n">
        <v>-2728090.14435</v>
      </c>
      <c r="K1586" s="35" t="n">
        <v>0.065</v>
      </c>
    </row>
    <row r="1587">
      <c r="A1587" s="36" t="inlineStr">
        <is>
          <t>AGA SPK-tilskudd</t>
        </is>
      </c>
      <c r="B1587" s="36" t="inlineStr">
        <is>
          <t>Region Sør</t>
        </is>
      </c>
      <c r="C1587" s="36" t="inlineStr">
        <is>
          <t>Stokke barnesenter</t>
        </is>
      </c>
      <c r="D1587" s="26" t="n"/>
      <c r="E1587" s="26" t="n"/>
      <c r="F1587" s="26" t="n"/>
      <c r="G1587" s="26" t="n"/>
      <c r="H1587" s="26" t="n">
        <v>10927</v>
      </c>
      <c r="I1587" s="26" t="n">
        <v>11325</v>
      </c>
      <c r="J1587" s="19" t="n">
        <v>12845.098125</v>
      </c>
      <c r="K1587" s="37" t="n">
        <v>0.065</v>
      </c>
    </row>
    <row r="1588">
      <c r="A1588" s="34" t="inlineStr">
        <is>
          <t>AGA SPK-tilskudd</t>
        </is>
      </c>
      <c r="B1588" s="34" t="inlineStr">
        <is>
          <t>Region Sør</t>
        </is>
      </c>
      <c r="C1588" s="34" t="inlineStr">
        <is>
          <t>Stokke barnesenter</t>
        </is>
      </c>
      <c r="D1588" s="18" t="n"/>
      <c r="E1588" s="18" t="n"/>
      <c r="F1588" s="18" t="n"/>
      <c r="G1588" s="18" t="n"/>
      <c r="H1588" s="18" t="n">
        <v>21768</v>
      </c>
      <c r="I1588" s="18" t="n">
        <v>2263</v>
      </c>
      <c r="J1588" s="19" t="n">
        <v>2566.751174999999</v>
      </c>
      <c r="K1588" s="35" t="n">
        <v>0.065</v>
      </c>
    </row>
    <row r="1589">
      <c r="A1589" s="36" t="inlineStr">
        <is>
          <t>AGA SPK-tilskudd</t>
        </is>
      </c>
      <c r="B1589" s="36" t="inlineStr">
        <is>
          <t>Region Sør</t>
        </is>
      </c>
      <c r="C1589" s="36" t="inlineStr">
        <is>
          <t>Stokke barnesenter</t>
        </is>
      </c>
      <c r="D1589" s="26" t="n"/>
      <c r="E1589" s="26" t="n"/>
      <c r="F1589" s="26" t="n"/>
      <c r="G1589" s="26" t="n"/>
      <c r="H1589" s="26" t="n">
        <v>1665</v>
      </c>
      <c r="I1589" s="26" t="n">
        <v>1730</v>
      </c>
      <c r="J1589" s="19" t="n">
        <v>1962.20925</v>
      </c>
      <c r="K1589" s="37" t="n">
        <v>0.065</v>
      </c>
    </row>
    <row r="1590">
      <c r="A1590" s="34" t="inlineStr">
        <is>
          <t>AGA SPK-tilskudd</t>
        </is>
      </c>
      <c r="B1590" s="34" t="inlineStr">
        <is>
          <t>Region Sør</t>
        </is>
      </c>
      <c r="C1590" s="34" t="inlineStr">
        <is>
          <t>Stokke barnesenter</t>
        </is>
      </c>
      <c r="D1590" s="18" t="n"/>
      <c r="E1590" s="18" t="n"/>
      <c r="F1590" s="18" t="n"/>
      <c r="G1590" s="18" t="n"/>
      <c r="H1590" s="18" t="n">
        <v>5628</v>
      </c>
      <c r="I1590" s="18" t="n">
        <v>4925</v>
      </c>
      <c r="J1590" s="19" t="n">
        <v>5586.058124999999</v>
      </c>
      <c r="K1590" s="35" t="n">
        <v>0.065</v>
      </c>
    </row>
    <row r="1591">
      <c r="A1591" s="36" t="inlineStr">
        <is>
          <t>AGA SPK-tilskudd</t>
        </is>
      </c>
      <c r="B1591" s="36" t="inlineStr">
        <is>
          <t>Region Sør</t>
        </is>
      </c>
      <c r="C1591" s="36" t="inlineStr">
        <is>
          <t>Stokke barnesenter</t>
        </is>
      </c>
      <c r="D1591" s="26" t="n"/>
      <c r="E1591" s="26" t="n"/>
      <c r="F1591" s="26" t="n"/>
      <c r="G1591" s="26" t="n"/>
      <c r="H1591" s="26" t="n">
        <v>4533</v>
      </c>
      <c r="I1591" s="26" t="n"/>
      <c r="J1591" s="19" t="n">
        <v>0</v>
      </c>
      <c r="K1591" s="37" t="n">
        <v>0.065</v>
      </c>
    </row>
    <row r="1592">
      <c r="A1592" s="34" t="inlineStr">
        <is>
          <t>AGA SPK-tilskudd</t>
        </is>
      </c>
      <c r="B1592" s="34" t="inlineStr">
        <is>
          <t>Region Sør</t>
        </is>
      </c>
      <c r="C1592" s="34" t="inlineStr">
        <is>
          <t>Stokke barnesenter</t>
        </is>
      </c>
      <c r="D1592" s="18" t="n"/>
      <c r="E1592" s="18" t="n"/>
      <c r="F1592" s="18" t="n"/>
      <c r="G1592" s="18" t="n"/>
      <c r="H1592" s="18" t="n">
        <v>737</v>
      </c>
      <c r="I1592" s="18" t="n"/>
      <c r="J1592" s="19" t="n">
        <v>0</v>
      </c>
      <c r="K1592" s="35" t="n">
        <v>0.065</v>
      </c>
    </row>
    <row r="1593">
      <c r="A1593" s="36" t="inlineStr">
        <is>
          <t>AGA SPK-tilskudd</t>
        </is>
      </c>
      <c r="B1593" s="36" t="inlineStr">
        <is>
          <t>Region Sør</t>
        </is>
      </c>
      <c r="C1593" s="36" t="inlineStr">
        <is>
          <t>Stokke barnesenter</t>
        </is>
      </c>
      <c r="D1593" s="26" t="n"/>
      <c r="E1593" s="26" t="n"/>
      <c r="F1593" s="26" t="n"/>
      <c r="G1593" s="26" t="n"/>
      <c r="H1593" s="26" t="n">
        <v>3959</v>
      </c>
      <c r="I1593" s="26" t="n">
        <v>1722</v>
      </c>
      <c r="J1593" s="19" t="n">
        <v>1953.13545</v>
      </c>
      <c r="K1593" s="37" t="n">
        <v>0.065</v>
      </c>
    </row>
    <row r="1594">
      <c r="A1594" s="34" t="inlineStr">
        <is>
          <t>AGA SPK-tilskudd</t>
        </is>
      </c>
      <c r="B1594" s="34" t="inlineStr">
        <is>
          <t>Region Sør</t>
        </is>
      </c>
      <c r="C1594" s="34" t="inlineStr">
        <is>
          <t>Sundstedtråkka</t>
        </is>
      </c>
      <c r="D1594" s="18" t="n">
        <v>218919</v>
      </c>
      <c r="E1594" s="18" t="n">
        <v>177041</v>
      </c>
      <c r="F1594" s="18" t="n">
        <v>169598</v>
      </c>
      <c r="G1594" s="18" t="n">
        <v>186232</v>
      </c>
      <c r="H1594" s="18" t="n">
        <v>226504</v>
      </c>
      <c r="I1594" s="18" t="n">
        <v>227530</v>
      </c>
      <c r="J1594" s="19" t="n">
        <v>231068.503291807</v>
      </c>
      <c r="K1594" s="35" t="n">
        <v>0.007745905392434471</v>
      </c>
    </row>
    <row r="1595">
      <c r="A1595" s="36" t="inlineStr">
        <is>
          <t>AGA SPK-tilskudd</t>
        </is>
      </c>
      <c r="B1595" s="36" t="inlineStr">
        <is>
          <t>Region Sør</t>
        </is>
      </c>
      <c r="C1595" s="36" t="inlineStr">
        <is>
          <t>Sundstedtråkka</t>
        </is>
      </c>
      <c r="D1595" s="26" t="n">
        <v>233110</v>
      </c>
      <c r="E1595" s="26" t="n">
        <v>502150</v>
      </c>
      <c r="F1595" s="26" t="n">
        <v>201079</v>
      </c>
      <c r="G1595" s="26" t="n">
        <v>130459</v>
      </c>
      <c r="H1595" s="26" t="n">
        <v>78595</v>
      </c>
      <c r="I1595" s="26" t="n">
        <v>1949</v>
      </c>
      <c r="J1595" s="19" t="n">
        <v>1096.3125</v>
      </c>
      <c r="K1595" s="37" t="n">
        <v>-0.25</v>
      </c>
    </row>
    <row r="1596">
      <c r="A1596" s="34" t="inlineStr">
        <is>
          <t>AGA SPK-tilskudd</t>
        </is>
      </c>
      <c r="B1596" s="34" t="inlineStr">
        <is>
          <t>Region Sør</t>
        </is>
      </c>
      <c r="C1596" s="34" t="inlineStr">
        <is>
          <t>Sundstedtråkka</t>
        </is>
      </c>
      <c r="D1596" s="18" t="n">
        <v>8535</v>
      </c>
      <c r="E1596" s="18" t="n">
        <v>11279</v>
      </c>
      <c r="F1596" s="18" t="n">
        <v>8974</v>
      </c>
      <c r="G1596" s="18" t="n">
        <v>50287</v>
      </c>
      <c r="H1596" s="18" t="n">
        <v>115661</v>
      </c>
      <c r="I1596" s="18" t="n">
        <v>122494</v>
      </c>
      <c r="J1596" s="19" t="n">
        <v>191396.875</v>
      </c>
      <c r="K1596" s="35" t="n">
        <v>0.25</v>
      </c>
    </row>
    <row r="1597">
      <c r="A1597" s="36" t="inlineStr">
        <is>
          <t>AGA SPK-tilskudd</t>
        </is>
      </c>
      <c r="B1597" s="36" t="inlineStr">
        <is>
          <t>Region Sør</t>
        </is>
      </c>
      <c r="C1597" s="36" t="inlineStr">
        <is>
          <t>Sundstedtråkka</t>
        </is>
      </c>
      <c r="D1597" s="26" t="n">
        <v>66700</v>
      </c>
      <c r="E1597" s="26" t="n">
        <v>61350</v>
      </c>
      <c r="F1597" s="26" t="n">
        <v>61452</v>
      </c>
      <c r="G1597" s="26" t="n">
        <v>79925</v>
      </c>
      <c r="H1597" s="26" t="n">
        <v>85429</v>
      </c>
      <c r="I1597" s="26" t="n">
        <v>86127</v>
      </c>
      <c r="J1597" s="19" t="n">
        <v>95399.19596764162</v>
      </c>
      <c r="K1597" s="37" t="n">
        <v>0.05245296805316157</v>
      </c>
    </row>
    <row r="1598">
      <c r="A1598" s="34" t="inlineStr">
        <is>
          <t>AGA SPK-tilskudd</t>
        </is>
      </c>
      <c r="B1598" s="34" t="inlineStr">
        <is>
          <t>Region Sør</t>
        </is>
      </c>
      <c r="C1598" s="34" t="inlineStr">
        <is>
          <t>Sundstedtråkka</t>
        </is>
      </c>
      <c r="D1598" s="18" t="n">
        <v>2783</v>
      </c>
      <c r="E1598" s="18" t="n">
        <v>6762</v>
      </c>
      <c r="F1598" s="18" t="n">
        <v>5533</v>
      </c>
      <c r="G1598" s="18" t="n">
        <v>28116</v>
      </c>
      <c r="H1598" s="18" t="n">
        <v>6624</v>
      </c>
      <c r="I1598" s="18" t="n">
        <v>14981</v>
      </c>
      <c r="J1598" s="19" t="n">
        <v>23407.8125</v>
      </c>
      <c r="K1598" s="35" t="n">
        <v>0.25</v>
      </c>
    </row>
    <row r="1599">
      <c r="A1599" s="36" t="inlineStr">
        <is>
          <t>AGA SPK-tilskudd</t>
        </is>
      </c>
      <c r="B1599" s="36" t="inlineStr">
        <is>
          <t>Region Sør</t>
        </is>
      </c>
      <c r="C1599" s="36" t="inlineStr">
        <is>
          <t>Sundstedtråkka</t>
        </is>
      </c>
      <c r="D1599" s="26" t="n">
        <v>6663</v>
      </c>
      <c r="E1599" s="26" t="n">
        <v>4126</v>
      </c>
      <c r="F1599" s="26" t="n">
        <v>6440</v>
      </c>
      <c r="G1599" s="26" t="n">
        <v>14405</v>
      </c>
      <c r="H1599" s="26" t="n">
        <v>13992</v>
      </c>
      <c r="I1599" s="26" t="n">
        <v>5616</v>
      </c>
      <c r="J1599" s="19" t="n">
        <v>5244.813061736362</v>
      </c>
      <c r="K1599" s="37" t="n">
        <v>-0.03361215875255819</v>
      </c>
    </row>
    <row r="1600">
      <c r="A1600" s="34" t="inlineStr">
        <is>
          <t>AGA SPK-tilskudd</t>
        </is>
      </c>
      <c r="B1600" s="34" t="inlineStr">
        <is>
          <t>Region Sør</t>
        </is>
      </c>
      <c r="C1600" s="34" t="inlineStr">
        <is>
          <t>Sundstedtråkka</t>
        </is>
      </c>
      <c r="D1600" s="18" t="n"/>
      <c r="E1600" s="18" t="n"/>
      <c r="F1600" s="18" t="n"/>
      <c r="G1600" s="18" t="n">
        <v>9348</v>
      </c>
      <c r="H1600" s="18" t="n">
        <v>31952</v>
      </c>
      <c r="I1600" s="18" t="n">
        <v>20446</v>
      </c>
      <c r="J1600" s="19" t="n">
        <v>23190.36435</v>
      </c>
      <c r="K1600" s="35" t="n">
        <v>0.065</v>
      </c>
    </row>
    <row r="1601">
      <c r="A1601" s="36" t="inlineStr">
        <is>
          <t>AGA SPK-tilskudd</t>
        </is>
      </c>
      <c r="B1601" s="36" t="inlineStr">
        <is>
          <t>Region Sør</t>
        </is>
      </c>
      <c r="C1601" s="36" t="inlineStr">
        <is>
          <t>Sundstedtråkka</t>
        </is>
      </c>
      <c r="D1601" s="26" t="n">
        <v>735</v>
      </c>
      <c r="E1601" s="26" t="n">
        <v>1728</v>
      </c>
      <c r="F1601" s="26" t="n">
        <v>1197</v>
      </c>
      <c r="G1601" s="26" t="n">
        <v>33661</v>
      </c>
      <c r="H1601" s="26" t="n">
        <v>26234</v>
      </c>
      <c r="I1601" s="26" t="n">
        <v>5471</v>
      </c>
      <c r="J1601" s="19" t="n">
        <v>8548.4375</v>
      </c>
      <c r="K1601" s="37" t="n">
        <v>0.25</v>
      </c>
    </row>
    <row r="1602">
      <c r="A1602" s="34" t="inlineStr">
        <is>
          <t>AGA SPK-tilskudd</t>
        </is>
      </c>
      <c r="B1602" s="34" t="inlineStr">
        <is>
          <t>Region Sør</t>
        </is>
      </c>
      <c r="C1602" s="34" t="inlineStr">
        <is>
          <t>Sundstedtråkka</t>
        </is>
      </c>
      <c r="D1602" s="18" t="n">
        <v>1260</v>
      </c>
      <c r="E1602" s="18" t="n">
        <v>3088</v>
      </c>
      <c r="F1602" s="18" t="n">
        <v>17694</v>
      </c>
      <c r="G1602" s="18" t="n">
        <v>11287</v>
      </c>
      <c r="H1602" s="18" t="n">
        <v>3190</v>
      </c>
      <c r="I1602" s="18" t="n">
        <v>10182</v>
      </c>
      <c r="J1602" s="19" t="n">
        <v>15909.375</v>
      </c>
      <c r="K1602" s="35" t="n">
        <v>0.25</v>
      </c>
    </row>
    <row r="1603">
      <c r="A1603" s="36" t="inlineStr">
        <is>
          <t>AGA SPK-tilskudd</t>
        </is>
      </c>
      <c r="B1603" s="36" t="inlineStr">
        <is>
          <t>Region Sør</t>
        </is>
      </c>
      <c r="C1603" s="36" t="inlineStr">
        <is>
          <t>Sundstedtråkka</t>
        </is>
      </c>
      <c r="D1603" s="26" t="n">
        <v>983</v>
      </c>
      <c r="E1603" s="26" t="n">
        <v>614</v>
      </c>
      <c r="F1603" s="26" t="n">
        <v>1612</v>
      </c>
      <c r="G1603" s="26" t="n">
        <v>6127</v>
      </c>
      <c r="H1603" s="26" t="n">
        <v>17875</v>
      </c>
      <c r="I1603" s="26" t="n">
        <v>11672</v>
      </c>
      <c r="J1603" s="19" t="n">
        <v>18237.5</v>
      </c>
      <c r="K1603" s="37" t="n">
        <v>0.25</v>
      </c>
    </row>
    <row r="1604">
      <c r="A1604" s="34" t="inlineStr">
        <is>
          <t>AGA SPK-tilskudd</t>
        </is>
      </c>
      <c r="B1604" s="34" t="inlineStr">
        <is>
          <t>Region Sør</t>
        </is>
      </c>
      <c r="C1604" s="34" t="inlineStr">
        <is>
          <t>Sundstedtråkka</t>
        </is>
      </c>
      <c r="D1604" s="18" t="n"/>
      <c r="E1604" s="18" t="n">
        <v>10325</v>
      </c>
      <c r="F1604" s="18" t="n"/>
      <c r="G1604" s="18" t="n">
        <v>685</v>
      </c>
      <c r="H1604" s="18" t="n">
        <v>9415</v>
      </c>
      <c r="I1604" s="18" t="n">
        <v>2498</v>
      </c>
      <c r="J1604" s="19" t="n">
        <v>1405.125</v>
      </c>
      <c r="K1604" s="35" t="n">
        <v>-0.25</v>
      </c>
    </row>
    <row r="1605">
      <c r="A1605" s="36" t="inlineStr">
        <is>
          <t>AGA SPK-tilskudd</t>
        </is>
      </c>
      <c r="B1605" s="36" t="inlineStr">
        <is>
          <t>Region Sør</t>
        </is>
      </c>
      <c r="C1605" s="36" t="inlineStr">
        <is>
          <t>Sundstedtråkka</t>
        </is>
      </c>
      <c r="D1605" s="26" t="n">
        <v>12740</v>
      </c>
      <c r="E1605" s="26" t="n"/>
      <c r="F1605" s="26" t="n"/>
      <c r="G1605" s="26" t="n"/>
      <c r="H1605" s="26" t="n"/>
      <c r="I1605" s="26" t="n"/>
      <c r="J1605" s="19" t="n">
        <v>0</v>
      </c>
      <c r="K1605" s="37" t="n">
        <v>0.065</v>
      </c>
    </row>
    <row r="1606">
      <c r="A1606" s="34" t="inlineStr">
        <is>
          <t>AGA SPK-tilskudd</t>
        </is>
      </c>
      <c r="B1606" s="34" t="inlineStr">
        <is>
          <t>Region Sør</t>
        </is>
      </c>
      <c r="C1606" s="34" t="inlineStr">
        <is>
          <t>Sundstedtråkka</t>
        </is>
      </c>
      <c r="D1606" s="18" t="n">
        <v>-10720</v>
      </c>
      <c r="E1606" s="18" t="n">
        <v>-660</v>
      </c>
      <c r="F1606" s="18" t="n">
        <v>-1271</v>
      </c>
      <c r="G1606" s="18" t="n">
        <v>-1245</v>
      </c>
      <c r="H1606" s="18" t="n">
        <v>4491</v>
      </c>
      <c r="I1606" s="18" t="n">
        <v>112</v>
      </c>
      <c r="J1606" s="19" t="n">
        <v>127.0332</v>
      </c>
      <c r="K1606" s="35" t="n">
        <v>0.065</v>
      </c>
    </row>
    <row r="1607">
      <c r="A1607" s="36" t="inlineStr">
        <is>
          <t>AGA SPK-tilskudd</t>
        </is>
      </c>
      <c r="B1607" s="36" t="inlineStr">
        <is>
          <t>Region Sør</t>
        </is>
      </c>
      <c r="C1607" s="36" t="inlineStr">
        <is>
          <t>Sundstedtråkka</t>
        </is>
      </c>
      <c r="D1607" s="26" t="n"/>
      <c r="E1607" s="26" t="n"/>
      <c r="F1607" s="26" t="n"/>
      <c r="G1607" s="26" t="n">
        <v>-10000</v>
      </c>
      <c r="H1607" s="26" t="n"/>
      <c r="I1607" s="26" t="n"/>
      <c r="J1607" s="19" t="n">
        <v>0</v>
      </c>
      <c r="K1607" s="37" t="n">
        <v>0.065</v>
      </c>
    </row>
    <row r="1608">
      <c r="A1608" s="34" t="inlineStr">
        <is>
          <t>AGA SPK-tilskudd</t>
        </is>
      </c>
      <c r="B1608" s="34" t="inlineStr">
        <is>
          <t>Region Sør</t>
        </is>
      </c>
      <c r="C1608" s="34" t="inlineStr">
        <is>
          <t>Sundstedtråkka</t>
        </is>
      </c>
      <c r="D1608" s="18" t="n">
        <v>-667872</v>
      </c>
      <c r="E1608" s="18" t="n">
        <v>-287354</v>
      </c>
      <c r="F1608" s="18" t="n">
        <v>-12806</v>
      </c>
      <c r="G1608" s="18" t="n">
        <v>-247281</v>
      </c>
      <c r="H1608" s="18" t="n">
        <v>-398138</v>
      </c>
      <c r="I1608" s="18" t="n">
        <v>-1104453</v>
      </c>
      <c r="J1608" s="19" t="n">
        <v>-1252698.203925</v>
      </c>
      <c r="K1608" s="35" t="n">
        <v>0.065</v>
      </c>
    </row>
    <row r="1609">
      <c r="A1609" s="36" t="inlineStr">
        <is>
          <t>AGA SPK-tilskudd</t>
        </is>
      </c>
      <c r="B1609" s="36" t="inlineStr">
        <is>
          <t>Region Sør</t>
        </is>
      </c>
      <c r="C1609" s="36" t="inlineStr">
        <is>
          <t>Sundstedtråkka</t>
        </is>
      </c>
      <c r="D1609" s="26" t="n">
        <v>-1081554</v>
      </c>
      <c r="E1609" s="26" t="n">
        <v>-729850</v>
      </c>
      <c r="F1609" s="26" t="n">
        <v>-671043</v>
      </c>
      <c r="G1609" s="26" t="n">
        <v>-1422030</v>
      </c>
      <c r="H1609" s="26" t="n">
        <v>-1475398</v>
      </c>
      <c r="I1609" s="26" t="n">
        <v>-1102445</v>
      </c>
      <c r="J1609" s="19" t="n">
        <v>-1250420.680125</v>
      </c>
      <c r="K1609" s="37" t="n">
        <v>0.065</v>
      </c>
    </row>
    <row r="1610">
      <c r="A1610" s="34" t="inlineStr">
        <is>
          <t>AGA SPK-tilskudd</t>
        </is>
      </c>
      <c r="B1610" s="34" t="inlineStr">
        <is>
          <t>Region Sør</t>
        </is>
      </c>
      <c r="C1610" s="34" t="inlineStr">
        <is>
          <t>Sundstedtråkka ungdomssenter akutt</t>
        </is>
      </c>
      <c r="D1610" s="18" t="n">
        <v>9776</v>
      </c>
      <c r="E1610" s="18" t="n">
        <v>8207</v>
      </c>
      <c r="F1610" s="18" t="n">
        <v>7371</v>
      </c>
      <c r="G1610" s="18" t="n">
        <v>7427</v>
      </c>
      <c r="H1610" s="18" t="n">
        <v>7363</v>
      </c>
      <c r="I1610" s="18" t="n">
        <v>13034</v>
      </c>
      <c r="J1610" s="19" t="n">
        <v>14623.26418841861</v>
      </c>
      <c r="K1610" s="35" t="n">
        <v>0.0592130058860505</v>
      </c>
    </row>
    <row r="1611">
      <c r="A1611" s="36" t="inlineStr">
        <is>
          <t>AGA SPK-tilskudd</t>
        </is>
      </c>
      <c r="B1611" s="36" t="inlineStr">
        <is>
          <t>Region Sør</t>
        </is>
      </c>
      <c r="C1611" s="36" t="inlineStr">
        <is>
          <t>Sundstedtråkka ungdomssenter akutt</t>
        </is>
      </c>
      <c r="D1611" s="26" t="n">
        <v>2490</v>
      </c>
      <c r="E1611" s="26" t="n">
        <v>931</v>
      </c>
      <c r="F1611" s="26" t="n">
        <v>2633</v>
      </c>
      <c r="G1611" s="26" t="n">
        <v>5110</v>
      </c>
      <c r="H1611" s="26" t="n">
        <v>6595</v>
      </c>
      <c r="I1611" s="26" t="n">
        <v>6871</v>
      </c>
      <c r="J1611" s="19" t="n">
        <v>10312.12548378929</v>
      </c>
      <c r="K1611" s="37" t="n">
        <v>0.2250790703210477</v>
      </c>
    </row>
    <row r="1612">
      <c r="A1612" s="34" t="inlineStr">
        <is>
          <t>AGA SPK-tilskudd</t>
        </is>
      </c>
      <c r="B1612" s="34" t="inlineStr">
        <is>
          <t>Region Sør</t>
        </is>
      </c>
      <c r="C1612" s="34" t="inlineStr">
        <is>
          <t>Sundstedtråkka ungdomssenter akutt</t>
        </is>
      </c>
      <c r="D1612" s="18" t="n">
        <v>876</v>
      </c>
      <c r="E1612" s="18" t="n">
        <v>896</v>
      </c>
      <c r="F1612" s="18" t="n">
        <v>896</v>
      </c>
      <c r="G1612" s="18" t="n">
        <v>1163</v>
      </c>
      <c r="H1612" s="18" t="n">
        <v>1215</v>
      </c>
      <c r="I1612" s="18" t="n">
        <v>2046</v>
      </c>
      <c r="J1612" s="19" t="n">
        <v>2872.54101677415</v>
      </c>
      <c r="K1612" s="35" t="n">
        <v>0.1848961944325411</v>
      </c>
    </row>
    <row r="1613">
      <c r="A1613" s="36" t="inlineStr">
        <is>
          <t>AGA SPK-tilskudd</t>
        </is>
      </c>
      <c r="B1613" s="36" t="inlineStr">
        <is>
          <t>Region Sør</t>
        </is>
      </c>
      <c r="C1613" s="36" t="inlineStr">
        <is>
          <t>Sundstedtråkka ungdomssenter akutt</t>
        </is>
      </c>
      <c r="D1613" s="26" t="n"/>
      <c r="E1613" s="26" t="n">
        <v>3207</v>
      </c>
      <c r="F1613" s="26" t="n"/>
      <c r="G1613" s="26" t="n"/>
      <c r="H1613" s="26" t="n"/>
      <c r="I1613" s="26" t="n"/>
      <c r="J1613" s="19" t="n">
        <v>0</v>
      </c>
      <c r="K1613" s="37" t="n">
        <v>0.065</v>
      </c>
    </row>
    <row r="1614">
      <c r="A1614" s="34" t="inlineStr">
        <is>
          <t>AGA SPK-tilskudd</t>
        </is>
      </c>
      <c r="B1614" s="34" t="inlineStr">
        <is>
          <t>Region Sør</t>
        </is>
      </c>
      <c r="C1614" s="34" t="inlineStr">
        <is>
          <t>Sundstedtråkka ungdomssenter akutt</t>
        </is>
      </c>
      <c r="D1614" s="18" t="n">
        <v>2394</v>
      </c>
      <c r="E1614" s="18" t="n">
        <v>3181</v>
      </c>
      <c r="F1614" s="18" t="n">
        <v>3643</v>
      </c>
      <c r="G1614" s="18" t="n">
        <v>1727</v>
      </c>
      <c r="H1614" s="18" t="n">
        <v>1477</v>
      </c>
      <c r="I1614" s="18" t="n">
        <v>4686</v>
      </c>
      <c r="J1614" s="19" t="n">
        <v>6130.184413509613</v>
      </c>
      <c r="K1614" s="35" t="n">
        <v>0.1437619053355474</v>
      </c>
    </row>
    <row r="1615">
      <c r="A1615" s="36" t="inlineStr">
        <is>
          <t>AGA SPK-tilskudd</t>
        </is>
      </c>
      <c r="B1615" s="36" t="inlineStr">
        <is>
          <t>Region Sør</t>
        </is>
      </c>
      <c r="C1615" s="36" t="inlineStr">
        <is>
          <t>Sundstedtråkka ungdomssenter akutt</t>
        </is>
      </c>
      <c r="D1615" s="26" t="n"/>
      <c r="E1615" s="26" t="n">
        <v>767</v>
      </c>
      <c r="F1615" s="26" t="n">
        <v>462</v>
      </c>
      <c r="G1615" s="26" t="n">
        <v>1351</v>
      </c>
      <c r="H1615" s="26" t="n">
        <v>429</v>
      </c>
      <c r="I1615" s="26" t="n">
        <v>510</v>
      </c>
      <c r="J1615" s="19" t="n">
        <v>415.8699902149807</v>
      </c>
      <c r="K1615" s="37" t="n">
        <v>-0.096987622807579</v>
      </c>
    </row>
    <row r="1616">
      <c r="A1616" s="34" t="inlineStr">
        <is>
          <t>AGA SPK-tilskudd</t>
        </is>
      </c>
      <c r="B1616" s="34" t="inlineStr">
        <is>
          <t>Region Sør</t>
        </is>
      </c>
      <c r="C1616" s="34" t="inlineStr">
        <is>
          <t>Sundstedtråkka ungdomssenter akutt</t>
        </is>
      </c>
      <c r="D1616" s="18" t="n"/>
      <c r="E1616" s="18" t="n">
        <v>17199</v>
      </c>
      <c r="F1616" s="18" t="n"/>
      <c r="G1616" s="18" t="n"/>
      <c r="H1616" s="18" t="n"/>
      <c r="I1616" s="18" t="n">
        <v>4609</v>
      </c>
      <c r="J1616" s="19" t="n">
        <v>2592.5625</v>
      </c>
      <c r="K1616" s="35" t="n">
        <v>-0.25</v>
      </c>
    </row>
    <row r="1617">
      <c r="A1617" s="36" t="inlineStr">
        <is>
          <t>AGA SPK-tilskudd</t>
        </is>
      </c>
      <c r="B1617" s="36" t="inlineStr">
        <is>
          <t>Region Sør</t>
        </is>
      </c>
      <c r="C1617" s="36" t="inlineStr">
        <is>
          <t>Sundstedtråkka ungdomssenter akutt</t>
        </is>
      </c>
      <c r="D1617" s="26" t="n">
        <v>2945</v>
      </c>
      <c r="E1617" s="26" t="n">
        <v>1408</v>
      </c>
      <c r="F1617" s="26" t="n">
        <v>1295</v>
      </c>
      <c r="G1617" s="26" t="n">
        <v>1075</v>
      </c>
      <c r="H1617" s="26" t="n">
        <v>5000</v>
      </c>
      <c r="I1617" s="26" t="n">
        <v>2495</v>
      </c>
      <c r="J1617" s="19" t="n">
        <v>2334.880457884387</v>
      </c>
      <c r="K1617" s="37" t="n">
        <v>-0.03262012073054488</v>
      </c>
    </row>
    <row r="1618">
      <c r="A1618" s="34" t="inlineStr">
        <is>
          <t>AGA SPK-tilskudd</t>
        </is>
      </c>
      <c r="B1618" s="34" t="inlineStr">
        <is>
          <t>Region Sør</t>
        </is>
      </c>
      <c r="C1618" s="34" t="inlineStr">
        <is>
          <t>Sundstedtråkka ungdomssenter akutt</t>
        </is>
      </c>
      <c r="D1618" s="18" t="n">
        <v>363</v>
      </c>
      <c r="E1618" s="18" t="n">
        <v>665</v>
      </c>
      <c r="F1618" s="18" t="n">
        <v>627</v>
      </c>
      <c r="G1618" s="18" t="n">
        <v>588</v>
      </c>
      <c r="H1618" s="18" t="n">
        <v>694</v>
      </c>
      <c r="I1618" s="18" t="n">
        <v>1781</v>
      </c>
      <c r="J1618" s="19" t="n">
        <v>2782.8125</v>
      </c>
      <c r="K1618" s="35" t="n">
        <v>0.25</v>
      </c>
    </row>
    <row r="1619">
      <c r="A1619" s="36" t="inlineStr">
        <is>
          <t>AGA SPK-tilskudd</t>
        </is>
      </c>
      <c r="B1619" s="36" t="inlineStr">
        <is>
          <t>Region Sør</t>
        </is>
      </c>
      <c r="C1619" s="36" t="inlineStr">
        <is>
          <t>Sundstedtråkka ungdomssenter akutt</t>
        </is>
      </c>
      <c r="D1619" s="26" t="n"/>
      <c r="E1619" s="26" t="n"/>
      <c r="F1619" s="26" t="n"/>
      <c r="G1619" s="26" t="n"/>
      <c r="H1619" s="26" t="n"/>
      <c r="I1619" s="26" t="n">
        <v>5370</v>
      </c>
      <c r="J1619" s="19" t="n">
        <v>6090.788249999999</v>
      </c>
      <c r="K1619" s="37" t="n">
        <v>0.065</v>
      </c>
    </row>
    <row r="1620">
      <c r="A1620" s="34" t="inlineStr">
        <is>
          <t>AGA SPK-tilskudd</t>
        </is>
      </c>
      <c r="B1620" s="34" t="inlineStr">
        <is>
          <t>Region Sør</t>
        </is>
      </c>
      <c r="C1620" s="34" t="inlineStr">
        <is>
          <t>Sundstedtråkka ungdomssenter akutt</t>
        </is>
      </c>
      <c r="D1620" s="18" t="n">
        <v>2711</v>
      </c>
      <c r="E1620" s="18" t="n"/>
      <c r="F1620" s="18" t="n"/>
      <c r="G1620" s="18" t="n"/>
      <c r="H1620" s="18" t="n"/>
      <c r="I1620" s="18" t="n"/>
      <c r="J1620" s="19" t="n">
        <v>0</v>
      </c>
      <c r="K1620" s="35" t="n">
        <v>0.065</v>
      </c>
    </row>
    <row r="1621">
      <c r="A1621" s="36" t="inlineStr">
        <is>
          <t>AGA SPK-tilskudd</t>
        </is>
      </c>
      <c r="B1621" s="36" t="inlineStr">
        <is>
          <t>Region Sør</t>
        </is>
      </c>
      <c r="C1621" s="36" t="inlineStr">
        <is>
          <t>Sundstedtråkka ungdomssenter akutt</t>
        </is>
      </c>
      <c r="D1621" s="26" t="n">
        <v>352</v>
      </c>
      <c r="E1621" s="26" t="n"/>
      <c r="F1621" s="26" t="n"/>
      <c r="G1621" s="26" t="n"/>
      <c r="H1621" s="26" t="n"/>
      <c r="I1621" s="26" t="n"/>
      <c r="J1621" s="19" t="n">
        <v>0</v>
      </c>
      <c r="K1621" s="37" t="n">
        <v>0.065</v>
      </c>
    </row>
    <row r="1622">
      <c r="A1622" s="34" t="inlineStr">
        <is>
          <t>AGA SPK-tilskudd</t>
        </is>
      </c>
      <c r="B1622" s="34" t="inlineStr">
        <is>
          <t>Region Sør</t>
        </is>
      </c>
      <c r="C1622" s="34" t="inlineStr">
        <is>
          <t>Sundstedtråkka ungdomssenter akutt</t>
        </is>
      </c>
      <c r="D1622" s="18" t="n">
        <v>-83</v>
      </c>
      <c r="E1622" s="18" t="n">
        <v>73</v>
      </c>
      <c r="F1622" s="18" t="n">
        <v>179</v>
      </c>
      <c r="G1622" s="18" t="n">
        <v>-438</v>
      </c>
      <c r="H1622" s="18" t="n">
        <v>-438</v>
      </c>
      <c r="I1622" s="18" t="n">
        <v>-37</v>
      </c>
      <c r="J1622" s="19" t="n">
        <v>-41.96632499999999</v>
      </c>
      <c r="K1622" s="35" t="n">
        <v>0.065</v>
      </c>
    </row>
    <row r="1623">
      <c r="A1623" s="36" t="inlineStr">
        <is>
          <t>AGA SPK-tilskudd</t>
        </is>
      </c>
      <c r="B1623" s="36" t="inlineStr">
        <is>
          <t>Region Sør</t>
        </is>
      </c>
      <c r="C1623" s="36" t="inlineStr">
        <is>
          <t>Sundstedtråkka ungdomssenter akutt</t>
        </is>
      </c>
      <c r="D1623" s="26" t="n"/>
      <c r="E1623" s="26" t="n">
        <v>-33693</v>
      </c>
      <c r="F1623" s="26" t="n">
        <v>-4211</v>
      </c>
      <c r="G1623" s="26" t="n">
        <v>-8964</v>
      </c>
      <c r="H1623" s="26" t="n"/>
      <c r="I1623" s="26" t="n"/>
      <c r="J1623" s="19" t="n">
        <v>0</v>
      </c>
      <c r="K1623" s="37" t="n">
        <v>0.065</v>
      </c>
    </row>
    <row r="1624">
      <c r="A1624" s="34" t="inlineStr">
        <is>
          <t>AGA SPK-tilskudd</t>
        </is>
      </c>
      <c r="B1624" s="34" t="inlineStr">
        <is>
          <t>Region Sør</t>
        </is>
      </c>
      <c r="C1624" s="34" t="inlineStr">
        <is>
          <t>Svenner</t>
        </is>
      </c>
      <c r="D1624" s="18" t="n"/>
      <c r="E1624" s="18" t="n">
        <v>56467</v>
      </c>
      <c r="F1624" s="18" t="n">
        <v>150242</v>
      </c>
      <c r="G1624" s="18" t="n">
        <v>168721</v>
      </c>
      <c r="H1624" s="18" t="n">
        <v>166701</v>
      </c>
      <c r="I1624" s="18" t="n">
        <v>160862</v>
      </c>
      <c r="J1624" s="19" t="n">
        <v>251346.875</v>
      </c>
      <c r="K1624" s="35" t="n">
        <v>0.25</v>
      </c>
    </row>
    <row r="1625">
      <c r="A1625" s="36" t="inlineStr">
        <is>
          <t>AGA SPK-tilskudd</t>
        </is>
      </c>
      <c r="B1625" s="36" t="inlineStr">
        <is>
          <t>Region Sør</t>
        </is>
      </c>
      <c r="C1625" s="36" t="inlineStr">
        <is>
          <t>Svenner</t>
        </is>
      </c>
      <c r="D1625" s="26" t="n"/>
      <c r="E1625" s="26" t="n"/>
      <c r="F1625" s="26" t="n">
        <v>121589</v>
      </c>
      <c r="G1625" s="26" t="n">
        <v>71171</v>
      </c>
      <c r="H1625" s="26" t="n">
        <v>40484</v>
      </c>
      <c r="I1625" s="26" t="n">
        <v>27435</v>
      </c>
      <c r="J1625" s="19" t="n">
        <v>31117.46287499999</v>
      </c>
      <c r="K1625" s="37" t="n">
        <v>0.065</v>
      </c>
    </row>
    <row r="1626">
      <c r="A1626" s="34" t="inlineStr">
        <is>
          <t>AGA SPK-tilskudd</t>
        </is>
      </c>
      <c r="B1626" s="34" t="inlineStr">
        <is>
          <t>Region Sør</t>
        </is>
      </c>
      <c r="C1626" s="34" t="inlineStr">
        <is>
          <t>Svenner</t>
        </is>
      </c>
      <c r="D1626" s="18" t="n"/>
      <c r="E1626" s="18" t="n">
        <v>2308</v>
      </c>
      <c r="F1626" s="18" t="n">
        <v>81679</v>
      </c>
      <c r="G1626" s="18" t="n">
        <v>34802</v>
      </c>
      <c r="H1626" s="18" t="n">
        <v>97519</v>
      </c>
      <c r="I1626" s="18" t="n">
        <v>42197</v>
      </c>
      <c r="J1626" s="19" t="n">
        <v>65932.8125</v>
      </c>
      <c r="K1626" s="35" t="n">
        <v>0.25</v>
      </c>
    </row>
    <row r="1627">
      <c r="A1627" s="36" t="inlineStr">
        <is>
          <t>AGA SPK-tilskudd</t>
        </is>
      </c>
      <c r="B1627" s="36" t="inlineStr">
        <is>
          <t>Region Sør</t>
        </is>
      </c>
      <c r="C1627" s="36" t="inlineStr">
        <is>
          <t>Svenner</t>
        </is>
      </c>
      <c r="D1627" s="26" t="n"/>
      <c r="E1627" s="26" t="n">
        <v>10430</v>
      </c>
      <c r="F1627" s="26" t="n">
        <v>36094</v>
      </c>
      <c r="G1627" s="26" t="n">
        <v>58645</v>
      </c>
      <c r="H1627" s="26" t="n">
        <v>75758</v>
      </c>
      <c r="I1627" s="26" t="n">
        <v>68913</v>
      </c>
      <c r="J1627" s="19" t="n">
        <v>107676.5625</v>
      </c>
      <c r="K1627" s="37" t="n">
        <v>0.25</v>
      </c>
    </row>
    <row r="1628">
      <c r="A1628" s="34" t="inlineStr">
        <is>
          <t>AGA SPK-tilskudd</t>
        </is>
      </c>
      <c r="B1628" s="34" t="inlineStr">
        <is>
          <t>Region Sør</t>
        </is>
      </c>
      <c r="C1628" s="34" t="inlineStr">
        <is>
          <t>Svenner</t>
        </is>
      </c>
      <c r="D1628" s="18" t="n"/>
      <c r="E1628" s="18" t="n"/>
      <c r="F1628" s="18" t="n">
        <v>7649</v>
      </c>
      <c r="G1628" s="18" t="n">
        <v>1459</v>
      </c>
      <c r="H1628" s="18" t="n">
        <v>12409</v>
      </c>
      <c r="I1628" s="18" t="n">
        <v>4988</v>
      </c>
      <c r="J1628" s="19" t="n">
        <v>5657.514299999999</v>
      </c>
      <c r="K1628" s="35" t="n">
        <v>0.065</v>
      </c>
    </row>
    <row r="1629">
      <c r="A1629" s="36" t="inlineStr">
        <is>
          <t>AGA SPK-tilskudd</t>
        </is>
      </c>
      <c r="B1629" s="36" t="inlineStr">
        <is>
          <t>Region Sør</t>
        </is>
      </c>
      <c r="C1629" s="36" t="inlineStr">
        <is>
          <t>Svenner</t>
        </is>
      </c>
      <c r="D1629" s="26" t="n"/>
      <c r="E1629" s="26" t="n">
        <v>31486</v>
      </c>
      <c r="F1629" s="26" t="n">
        <v>61436</v>
      </c>
      <c r="G1629" s="26" t="n">
        <v>31770</v>
      </c>
      <c r="H1629" s="26" t="n">
        <v>10731</v>
      </c>
      <c r="I1629" s="26" t="n">
        <v>2383</v>
      </c>
      <c r="J1629" s="19" t="n">
        <v>1340.4375</v>
      </c>
      <c r="K1629" s="37" t="n">
        <v>-0.25</v>
      </c>
    </row>
    <row r="1630">
      <c r="A1630" s="34" t="inlineStr">
        <is>
          <t>AGA SPK-tilskudd</t>
        </is>
      </c>
      <c r="B1630" s="34" t="inlineStr">
        <is>
          <t>Region Sør</t>
        </is>
      </c>
      <c r="C1630" s="34" t="inlineStr">
        <is>
          <t>Svenner</t>
        </is>
      </c>
      <c r="D1630" s="18" t="n"/>
      <c r="E1630" s="18" t="n">
        <v>3558</v>
      </c>
      <c r="F1630" s="18" t="n">
        <v>18003</v>
      </c>
      <c r="G1630" s="18" t="n">
        <v>12206</v>
      </c>
      <c r="H1630" s="18" t="n">
        <v>25146</v>
      </c>
      <c r="I1630" s="18" t="n">
        <v>14021</v>
      </c>
      <c r="J1630" s="19" t="n">
        <v>21907.8125</v>
      </c>
      <c r="K1630" s="35" t="n">
        <v>0.25</v>
      </c>
    </row>
    <row r="1631">
      <c r="A1631" s="36" t="inlineStr">
        <is>
          <t>AGA SPK-tilskudd</t>
        </is>
      </c>
      <c r="B1631" s="36" t="inlineStr">
        <is>
          <t>Region Sør</t>
        </is>
      </c>
      <c r="C1631" s="36" t="inlineStr">
        <is>
          <t>Svenner</t>
        </is>
      </c>
      <c r="D1631" s="26" t="n"/>
      <c r="E1631" s="26" t="n">
        <v>3360</v>
      </c>
      <c r="F1631" s="26" t="n">
        <v>5746</v>
      </c>
      <c r="G1631" s="26" t="n">
        <v>15883</v>
      </c>
      <c r="H1631" s="26" t="n">
        <v>5465</v>
      </c>
      <c r="I1631" s="26" t="n">
        <v>84552</v>
      </c>
      <c r="J1631" s="19" t="n">
        <v>132112.5</v>
      </c>
      <c r="K1631" s="37" t="n">
        <v>0.25</v>
      </c>
    </row>
    <row r="1632">
      <c r="A1632" s="34" t="inlineStr">
        <is>
          <t>AGA SPK-tilskudd</t>
        </is>
      </c>
      <c r="B1632" s="34" t="inlineStr">
        <is>
          <t>Region Sør</t>
        </is>
      </c>
      <c r="C1632" s="34" t="inlineStr">
        <is>
          <t>Svenner</t>
        </is>
      </c>
      <c r="D1632" s="18" t="n"/>
      <c r="E1632" s="18" t="n">
        <v>2351</v>
      </c>
      <c r="F1632" s="18" t="n">
        <v>5241</v>
      </c>
      <c r="G1632" s="18" t="n">
        <v>3609</v>
      </c>
      <c r="H1632" s="18" t="n">
        <v>6475</v>
      </c>
      <c r="I1632" s="18" t="n">
        <v>5259</v>
      </c>
      <c r="J1632" s="19" t="n">
        <v>7865.538146598862</v>
      </c>
      <c r="K1632" s="35" t="n">
        <v>0.2229610781029141</v>
      </c>
    </row>
    <row r="1633">
      <c r="A1633" s="36" t="inlineStr">
        <is>
          <t>AGA SPK-tilskudd</t>
        </is>
      </c>
      <c r="B1633" s="36" t="inlineStr">
        <is>
          <t>Region Sør</t>
        </is>
      </c>
      <c r="C1633" s="36" t="inlineStr">
        <is>
          <t>Svenner</t>
        </is>
      </c>
      <c r="D1633" s="26" t="n"/>
      <c r="E1633" s="26" t="n">
        <v>5742</v>
      </c>
      <c r="F1633" s="26" t="n">
        <v>14668</v>
      </c>
      <c r="G1633" s="26" t="n">
        <v>11424</v>
      </c>
      <c r="H1633" s="26" t="n">
        <v>12617</v>
      </c>
      <c r="I1633" s="26" t="n">
        <v>6058</v>
      </c>
      <c r="J1633" s="19" t="n">
        <v>6222.462806974961</v>
      </c>
      <c r="K1633" s="37" t="n">
        <v>0.01348312112570249</v>
      </c>
    </row>
    <row r="1634">
      <c r="A1634" s="34" t="inlineStr">
        <is>
          <t>AGA SPK-tilskudd</t>
        </is>
      </c>
      <c r="B1634" s="34" t="inlineStr">
        <is>
          <t>Region Sør</t>
        </is>
      </c>
      <c r="C1634" s="34" t="inlineStr">
        <is>
          <t>Svenner</t>
        </is>
      </c>
      <c r="D1634" s="18" t="n"/>
      <c r="E1634" s="18" t="n">
        <v>-3652</v>
      </c>
      <c r="F1634" s="18" t="n">
        <v>1591</v>
      </c>
      <c r="G1634" s="18" t="n">
        <v>4288</v>
      </c>
      <c r="H1634" s="18" t="n">
        <v>2856</v>
      </c>
      <c r="I1634" s="18" t="n">
        <v>9297</v>
      </c>
      <c r="J1634" s="19" t="n">
        <v>10544.889825</v>
      </c>
      <c r="K1634" s="35" t="n">
        <v>0.065</v>
      </c>
    </row>
    <row r="1635">
      <c r="A1635" s="36" t="inlineStr">
        <is>
          <t>AGA SPK-tilskudd</t>
        </is>
      </c>
      <c r="B1635" s="36" t="inlineStr">
        <is>
          <t>Region Sør</t>
        </is>
      </c>
      <c r="C1635" s="36" t="inlineStr">
        <is>
          <t>Svenner</t>
        </is>
      </c>
      <c r="D1635" s="26" t="n"/>
      <c r="E1635" s="26" t="n"/>
      <c r="F1635" s="26" t="n"/>
      <c r="G1635" s="26" t="n">
        <v>-5000</v>
      </c>
      <c r="H1635" s="26" t="n">
        <v>-15000</v>
      </c>
      <c r="I1635" s="26" t="n"/>
      <c r="J1635" s="19" t="n">
        <v>0</v>
      </c>
      <c r="K1635" s="37" t="n">
        <v>0.065</v>
      </c>
    </row>
    <row r="1636">
      <c r="A1636" s="34" t="inlineStr">
        <is>
          <t>AGA SPK-tilskudd</t>
        </is>
      </c>
      <c r="B1636" s="34" t="inlineStr">
        <is>
          <t>Region Sør</t>
        </is>
      </c>
      <c r="C1636" s="34" t="inlineStr">
        <is>
          <t>Svenner</t>
        </is>
      </c>
      <c r="D1636" s="18" t="n"/>
      <c r="E1636" s="18" t="n">
        <v>-171564</v>
      </c>
      <c r="F1636" s="18" t="n">
        <v>-287270</v>
      </c>
      <c r="G1636" s="18" t="n">
        <v>-381010</v>
      </c>
      <c r="H1636" s="18" t="n">
        <v>-596720</v>
      </c>
      <c r="I1636" s="18" t="n">
        <v>-14451</v>
      </c>
      <c r="J1636" s="19" t="n">
        <v>-16390.685475</v>
      </c>
      <c r="K1636" s="35" t="n">
        <v>0.065</v>
      </c>
    </row>
    <row r="1637">
      <c r="A1637" s="36" t="inlineStr">
        <is>
          <t>AGA SPK-tilskudd</t>
        </is>
      </c>
      <c r="B1637" s="36" t="inlineStr">
        <is>
          <t>Region Sør</t>
        </is>
      </c>
      <c r="C1637" s="36" t="inlineStr">
        <is>
          <t>Svenner</t>
        </is>
      </c>
      <c r="D1637" s="26" t="n"/>
      <c r="E1637" s="26" t="n">
        <v>-228644</v>
      </c>
      <c r="F1637" s="26" t="n">
        <v>-1140867</v>
      </c>
      <c r="G1637" s="26" t="n">
        <v>-2402755</v>
      </c>
      <c r="H1637" s="26" t="n">
        <v>-1576231</v>
      </c>
      <c r="I1637" s="26" t="n">
        <v>-1384435</v>
      </c>
      <c r="J1637" s="19" t="n">
        <v>-1570260.787875</v>
      </c>
      <c r="K1637" s="37" t="n">
        <v>0.065</v>
      </c>
    </row>
    <row r="1638">
      <c r="A1638" s="34" t="inlineStr">
        <is>
          <t>AGA SPK-tilskudd</t>
        </is>
      </c>
      <c r="B1638" s="34" t="inlineStr">
        <is>
          <t>Region Sør</t>
        </is>
      </c>
      <c r="C1638" s="34" t="inlineStr">
        <is>
          <t>TFCO Drammen</t>
        </is>
      </c>
      <c r="D1638" s="18" t="n">
        <v>63130</v>
      </c>
      <c r="E1638" s="18" t="n">
        <v>58597</v>
      </c>
      <c r="F1638" s="18" t="n">
        <v>65934</v>
      </c>
      <c r="G1638" s="18" t="n">
        <v>21508</v>
      </c>
      <c r="H1638" s="18" t="n"/>
      <c r="I1638" s="18" t="n"/>
      <c r="J1638" s="19" t="n">
        <v>0</v>
      </c>
      <c r="K1638" s="35" t="n">
        <v>0.065</v>
      </c>
    </row>
    <row r="1639">
      <c r="A1639" s="36" t="inlineStr">
        <is>
          <t>AGA SPK-tilskudd</t>
        </is>
      </c>
      <c r="B1639" s="36" t="inlineStr">
        <is>
          <t>Region Sør</t>
        </is>
      </c>
      <c r="C1639" s="36" t="inlineStr">
        <is>
          <t>TFCO Drammen</t>
        </is>
      </c>
      <c r="D1639" s="26" t="n">
        <v>34632</v>
      </c>
      <c r="E1639" s="26" t="n">
        <v>19169</v>
      </c>
      <c r="F1639" s="26" t="n">
        <v>161309</v>
      </c>
      <c r="G1639" s="26" t="n">
        <v>29453</v>
      </c>
      <c r="H1639" s="26" t="n"/>
      <c r="I1639" s="26" t="n"/>
      <c r="J1639" s="19" t="n">
        <v>0</v>
      </c>
      <c r="K1639" s="37" t="n">
        <v>0.065</v>
      </c>
    </row>
    <row r="1640">
      <c r="A1640" s="34" t="inlineStr">
        <is>
          <t>AGA SPK-tilskudd</t>
        </is>
      </c>
      <c r="B1640" s="34" t="inlineStr">
        <is>
          <t>Region Sør</t>
        </is>
      </c>
      <c r="C1640" s="34" t="inlineStr">
        <is>
          <t>TFCO Drammen</t>
        </is>
      </c>
      <c r="D1640" s="18" t="n">
        <v>5300</v>
      </c>
      <c r="E1640" s="18" t="n">
        <v>5931</v>
      </c>
      <c r="F1640" s="18" t="n">
        <v>6728</v>
      </c>
      <c r="G1640" s="18" t="n">
        <v>2814</v>
      </c>
      <c r="H1640" s="18" t="n"/>
      <c r="I1640" s="18" t="n"/>
      <c r="J1640" s="19" t="n">
        <v>0</v>
      </c>
      <c r="K1640" s="35" t="n">
        <v>0.065</v>
      </c>
    </row>
    <row r="1641">
      <c r="A1641" s="36" t="inlineStr">
        <is>
          <t>AGA SPK-tilskudd</t>
        </is>
      </c>
      <c r="B1641" s="36" t="inlineStr">
        <is>
          <t>Region Sør</t>
        </is>
      </c>
      <c r="C1641" s="36" t="inlineStr">
        <is>
          <t>TFCO Drammen</t>
        </is>
      </c>
      <c r="D1641" s="26" t="n">
        <v>2799269</v>
      </c>
      <c r="E1641" s="26" t="n">
        <v>2894736</v>
      </c>
      <c r="F1641" s="26" t="n">
        <v>3091002</v>
      </c>
      <c r="G1641" s="26" t="n">
        <v>2239904</v>
      </c>
      <c r="H1641" s="26" t="n"/>
      <c r="I1641" s="26" t="n"/>
      <c r="J1641" s="19" t="n">
        <v>0</v>
      </c>
      <c r="K1641" s="37" t="n">
        <v>0.065</v>
      </c>
    </row>
    <row r="1642">
      <c r="A1642" s="34" t="inlineStr">
        <is>
          <t>AGA SPK-tilskudd</t>
        </is>
      </c>
      <c r="B1642" s="34" t="inlineStr">
        <is>
          <t>Region Sør</t>
        </is>
      </c>
      <c r="C1642" s="34" t="inlineStr">
        <is>
          <t>TFCO Drammen</t>
        </is>
      </c>
      <c r="D1642" s="18" t="n">
        <v>919426</v>
      </c>
      <c r="E1642" s="18" t="n">
        <v>808664</v>
      </c>
      <c r="F1642" s="18" t="n">
        <v>879105</v>
      </c>
      <c r="G1642" s="18" t="n">
        <v>428715</v>
      </c>
      <c r="H1642" s="18" t="n"/>
      <c r="I1642" s="18" t="n"/>
      <c r="J1642" s="19" t="n">
        <v>0</v>
      </c>
      <c r="K1642" s="35" t="n">
        <v>0.065</v>
      </c>
    </row>
    <row r="1643">
      <c r="A1643" s="36" t="inlineStr">
        <is>
          <t>AGA SPK-tilskudd</t>
        </is>
      </c>
      <c r="B1643" s="36" t="inlineStr">
        <is>
          <t>Region Sør</t>
        </is>
      </c>
      <c r="C1643" s="36" t="inlineStr">
        <is>
          <t>TFCO Drammen</t>
        </is>
      </c>
      <c r="D1643" s="26" t="n">
        <v>90570</v>
      </c>
      <c r="E1643" s="26" t="n">
        <v>64435</v>
      </c>
      <c r="F1643" s="26" t="n">
        <v>257406</v>
      </c>
      <c r="G1643" s="26" t="n">
        <v>44111</v>
      </c>
      <c r="H1643" s="26" t="n"/>
      <c r="I1643" s="26" t="n"/>
      <c r="J1643" s="19" t="n">
        <v>0</v>
      </c>
      <c r="K1643" s="37" t="n">
        <v>0.065</v>
      </c>
    </row>
    <row r="1644">
      <c r="A1644" s="34" t="inlineStr">
        <is>
          <t>AGA SPK-tilskudd</t>
        </is>
      </c>
      <c r="B1644" s="34" t="inlineStr">
        <is>
          <t>Region Sør</t>
        </is>
      </c>
      <c r="C1644" s="34" t="inlineStr">
        <is>
          <t>TFCO Drammen</t>
        </is>
      </c>
      <c r="D1644" s="18" t="n"/>
      <c r="E1644" s="18" t="n">
        <v>200</v>
      </c>
      <c r="F1644" s="18" t="n">
        <v>9840</v>
      </c>
      <c r="G1644" s="18" t="n">
        <v>2844</v>
      </c>
      <c r="H1644" s="18" t="n"/>
      <c r="I1644" s="18" t="n"/>
      <c r="J1644" s="19" t="n">
        <v>0</v>
      </c>
      <c r="K1644" s="35" t="n">
        <v>0.065</v>
      </c>
    </row>
    <row r="1645">
      <c r="A1645" s="36" t="inlineStr">
        <is>
          <t>AGA SPK-tilskudd</t>
        </is>
      </c>
      <c r="B1645" s="36" t="inlineStr">
        <is>
          <t>Region Sør</t>
        </is>
      </c>
      <c r="C1645" s="36" t="inlineStr">
        <is>
          <t>TFCO Drammen</t>
        </is>
      </c>
      <c r="D1645" s="26" t="n"/>
      <c r="E1645" s="26" t="n">
        <v>2450</v>
      </c>
      <c r="F1645" s="26" t="n">
        <v>2070</v>
      </c>
      <c r="G1645" s="26" t="n">
        <v>2028</v>
      </c>
      <c r="H1645" s="26" t="n"/>
      <c r="I1645" s="26" t="n"/>
      <c r="J1645" s="19" t="n">
        <v>0</v>
      </c>
      <c r="K1645" s="37" t="n">
        <v>0.065</v>
      </c>
    </row>
    <row r="1646">
      <c r="A1646" s="34" t="inlineStr">
        <is>
          <t>AGA SPK-tilskudd</t>
        </is>
      </c>
      <c r="B1646" s="34" t="inlineStr">
        <is>
          <t>Region Sør</t>
        </is>
      </c>
      <c r="C1646" s="34" t="inlineStr">
        <is>
          <t>TFCO Drammen</t>
        </is>
      </c>
      <c r="D1646" s="18" t="n">
        <v>3386</v>
      </c>
      <c r="E1646" s="18" t="n">
        <v>6768</v>
      </c>
      <c r="F1646" s="18" t="n">
        <v>2897</v>
      </c>
      <c r="G1646" s="18" t="n"/>
      <c r="H1646" s="18" t="n"/>
      <c r="I1646" s="18" t="n"/>
      <c r="J1646" s="19" t="n">
        <v>0</v>
      </c>
      <c r="K1646" s="35" t="n">
        <v>0.065</v>
      </c>
    </row>
    <row r="1647">
      <c r="A1647" s="36" t="inlineStr">
        <is>
          <t>AGA SPK-tilskudd</t>
        </is>
      </c>
      <c r="B1647" s="36" t="inlineStr">
        <is>
          <t>Region Sør</t>
        </is>
      </c>
      <c r="C1647" s="36" t="inlineStr">
        <is>
          <t>TFCO Drammen</t>
        </is>
      </c>
      <c r="D1647" s="26" t="n">
        <v>12956</v>
      </c>
      <c r="E1647" s="26" t="n">
        <v>9511</v>
      </c>
      <c r="F1647" s="26" t="n">
        <v>35849</v>
      </c>
      <c r="G1647" s="26" t="n">
        <v>11212</v>
      </c>
      <c r="H1647" s="26" t="n"/>
      <c r="I1647" s="26" t="n"/>
      <c r="J1647" s="19" t="n">
        <v>0</v>
      </c>
      <c r="K1647" s="37" t="n">
        <v>0.065</v>
      </c>
    </row>
    <row r="1648">
      <c r="A1648" s="34" t="inlineStr">
        <is>
          <t>AGA SPK-tilskudd</t>
        </is>
      </c>
      <c r="B1648" s="34" t="inlineStr">
        <is>
          <t>Region Sør</t>
        </is>
      </c>
      <c r="C1648" s="34" t="inlineStr">
        <is>
          <t>TFCO Drammen</t>
        </is>
      </c>
      <c r="D1648" s="18" t="n">
        <v>279204</v>
      </c>
      <c r="E1648" s="18" t="n">
        <v>328334</v>
      </c>
      <c r="F1648" s="18" t="n">
        <v>425879</v>
      </c>
      <c r="G1648" s="18" t="n">
        <v>145715</v>
      </c>
      <c r="H1648" s="18" t="n"/>
      <c r="I1648" s="18" t="n"/>
      <c r="J1648" s="19" t="n">
        <v>0</v>
      </c>
      <c r="K1648" s="35" t="n">
        <v>0.065</v>
      </c>
    </row>
    <row r="1649">
      <c r="A1649" s="36" t="inlineStr">
        <is>
          <t>AGA SPK-tilskudd</t>
        </is>
      </c>
      <c r="B1649" s="36" t="inlineStr">
        <is>
          <t>Region Sør</t>
        </is>
      </c>
      <c r="C1649" s="36" t="inlineStr">
        <is>
          <t>TFCO Drammen</t>
        </is>
      </c>
      <c r="D1649" s="26" t="n">
        <v>75825</v>
      </c>
      <c r="E1649" s="26" t="n">
        <v>80893</v>
      </c>
      <c r="F1649" s="26" t="n">
        <v>252051</v>
      </c>
      <c r="G1649" s="26" t="n">
        <v>84793</v>
      </c>
      <c r="H1649" s="26" t="n"/>
      <c r="I1649" s="26" t="n"/>
      <c r="J1649" s="19" t="n">
        <v>0</v>
      </c>
      <c r="K1649" s="37" t="n">
        <v>0.065</v>
      </c>
    </row>
    <row r="1650">
      <c r="A1650" s="34" t="inlineStr">
        <is>
          <t>AGA SPK-tilskudd</t>
        </is>
      </c>
      <c r="B1650" s="34" t="inlineStr">
        <is>
          <t>Region Sør</t>
        </is>
      </c>
      <c r="C1650" s="34" t="inlineStr">
        <is>
          <t>TFCO Drammen</t>
        </is>
      </c>
      <c r="D1650" s="18" t="n">
        <v>116469</v>
      </c>
      <c r="E1650" s="18" t="n">
        <v>334331</v>
      </c>
      <c r="F1650" s="18" t="n">
        <v>501236</v>
      </c>
      <c r="G1650" s="18" t="n">
        <v>47693</v>
      </c>
      <c r="H1650" s="18" t="n"/>
      <c r="I1650" s="18" t="n"/>
      <c r="J1650" s="19" t="n">
        <v>0</v>
      </c>
      <c r="K1650" s="35" t="n">
        <v>0.065</v>
      </c>
    </row>
    <row r="1651">
      <c r="A1651" s="36" t="inlineStr">
        <is>
          <t>AGA SPK-tilskudd</t>
        </is>
      </c>
      <c r="B1651" s="36" t="inlineStr">
        <is>
          <t>Region Sør</t>
        </is>
      </c>
      <c r="C1651" s="36" t="inlineStr">
        <is>
          <t>TFCO Drammen</t>
        </is>
      </c>
      <c r="D1651" s="26" t="n">
        <v>193</v>
      </c>
      <c r="E1651" s="26" t="n"/>
      <c r="F1651" s="26" t="n"/>
      <c r="G1651" s="26" t="n"/>
      <c r="H1651" s="26" t="n"/>
      <c r="I1651" s="26" t="n"/>
      <c r="J1651" s="19" t="n">
        <v>0</v>
      </c>
      <c r="K1651" s="37" t="n">
        <v>0.065</v>
      </c>
    </row>
    <row r="1652">
      <c r="A1652" s="34" t="inlineStr">
        <is>
          <t>AGA SPK-tilskudd</t>
        </is>
      </c>
      <c r="B1652" s="34" t="inlineStr">
        <is>
          <t>Region Sør</t>
        </is>
      </c>
      <c r="C1652" s="34" t="inlineStr">
        <is>
          <t>TFCO Drammen</t>
        </is>
      </c>
      <c r="D1652" s="18" t="n">
        <v>12760</v>
      </c>
      <c r="E1652" s="18" t="n">
        <v>813</v>
      </c>
      <c r="F1652" s="18" t="n">
        <v>7170</v>
      </c>
      <c r="G1652" s="18" t="n">
        <v>9938</v>
      </c>
      <c r="H1652" s="18" t="n"/>
      <c r="I1652" s="18" t="n"/>
      <c r="J1652" s="19" t="n">
        <v>0</v>
      </c>
      <c r="K1652" s="35" t="n">
        <v>0.065</v>
      </c>
    </row>
    <row r="1653">
      <c r="A1653" s="36" t="inlineStr">
        <is>
          <t>AGA SPK-tilskudd</t>
        </is>
      </c>
      <c r="B1653" s="36" t="inlineStr">
        <is>
          <t>Region Sør</t>
        </is>
      </c>
      <c r="C1653" s="36" t="inlineStr">
        <is>
          <t>TFCO Drammen</t>
        </is>
      </c>
      <c r="D1653" s="26" t="n">
        <v>-177764</v>
      </c>
      <c r="E1653" s="26" t="n">
        <v>-338180</v>
      </c>
      <c r="F1653" s="26" t="n">
        <v>-395549</v>
      </c>
      <c r="G1653" s="26" t="n"/>
      <c r="H1653" s="26" t="n"/>
      <c r="I1653" s="26" t="n"/>
      <c r="J1653" s="19" t="n">
        <v>0</v>
      </c>
      <c r="K1653" s="37" t="n">
        <v>0.065</v>
      </c>
    </row>
    <row r="1654">
      <c r="A1654" s="34" t="inlineStr">
        <is>
          <t>AGA SPK-tilskudd</t>
        </is>
      </c>
      <c r="B1654" s="34" t="inlineStr">
        <is>
          <t>Region Sør</t>
        </is>
      </c>
      <c r="C1654" s="34" t="inlineStr">
        <is>
          <t>TFCO Drammen</t>
        </is>
      </c>
      <c r="D1654" s="18" t="n">
        <v>-28761</v>
      </c>
      <c r="E1654" s="18" t="n">
        <v>-95891</v>
      </c>
      <c r="F1654" s="18" t="n">
        <v>-666019</v>
      </c>
      <c r="G1654" s="18" t="n">
        <v>-75163</v>
      </c>
      <c r="H1654" s="18" t="n"/>
      <c r="I1654" s="18" t="n"/>
      <c r="J1654" s="19" t="n">
        <v>0</v>
      </c>
      <c r="K1654" s="35" t="n">
        <v>0.065</v>
      </c>
    </row>
    <row r="1655">
      <c r="A1655" s="36" t="inlineStr">
        <is>
          <t>AGA SPK-tilskudd</t>
        </is>
      </c>
      <c r="B1655" s="36" t="inlineStr">
        <is>
          <t>Region Sør</t>
        </is>
      </c>
      <c r="C1655" s="36" t="inlineStr">
        <is>
          <t>Telemark ungdomssenter</t>
        </is>
      </c>
      <c r="D1655" s="26" t="n">
        <v>7551</v>
      </c>
      <c r="E1655" s="26" t="n">
        <v>13320</v>
      </c>
      <c r="F1655" s="26" t="n">
        <v>15221</v>
      </c>
      <c r="G1655" s="26" t="n">
        <v>15551</v>
      </c>
      <c r="H1655" s="26" t="n">
        <v>14791</v>
      </c>
      <c r="I1655" s="26" t="n">
        <v>11187</v>
      </c>
      <c r="J1655" s="19" t="n">
        <v>13091.7379956105</v>
      </c>
      <c r="K1655" s="37" t="n">
        <v>0.08178718783545902</v>
      </c>
    </row>
    <row r="1656">
      <c r="A1656" s="34" t="inlineStr">
        <is>
          <t>AGA SPK-tilskudd</t>
        </is>
      </c>
      <c r="B1656" s="34" t="inlineStr">
        <is>
          <t>Region Sør</t>
        </is>
      </c>
      <c r="C1656" s="34" t="inlineStr">
        <is>
          <t>Telemark ungdomssenter</t>
        </is>
      </c>
      <c r="D1656" s="18" t="n">
        <v>14427</v>
      </c>
      <c r="E1656" s="18" t="n">
        <v>10560</v>
      </c>
      <c r="F1656" s="18" t="n">
        <v>13729</v>
      </c>
      <c r="G1656" s="18" t="n">
        <v>45617</v>
      </c>
      <c r="H1656" s="18" t="n">
        <v>93627</v>
      </c>
      <c r="I1656" s="18" t="n">
        <v>49386</v>
      </c>
      <c r="J1656" s="19" t="n">
        <v>77165.625</v>
      </c>
      <c r="K1656" s="35" t="n">
        <v>0.25</v>
      </c>
    </row>
    <row r="1657">
      <c r="A1657" s="36" t="inlineStr">
        <is>
          <t>AGA SPK-tilskudd</t>
        </is>
      </c>
      <c r="B1657" s="36" t="inlineStr">
        <is>
          <t>Region Sør</t>
        </is>
      </c>
      <c r="C1657" s="36" t="inlineStr">
        <is>
          <t>Telemark ungdomssenter</t>
        </is>
      </c>
      <c r="D1657" s="26" t="n">
        <v>900</v>
      </c>
      <c r="E1657" s="26" t="n">
        <v>2045</v>
      </c>
      <c r="F1657" s="26" t="n">
        <v>1636</v>
      </c>
      <c r="G1657" s="26" t="n">
        <v>3186</v>
      </c>
      <c r="H1657" s="26" t="n">
        <v>3330</v>
      </c>
      <c r="I1657" s="26" t="n">
        <v>2451</v>
      </c>
      <c r="J1657" s="19" t="n">
        <v>3659.178807223185</v>
      </c>
      <c r="K1657" s="37" t="n">
        <v>0.2218563785825978</v>
      </c>
    </row>
    <row r="1658">
      <c r="A1658" s="34" t="inlineStr">
        <is>
          <t>AGA SPK-tilskudd</t>
        </is>
      </c>
      <c r="B1658" s="34" t="inlineStr">
        <is>
          <t>Region Sør</t>
        </is>
      </c>
      <c r="C1658" s="34" t="inlineStr">
        <is>
          <t>Telemark ungdomssenter</t>
        </is>
      </c>
      <c r="D1658" s="18" t="n">
        <v>570</v>
      </c>
      <c r="E1658" s="18" t="n"/>
      <c r="F1658" s="18" t="n">
        <v>11066</v>
      </c>
      <c r="G1658" s="18" t="n"/>
      <c r="H1658" s="18" t="n"/>
      <c r="I1658" s="18" t="n"/>
      <c r="J1658" s="19" t="n">
        <v>0</v>
      </c>
      <c r="K1658" s="35" t="n">
        <v>0.065</v>
      </c>
    </row>
    <row r="1659">
      <c r="A1659" s="36" t="inlineStr">
        <is>
          <t>AGA SPK-tilskudd</t>
        </is>
      </c>
      <c r="B1659" s="36" t="inlineStr">
        <is>
          <t>Region Sør</t>
        </is>
      </c>
      <c r="C1659" s="36" t="inlineStr">
        <is>
          <t>Telemark ungdomssenter</t>
        </is>
      </c>
      <c r="D1659" s="26" t="n">
        <v>9643</v>
      </c>
      <c r="E1659" s="26" t="n">
        <v>16667</v>
      </c>
      <c r="F1659" s="26" t="n">
        <v>22486</v>
      </c>
      <c r="G1659" s="26" t="n">
        <v>29361</v>
      </c>
      <c r="H1659" s="26" t="n">
        <v>25260</v>
      </c>
      <c r="I1659" s="26" t="n">
        <v>26921</v>
      </c>
      <c r="J1659" s="19" t="n">
        <v>40592.21933526485</v>
      </c>
      <c r="K1659" s="37" t="n">
        <v>0.2279362043644459</v>
      </c>
    </row>
    <row r="1660">
      <c r="A1660" s="34" t="inlineStr">
        <is>
          <t>AGA SPK-tilskudd</t>
        </is>
      </c>
      <c r="B1660" s="34" t="inlineStr">
        <is>
          <t>Region Sør</t>
        </is>
      </c>
      <c r="C1660" s="34" t="inlineStr">
        <is>
          <t>Telemark ungdomssenter</t>
        </is>
      </c>
      <c r="D1660" s="18" t="n">
        <v>1867</v>
      </c>
      <c r="E1660" s="18" t="n">
        <v>3946</v>
      </c>
      <c r="F1660" s="18" t="n">
        <v>11739</v>
      </c>
      <c r="G1660" s="18" t="n">
        <v>18008</v>
      </c>
      <c r="H1660" s="18" t="n">
        <v>20064</v>
      </c>
      <c r="I1660" s="18" t="n">
        <v>16621</v>
      </c>
      <c r="J1660" s="19" t="n">
        <v>25970.3125</v>
      </c>
      <c r="K1660" s="35" t="n">
        <v>0.25</v>
      </c>
    </row>
    <row r="1661">
      <c r="A1661" s="36" t="inlineStr">
        <is>
          <t>AGA SPK-tilskudd</t>
        </is>
      </c>
      <c r="B1661" s="36" t="inlineStr">
        <is>
          <t>Region Sør</t>
        </is>
      </c>
      <c r="C1661" s="36" t="inlineStr">
        <is>
          <t>Telemark ungdomssenter</t>
        </is>
      </c>
      <c r="D1661" s="26" t="n">
        <v>3564</v>
      </c>
      <c r="E1661" s="26" t="n"/>
      <c r="F1661" s="26" t="n">
        <v>5448</v>
      </c>
      <c r="G1661" s="26" t="n">
        <v>21154</v>
      </c>
      <c r="H1661" s="26" t="n">
        <v>213</v>
      </c>
      <c r="I1661" s="26" t="n">
        <v>1531</v>
      </c>
      <c r="J1661" s="19" t="n">
        <v>1091.91841118826</v>
      </c>
      <c r="K1661" s="37" t="n">
        <v>-0.1554847446894984</v>
      </c>
    </row>
    <row r="1662">
      <c r="A1662" s="34" t="inlineStr">
        <is>
          <t>AGA SPK-tilskudd</t>
        </is>
      </c>
      <c r="B1662" s="34" t="inlineStr">
        <is>
          <t>Region Sør</t>
        </is>
      </c>
      <c r="C1662" s="34" t="inlineStr">
        <is>
          <t>Telemark ungdomssenter</t>
        </is>
      </c>
      <c r="D1662" s="18" t="n">
        <v>2025</v>
      </c>
      <c r="E1662" s="18" t="n">
        <v>2690</v>
      </c>
      <c r="F1662" s="18" t="n">
        <v>1485</v>
      </c>
      <c r="G1662" s="18" t="n">
        <v>4224</v>
      </c>
      <c r="H1662" s="18" t="n">
        <v>4336</v>
      </c>
      <c r="I1662" s="18" t="n"/>
      <c r="J1662" s="19" t="n">
        <v>0</v>
      </c>
      <c r="K1662" s="35" t="n">
        <v>0.065</v>
      </c>
    </row>
    <row r="1663">
      <c r="A1663" s="36" t="inlineStr">
        <is>
          <t>AGA SPK-tilskudd</t>
        </is>
      </c>
      <c r="B1663" s="36" t="inlineStr">
        <is>
          <t>Region Sør</t>
        </is>
      </c>
      <c r="C1663" s="36" t="inlineStr">
        <is>
          <t>Telemark ungdomssenter</t>
        </is>
      </c>
      <c r="D1663" s="26" t="n">
        <v>2020</v>
      </c>
      <c r="E1663" s="26" t="n">
        <v>6042</v>
      </c>
      <c r="F1663" s="26" t="n">
        <v>7181</v>
      </c>
      <c r="G1663" s="26" t="n">
        <v>18732</v>
      </c>
      <c r="H1663" s="26" t="n">
        <v>19852</v>
      </c>
      <c r="I1663" s="26" t="n">
        <v>19148</v>
      </c>
      <c r="J1663" s="19" t="n">
        <v>29918.75</v>
      </c>
      <c r="K1663" s="37" t="n">
        <v>0.25</v>
      </c>
    </row>
    <row r="1664">
      <c r="A1664" s="34" t="inlineStr">
        <is>
          <t>AGA SPK-tilskudd</t>
        </is>
      </c>
      <c r="B1664" s="34" t="inlineStr">
        <is>
          <t>Region Sør</t>
        </is>
      </c>
      <c r="C1664" s="34" t="inlineStr">
        <is>
          <t>Telemark ungdomssenter</t>
        </is>
      </c>
      <c r="D1664" s="18" t="n"/>
      <c r="E1664" s="18" t="n"/>
      <c r="F1664" s="18" t="n"/>
      <c r="G1664" s="18" t="n">
        <v>6720</v>
      </c>
      <c r="H1664" s="18" t="n"/>
      <c r="I1664" s="18" t="n"/>
      <c r="J1664" s="19" t="n">
        <v>0</v>
      </c>
      <c r="K1664" s="35" t="n">
        <v>0.065</v>
      </c>
    </row>
    <row r="1665">
      <c r="A1665" s="36" t="inlineStr">
        <is>
          <t>AGA SPK-tilskudd</t>
        </is>
      </c>
      <c r="B1665" s="36" t="inlineStr">
        <is>
          <t>Region Sør</t>
        </is>
      </c>
      <c r="C1665" s="36" t="inlineStr">
        <is>
          <t>Telemark ungdomssenter</t>
        </is>
      </c>
      <c r="D1665" s="26" t="n">
        <v>500</v>
      </c>
      <c r="E1665" s="26" t="n"/>
      <c r="F1665" s="26" t="n"/>
      <c r="G1665" s="26" t="n"/>
      <c r="H1665" s="26" t="n"/>
      <c r="I1665" s="26" t="n"/>
      <c r="J1665" s="19" t="n">
        <v>0</v>
      </c>
      <c r="K1665" s="37" t="n">
        <v>0.065</v>
      </c>
    </row>
    <row r="1666">
      <c r="A1666" s="34" t="inlineStr">
        <is>
          <t>AGA SPK-tilskudd</t>
        </is>
      </c>
      <c r="B1666" s="34" t="inlineStr">
        <is>
          <t>Region Sør</t>
        </is>
      </c>
      <c r="C1666" s="34" t="inlineStr">
        <is>
          <t>Telemark ungdomssenter</t>
        </is>
      </c>
      <c r="D1666" s="18" t="n">
        <v>1359</v>
      </c>
      <c r="E1666" s="18" t="n">
        <v>1232</v>
      </c>
      <c r="F1666" s="18" t="n">
        <v>823</v>
      </c>
      <c r="G1666" s="18" t="n">
        <v>3116</v>
      </c>
      <c r="H1666" s="18" t="n">
        <v>5441</v>
      </c>
      <c r="I1666" s="18" t="n">
        <v>1858</v>
      </c>
      <c r="J1666" s="19" t="n">
        <v>2105.601643067367</v>
      </c>
      <c r="K1666" s="35" t="n">
        <v>0.06454800544774919</v>
      </c>
    </row>
    <row r="1667">
      <c r="A1667" s="36" t="inlineStr">
        <is>
          <t>AGA SPK-tilskudd</t>
        </is>
      </c>
      <c r="B1667" s="36" t="inlineStr">
        <is>
          <t>Region Sør</t>
        </is>
      </c>
      <c r="C1667" s="36" t="inlineStr">
        <is>
          <t>Telemark ungdomssenter</t>
        </is>
      </c>
      <c r="D1667" s="26" t="n">
        <v>-1540</v>
      </c>
      <c r="E1667" s="26" t="n">
        <v>-152013</v>
      </c>
      <c r="F1667" s="26" t="n">
        <v>-32666</v>
      </c>
      <c r="G1667" s="26" t="n">
        <v>-2504</v>
      </c>
      <c r="H1667" s="26" t="n"/>
      <c r="I1667" s="26" t="n"/>
      <c r="J1667" s="19" t="n">
        <v>0</v>
      </c>
      <c r="K1667" s="37" t="n">
        <v>0.065</v>
      </c>
    </row>
    <row r="1668">
      <c r="A1668" s="34" t="inlineStr">
        <is>
          <t>AGA SPK-tilskudd</t>
        </is>
      </c>
      <c r="B1668" s="34" t="inlineStr">
        <is>
          <t>Region Sør</t>
        </is>
      </c>
      <c r="C1668" s="34" t="inlineStr">
        <is>
          <t>Thorøya</t>
        </is>
      </c>
      <c r="D1668" s="18" t="n">
        <v>283989</v>
      </c>
      <c r="E1668" s="18" t="n">
        <v>231014</v>
      </c>
      <c r="F1668" s="18" t="n">
        <v>227461</v>
      </c>
      <c r="G1668" s="18" t="n">
        <v>247201</v>
      </c>
      <c r="H1668" s="18" t="n">
        <v>247133</v>
      </c>
      <c r="I1668" s="18" t="n">
        <v>230485</v>
      </c>
      <c r="J1668" s="19" t="n">
        <v>212021.120805249</v>
      </c>
      <c r="K1668" s="35" t="n">
        <v>-0.04089041842388474</v>
      </c>
    </row>
    <row r="1669">
      <c r="A1669" s="36" t="inlineStr">
        <is>
          <t>AGA SPK-tilskudd</t>
        </is>
      </c>
      <c r="B1669" s="36" t="inlineStr">
        <is>
          <t>Region Sør</t>
        </is>
      </c>
      <c r="C1669" s="36" t="inlineStr">
        <is>
          <t>Thorøya</t>
        </is>
      </c>
      <c r="D1669" s="26" t="n">
        <v>954526</v>
      </c>
      <c r="E1669" s="26" t="n">
        <v>530147</v>
      </c>
      <c r="F1669" s="26" t="n">
        <v>403127</v>
      </c>
      <c r="G1669" s="26" t="n">
        <v>319251</v>
      </c>
      <c r="H1669" s="26" t="n">
        <v>30495</v>
      </c>
      <c r="I1669" s="26" t="n">
        <v>51766</v>
      </c>
      <c r="J1669" s="19" t="n">
        <v>29118.375</v>
      </c>
      <c r="K1669" s="37" t="n">
        <v>-0.25</v>
      </c>
    </row>
    <row r="1670">
      <c r="A1670" s="34" t="inlineStr">
        <is>
          <t>AGA SPK-tilskudd</t>
        </is>
      </c>
      <c r="B1670" s="34" t="inlineStr">
        <is>
          <t>Region Sør</t>
        </is>
      </c>
      <c r="C1670" s="34" t="inlineStr">
        <is>
          <t>Thorøya</t>
        </is>
      </c>
      <c r="D1670" s="18" t="n">
        <v>21539</v>
      </c>
      <c r="E1670" s="18" t="n">
        <v>12793</v>
      </c>
      <c r="F1670" s="18" t="n">
        <v>64058</v>
      </c>
      <c r="G1670" s="18" t="n">
        <v>121567</v>
      </c>
      <c r="H1670" s="18" t="n">
        <v>82734</v>
      </c>
      <c r="I1670" s="18" t="n">
        <v>90560</v>
      </c>
      <c r="J1670" s="19" t="n">
        <v>141500</v>
      </c>
      <c r="K1670" s="35" t="n">
        <v>0.25</v>
      </c>
    </row>
    <row r="1671">
      <c r="A1671" s="36" t="inlineStr">
        <is>
          <t>AGA SPK-tilskudd</t>
        </is>
      </c>
      <c r="B1671" s="36" t="inlineStr">
        <is>
          <t>Region Sør</t>
        </is>
      </c>
      <c r="C1671" s="36" t="inlineStr">
        <is>
          <t>Thorøya</t>
        </is>
      </c>
      <c r="D1671" s="26" t="n">
        <v>63800</v>
      </c>
      <c r="E1671" s="26" t="n">
        <v>61446</v>
      </c>
      <c r="F1671" s="26" t="n">
        <v>70962</v>
      </c>
      <c r="G1671" s="26" t="n">
        <v>105669</v>
      </c>
      <c r="H1671" s="26" t="n">
        <v>94766</v>
      </c>
      <c r="I1671" s="26" t="n">
        <v>88953</v>
      </c>
      <c r="J1671" s="19" t="n">
        <v>101600.6690599062</v>
      </c>
      <c r="K1671" s="37" t="n">
        <v>0.0687299597704325</v>
      </c>
    </row>
    <row r="1672">
      <c r="A1672" s="34" t="inlineStr">
        <is>
          <t>AGA SPK-tilskudd</t>
        </is>
      </c>
      <c r="B1672" s="34" t="inlineStr">
        <is>
          <t>Region Sør</t>
        </is>
      </c>
      <c r="C1672" s="34" t="inlineStr">
        <is>
          <t>Thorøya</t>
        </is>
      </c>
      <c r="D1672" s="18" t="n">
        <v>11273</v>
      </c>
      <c r="E1672" s="18" t="n">
        <v>4830</v>
      </c>
      <c r="F1672" s="18" t="n">
        <v>5282</v>
      </c>
      <c r="G1672" s="18" t="n">
        <v>41229</v>
      </c>
      <c r="H1672" s="18" t="n">
        <v>1622</v>
      </c>
      <c r="I1672" s="18" t="n">
        <v>34501</v>
      </c>
      <c r="J1672" s="19" t="n">
        <v>53907.8125</v>
      </c>
      <c r="K1672" s="35" t="n">
        <v>0.25</v>
      </c>
    </row>
    <row r="1673">
      <c r="A1673" s="36" t="inlineStr">
        <is>
          <t>AGA SPK-tilskudd</t>
        </is>
      </c>
      <c r="B1673" s="36" t="inlineStr">
        <is>
          <t>Region Sør</t>
        </is>
      </c>
      <c r="C1673" s="36" t="inlineStr">
        <is>
          <t>Thorøya</t>
        </is>
      </c>
      <c r="D1673" s="26" t="n">
        <v>11126</v>
      </c>
      <c r="E1673" s="26" t="n">
        <v>4465</v>
      </c>
      <c r="F1673" s="26" t="n">
        <v>19263</v>
      </c>
      <c r="G1673" s="26" t="n">
        <v>26400</v>
      </c>
      <c r="H1673" s="26" t="n">
        <v>20098</v>
      </c>
      <c r="I1673" s="26" t="n">
        <v>13102</v>
      </c>
      <c r="J1673" s="19" t="n">
        <v>13987.40052313189</v>
      </c>
      <c r="K1673" s="37" t="n">
        <v>0.03323642454973741</v>
      </c>
    </row>
    <row r="1674">
      <c r="A1674" s="34" t="inlineStr">
        <is>
          <t>AGA SPK-tilskudd</t>
        </is>
      </c>
      <c r="B1674" s="34" t="inlineStr">
        <is>
          <t>Region Sør</t>
        </is>
      </c>
      <c r="C1674" s="34" t="inlineStr">
        <is>
          <t>Thorøya</t>
        </is>
      </c>
      <c r="D1674" s="18" t="n">
        <v>2000</v>
      </c>
      <c r="E1674" s="18" t="n">
        <v>3486</v>
      </c>
      <c r="F1674" s="18" t="n">
        <v>22223</v>
      </c>
      <c r="G1674" s="18" t="n">
        <v>15520</v>
      </c>
      <c r="H1674" s="18" t="n">
        <v>14540</v>
      </c>
      <c r="I1674" s="18" t="n">
        <v>5526</v>
      </c>
      <c r="J1674" s="19" t="n">
        <v>8297.805189867458</v>
      </c>
      <c r="K1674" s="35" t="n">
        <v>0.2253952060961062</v>
      </c>
    </row>
    <row r="1675">
      <c r="A1675" s="36" t="inlineStr">
        <is>
          <t>AGA SPK-tilskudd</t>
        </is>
      </c>
      <c r="B1675" s="36" t="inlineStr">
        <is>
          <t>Region Sør</t>
        </is>
      </c>
      <c r="C1675" s="36" t="inlineStr">
        <is>
          <t>Thorøya</t>
        </is>
      </c>
      <c r="D1675" s="26" t="n"/>
      <c r="E1675" s="26" t="n">
        <v>1362</v>
      </c>
      <c r="F1675" s="26" t="n">
        <v>13133</v>
      </c>
      <c r="G1675" s="26" t="n">
        <v>21252</v>
      </c>
      <c r="H1675" s="26" t="n">
        <v>16298</v>
      </c>
      <c r="I1675" s="26" t="n">
        <v>16635</v>
      </c>
      <c r="J1675" s="19" t="n">
        <v>25992.1875</v>
      </c>
      <c r="K1675" s="37" t="n">
        <v>0.25</v>
      </c>
    </row>
    <row r="1676">
      <c r="A1676" s="34" t="inlineStr">
        <is>
          <t>AGA SPK-tilskudd</t>
        </is>
      </c>
      <c r="B1676" s="34" t="inlineStr">
        <is>
          <t>Region Sør</t>
        </is>
      </c>
      <c r="C1676" s="34" t="inlineStr">
        <is>
          <t>Thorøya</t>
        </is>
      </c>
      <c r="D1676" s="18" t="n">
        <v>1031</v>
      </c>
      <c r="E1676" s="18" t="n">
        <v>28183</v>
      </c>
      <c r="F1676" s="18" t="n">
        <v>25617</v>
      </c>
      <c r="G1676" s="18" t="n">
        <v>1766</v>
      </c>
      <c r="H1676" s="18" t="n">
        <v>34003</v>
      </c>
      <c r="I1676" s="18" t="n">
        <v>23262</v>
      </c>
      <c r="J1676" s="19" t="n">
        <v>36346.875</v>
      </c>
      <c r="K1676" s="35" t="n">
        <v>0.25</v>
      </c>
    </row>
    <row r="1677">
      <c r="A1677" s="36" t="inlineStr">
        <is>
          <t>AGA SPK-tilskudd</t>
        </is>
      </c>
      <c r="B1677" s="36" t="inlineStr">
        <is>
          <t>Region Sør</t>
        </is>
      </c>
      <c r="C1677" s="36" t="inlineStr">
        <is>
          <t>Thorøya</t>
        </is>
      </c>
      <c r="D1677" s="26" t="n">
        <v>2604</v>
      </c>
      <c r="E1677" s="26" t="n">
        <v>1645</v>
      </c>
      <c r="F1677" s="26" t="n">
        <v>12110</v>
      </c>
      <c r="G1677" s="26" t="n">
        <v>15918</v>
      </c>
      <c r="H1677" s="26" t="n">
        <v>19644</v>
      </c>
      <c r="I1677" s="26" t="n">
        <v>8156</v>
      </c>
      <c r="J1677" s="19" t="n">
        <v>12743.75</v>
      </c>
      <c r="K1677" s="37" t="n">
        <v>0.25</v>
      </c>
    </row>
    <row r="1678">
      <c r="A1678" s="34" t="inlineStr">
        <is>
          <t>AGA SPK-tilskudd</t>
        </is>
      </c>
      <c r="B1678" s="34" t="inlineStr">
        <is>
          <t>Region Sør</t>
        </is>
      </c>
      <c r="C1678" s="34" t="inlineStr">
        <is>
          <t>Thorøya</t>
        </is>
      </c>
      <c r="D1678" s="18" t="n"/>
      <c r="E1678" s="18" t="n">
        <v>710</v>
      </c>
      <c r="F1678" s="18" t="n"/>
      <c r="G1678" s="18" t="n"/>
      <c r="H1678" s="18" t="n"/>
      <c r="I1678" s="18" t="n"/>
      <c r="J1678" s="19" t="n">
        <v>0</v>
      </c>
      <c r="K1678" s="35" t="n">
        <v>0.065</v>
      </c>
    </row>
    <row r="1679">
      <c r="A1679" s="36" t="inlineStr">
        <is>
          <t>AGA SPK-tilskudd</t>
        </is>
      </c>
      <c r="B1679" s="36" t="inlineStr">
        <is>
          <t>Region Sør</t>
        </is>
      </c>
      <c r="C1679" s="36" t="inlineStr">
        <is>
          <t>Thorøya</t>
        </is>
      </c>
      <c r="D1679" s="26" t="n">
        <v>7075</v>
      </c>
      <c r="E1679" s="26" t="n">
        <v>3624</v>
      </c>
      <c r="F1679" s="26" t="n"/>
      <c r="G1679" s="26" t="n">
        <v>2590</v>
      </c>
      <c r="H1679" s="26" t="n"/>
      <c r="I1679" s="26" t="n"/>
      <c r="J1679" s="19" t="n">
        <v>0</v>
      </c>
      <c r="K1679" s="37" t="n">
        <v>0.065</v>
      </c>
    </row>
    <row r="1680">
      <c r="A1680" s="34" t="inlineStr">
        <is>
          <t>AGA SPK-tilskudd</t>
        </is>
      </c>
      <c r="B1680" s="34" t="inlineStr">
        <is>
          <t>Region Sør</t>
        </is>
      </c>
      <c r="C1680" s="34" t="inlineStr">
        <is>
          <t>Thorøya</t>
        </is>
      </c>
      <c r="D1680" s="18" t="n">
        <v>22640</v>
      </c>
      <c r="E1680" s="18" t="n"/>
      <c r="F1680" s="18" t="n"/>
      <c r="G1680" s="18" t="n"/>
      <c r="H1680" s="18" t="n"/>
      <c r="I1680" s="18" t="n"/>
      <c r="J1680" s="19" t="n">
        <v>0</v>
      </c>
      <c r="K1680" s="35" t="n">
        <v>0.065</v>
      </c>
    </row>
    <row r="1681">
      <c r="A1681" s="36" t="inlineStr">
        <is>
          <t>AGA SPK-tilskudd</t>
        </is>
      </c>
      <c r="B1681" s="36" t="inlineStr">
        <is>
          <t>Region Sør</t>
        </is>
      </c>
      <c r="C1681" s="36" t="inlineStr">
        <is>
          <t>Thorøya</t>
        </is>
      </c>
      <c r="D1681" s="26" t="n"/>
      <c r="E1681" s="26" t="n"/>
      <c r="F1681" s="26" t="n">
        <v>409</v>
      </c>
      <c r="G1681" s="26" t="n"/>
      <c r="H1681" s="26" t="n"/>
      <c r="I1681" s="26" t="n"/>
      <c r="J1681" s="19" t="n">
        <v>0</v>
      </c>
      <c r="K1681" s="37" t="n">
        <v>0.065</v>
      </c>
    </row>
    <row r="1682">
      <c r="A1682" s="34" t="inlineStr">
        <is>
          <t>AGA SPK-tilskudd</t>
        </is>
      </c>
      <c r="B1682" s="34" t="inlineStr">
        <is>
          <t>Region Sør</t>
        </is>
      </c>
      <c r="C1682" s="34" t="inlineStr">
        <is>
          <t>Thorøya</t>
        </is>
      </c>
      <c r="D1682" s="18" t="n"/>
      <c r="E1682" s="18" t="n"/>
      <c r="F1682" s="18" t="n">
        <v>-409</v>
      </c>
      <c r="G1682" s="18" t="n"/>
      <c r="H1682" s="18" t="n"/>
      <c r="I1682" s="18" t="n"/>
      <c r="J1682" s="19" t="n">
        <v>0</v>
      </c>
      <c r="K1682" s="35" t="n">
        <v>0.065</v>
      </c>
    </row>
    <row r="1683">
      <c r="A1683" s="36" t="inlineStr">
        <is>
          <t>AGA SPK-tilskudd</t>
        </is>
      </c>
      <c r="B1683" s="36" t="inlineStr">
        <is>
          <t>Region Sør</t>
        </is>
      </c>
      <c r="C1683" s="36" t="inlineStr">
        <is>
          <t>Thorøya</t>
        </is>
      </c>
      <c r="D1683" s="26" t="n">
        <v>19472</v>
      </c>
      <c r="E1683" s="26" t="n">
        <v>14014</v>
      </c>
      <c r="F1683" s="26" t="n">
        <v>20288</v>
      </c>
      <c r="G1683" s="26" t="n">
        <v>25840</v>
      </c>
      <c r="H1683" s="26" t="n">
        <v>24004</v>
      </c>
      <c r="I1683" s="26" t="n">
        <v>22008</v>
      </c>
      <c r="J1683" s="19" t="n">
        <v>23112.58833290506</v>
      </c>
      <c r="K1683" s="37" t="n">
        <v>0.02478793394776746</v>
      </c>
    </row>
    <row r="1684">
      <c r="A1684" s="34" t="inlineStr">
        <is>
          <t>AGA SPK-tilskudd</t>
        </is>
      </c>
      <c r="B1684" s="34" t="inlineStr">
        <is>
          <t>Region Sør</t>
        </is>
      </c>
      <c r="C1684" s="34" t="inlineStr">
        <is>
          <t>Thorøya</t>
        </is>
      </c>
      <c r="D1684" s="18" t="n"/>
      <c r="E1684" s="18" t="n"/>
      <c r="F1684" s="18" t="n"/>
      <c r="G1684" s="18" t="n">
        <v>-43600</v>
      </c>
      <c r="H1684" s="18" t="n"/>
      <c r="I1684" s="18" t="n"/>
      <c r="J1684" s="19" t="n">
        <v>0</v>
      </c>
      <c r="K1684" s="35" t="n">
        <v>0.065</v>
      </c>
    </row>
    <row r="1685">
      <c r="A1685" s="36" t="inlineStr">
        <is>
          <t>AGA SPK-tilskudd</t>
        </is>
      </c>
      <c r="B1685" s="36" t="inlineStr">
        <is>
          <t>Region Sør</t>
        </is>
      </c>
      <c r="C1685" s="36" t="inlineStr">
        <is>
          <t>Thorøya</t>
        </is>
      </c>
      <c r="D1685" s="26" t="n"/>
      <c r="E1685" s="26" t="n"/>
      <c r="F1685" s="26" t="n"/>
      <c r="G1685" s="26" t="n"/>
      <c r="H1685" s="26" t="n">
        <v>-10000</v>
      </c>
      <c r="I1685" s="26" t="n">
        <v>-5000</v>
      </c>
      <c r="J1685" s="19" t="n">
        <v>-5671.124999999999</v>
      </c>
      <c r="K1685" s="37" t="n">
        <v>0.065</v>
      </c>
    </row>
    <row r="1686">
      <c r="A1686" s="34" t="inlineStr">
        <is>
          <t>AGA SPK-tilskudd</t>
        </is>
      </c>
      <c r="B1686" s="34" t="inlineStr">
        <is>
          <t>Region Sør</t>
        </is>
      </c>
      <c r="C1686" s="34" t="inlineStr">
        <is>
          <t>Thorøya</t>
        </is>
      </c>
      <c r="D1686" s="18" t="n">
        <v>-751232</v>
      </c>
      <c r="E1686" s="18" t="n">
        <v>-21168</v>
      </c>
      <c r="F1686" s="18" t="n">
        <v>-173025</v>
      </c>
      <c r="G1686" s="18" t="n">
        <v>-20203</v>
      </c>
      <c r="H1686" s="18" t="n">
        <v>-193784</v>
      </c>
      <c r="I1686" s="18" t="n">
        <v>-129560</v>
      </c>
      <c r="J1686" s="19" t="n">
        <v>-146950.191</v>
      </c>
      <c r="K1686" s="35" t="n">
        <v>0.065</v>
      </c>
    </row>
    <row r="1687">
      <c r="A1687" s="36" t="inlineStr">
        <is>
          <t>AGA SPK-tilskudd</t>
        </is>
      </c>
      <c r="B1687" s="36" t="inlineStr">
        <is>
          <t>Region Sør</t>
        </is>
      </c>
      <c r="C1687" s="36" t="inlineStr">
        <is>
          <t>Thorøya</t>
        </is>
      </c>
      <c r="D1687" s="26" t="n">
        <v>-1476272</v>
      </c>
      <c r="E1687" s="26" t="n">
        <v>-809645</v>
      </c>
      <c r="F1687" s="26" t="n">
        <v>-779144</v>
      </c>
      <c r="G1687" s="26" t="n">
        <v>-2020987</v>
      </c>
      <c r="H1687" s="26" t="n">
        <v>-1857623</v>
      </c>
      <c r="I1687" s="26" t="n">
        <v>-1831637</v>
      </c>
      <c r="J1687" s="19" t="n">
        <v>-2077488.476325</v>
      </c>
      <c r="K1687" s="37" t="n">
        <v>0.065</v>
      </c>
    </row>
    <row r="1688">
      <c r="A1688" s="34" t="inlineStr">
        <is>
          <t>AGA SPK-tilskudd</t>
        </is>
      </c>
      <c r="B1688" s="34" t="inlineStr">
        <is>
          <t>Region Sør</t>
        </is>
      </c>
      <c r="C1688" s="34" t="inlineStr">
        <is>
          <t>Thorøya ungdomshjem</t>
        </is>
      </c>
      <c r="D1688" s="18" t="n"/>
      <c r="E1688" s="18" t="n"/>
      <c r="F1688" s="18" t="n">
        <v>6246</v>
      </c>
      <c r="G1688" s="18" t="n">
        <v>6359</v>
      </c>
      <c r="H1688" s="18" t="n">
        <v>4140</v>
      </c>
      <c r="I1688" s="18" t="n">
        <v>45</v>
      </c>
      <c r="J1688" s="19" t="n">
        <v>51.04012499999999</v>
      </c>
      <c r="K1688" s="35" t="n">
        <v>0.065</v>
      </c>
    </row>
    <row r="1689">
      <c r="A1689" s="36" t="inlineStr">
        <is>
          <t>AGA SPK-tilskudd</t>
        </is>
      </c>
      <c r="B1689" s="36" t="inlineStr">
        <is>
          <t>Region Sør</t>
        </is>
      </c>
      <c r="C1689" s="36" t="inlineStr">
        <is>
          <t>Thorøya ungdomshjem</t>
        </is>
      </c>
      <c r="D1689" s="26" t="n"/>
      <c r="E1689" s="26" t="n"/>
      <c r="F1689" s="26" t="n">
        <v>8344</v>
      </c>
      <c r="G1689" s="26" t="n">
        <v>36124</v>
      </c>
      <c r="H1689" s="26" t="n">
        <v>4215</v>
      </c>
      <c r="I1689" s="26" t="n"/>
      <c r="J1689" s="19" t="n">
        <v>0</v>
      </c>
      <c r="K1689" s="37" t="n">
        <v>0.065</v>
      </c>
    </row>
    <row r="1690">
      <c r="A1690" s="34" t="inlineStr">
        <is>
          <t>AGA SPK-tilskudd</t>
        </is>
      </c>
      <c r="B1690" s="34" t="inlineStr">
        <is>
          <t>Region Sør</t>
        </is>
      </c>
      <c r="C1690" s="34" t="inlineStr">
        <is>
          <t>Thorøya ungdomshjem</t>
        </is>
      </c>
      <c r="D1690" s="18" t="n"/>
      <c r="E1690" s="18" t="n"/>
      <c r="F1690" s="18" t="n">
        <v>736</v>
      </c>
      <c r="G1690" s="18" t="n">
        <v>956</v>
      </c>
      <c r="H1690" s="18" t="n">
        <v>583</v>
      </c>
      <c r="I1690" s="18" t="n"/>
      <c r="J1690" s="19" t="n">
        <v>0</v>
      </c>
      <c r="K1690" s="35" t="n">
        <v>0.065</v>
      </c>
    </row>
    <row r="1691">
      <c r="A1691" s="36" t="inlineStr">
        <is>
          <t>AGA SPK-tilskudd</t>
        </is>
      </c>
      <c r="B1691" s="36" t="inlineStr">
        <is>
          <t>Region Sør</t>
        </is>
      </c>
      <c r="C1691" s="36" t="inlineStr">
        <is>
          <t>Thorøya ungdomshjem</t>
        </is>
      </c>
      <c r="D1691" s="26" t="n"/>
      <c r="E1691" s="26" t="n"/>
      <c r="F1691" s="26" t="n">
        <v>2407</v>
      </c>
      <c r="G1691" s="26" t="n">
        <v>4054</v>
      </c>
      <c r="H1691" s="26" t="n">
        <v>76</v>
      </c>
      <c r="I1691" s="26" t="n"/>
      <c r="J1691" s="19" t="n">
        <v>0</v>
      </c>
      <c r="K1691" s="37" t="n">
        <v>0.065</v>
      </c>
    </row>
    <row r="1692">
      <c r="A1692" s="34" t="inlineStr">
        <is>
          <t>AGA SPK-tilskudd</t>
        </is>
      </c>
      <c r="B1692" s="34" t="inlineStr">
        <is>
          <t>Region Sør</t>
        </is>
      </c>
      <c r="C1692" s="34" t="inlineStr">
        <is>
          <t>Thorøya ungdomshjem</t>
        </is>
      </c>
      <c r="D1692" s="18" t="n"/>
      <c r="E1692" s="18" t="n"/>
      <c r="F1692" s="18" t="n">
        <v>2420</v>
      </c>
      <c r="G1692" s="18" t="n">
        <v>2951</v>
      </c>
      <c r="H1692" s="18" t="n"/>
      <c r="I1692" s="18" t="n"/>
      <c r="J1692" s="19" t="n">
        <v>0</v>
      </c>
      <c r="K1692" s="35" t="n">
        <v>0.065</v>
      </c>
    </row>
    <row r="1693">
      <c r="A1693" s="36" t="inlineStr">
        <is>
          <t>AGA SPK-tilskudd</t>
        </is>
      </c>
      <c r="B1693" s="36" t="inlineStr">
        <is>
          <t>Region Sør</t>
        </is>
      </c>
      <c r="C1693" s="36" t="inlineStr">
        <is>
          <t>Thorøya ungdomshjem</t>
        </is>
      </c>
      <c r="D1693" s="26" t="n"/>
      <c r="E1693" s="26" t="n"/>
      <c r="F1693" s="26" t="n">
        <v>795</v>
      </c>
      <c r="G1693" s="26" t="n"/>
      <c r="H1693" s="26" t="n"/>
      <c r="I1693" s="26" t="n">
        <v>1320</v>
      </c>
      <c r="J1693" s="19" t="n">
        <v>1497.177</v>
      </c>
      <c r="K1693" s="37" t="n">
        <v>0.065</v>
      </c>
    </row>
    <row r="1694">
      <c r="A1694" s="34" t="inlineStr">
        <is>
          <t>AGA SPK-tilskudd</t>
        </is>
      </c>
      <c r="B1694" s="34" t="inlineStr">
        <is>
          <t>Region Sør</t>
        </is>
      </c>
      <c r="C1694" s="34" t="inlineStr">
        <is>
          <t>Thorøya ungdomshjem</t>
        </is>
      </c>
      <c r="D1694" s="18" t="n"/>
      <c r="E1694" s="18" t="n"/>
      <c r="F1694" s="18" t="n">
        <v>386</v>
      </c>
      <c r="G1694" s="18" t="n">
        <v>2384</v>
      </c>
      <c r="H1694" s="18" t="n">
        <v>2455</v>
      </c>
      <c r="I1694" s="18" t="n"/>
      <c r="J1694" s="19" t="n">
        <v>0</v>
      </c>
      <c r="K1694" s="35" t="n">
        <v>0.065</v>
      </c>
    </row>
    <row r="1695">
      <c r="A1695" s="36" t="inlineStr">
        <is>
          <t>AGA SPK-tilskudd</t>
        </is>
      </c>
      <c r="B1695" s="36" t="inlineStr">
        <is>
          <t>Region Sør</t>
        </is>
      </c>
      <c r="C1695" s="36" t="inlineStr">
        <is>
          <t>Thorøya ungdomshjem</t>
        </is>
      </c>
      <c r="D1695" s="26" t="n"/>
      <c r="E1695" s="26" t="n"/>
      <c r="F1695" s="26" t="n">
        <v>1439</v>
      </c>
      <c r="G1695" s="26" t="n">
        <v>3025</v>
      </c>
      <c r="H1695" s="26" t="n">
        <v>30</v>
      </c>
      <c r="I1695" s="26" t="n"/>
      <c r="J1695" s="19" t="n">
        <v>0</v>
      </c>
      <c r="K1695" s="37" t="n">
        <v>0.065</v>
      </c>
    </row>
    <row r="1696">
      <c r="A1696" s="34" t="inlineStr">
        <is>
          <t>AGA SPK-tilskudd</t>
        </is>
      </c>
      <c r="B1696" s="34" t="inlineStr">
        <is>
          <t>Region Sør</t>
        </is>
      </c>
      <c r="C1696" s="34" t="inlineStr">
        <is>
          <t>Tovdal</t>
        </is>
      </c>
      <c r="D1696" s="18" t="n"/>
      <c r="E1696" s="18" t="n">
        <v>7287</v>
      </c>
      <c r="F1696" s="18" t="n"/>
      <c r="G1696" s="18" t="n">
        <v>551</v>
      </c>
      <c r="H1696" s="18" t="n"/>
      <c r="I1696" s="18" t="n"/>
      <c r="J1696" s="19" t="n">
        <v>0</v>
      </c>
      <c r="K1696" s="35" t="n">
        <v>0.065</v>
      </c>
    </row>
    <row r="1697">
      <c r="A1697" s="36" t="inlineStr">
        <is>
          <t>AGA SPK-tilskudd</t>
        </is>
      </c>
      <c r="B1697" s="36" t="inlineStr">
        <is>
          <t>Region Sør</t>
        </is>
      </c>
      <c r="C1697" s="36" t="inlineStr">
        <is>
          <t>Ulabrand</t>
        </is>
      </c>
      <c r="D1697" s="26" t="n"/>
      <c r="E1697" s="26" t="n">
        <v>44456</v>
      </c>
      <c r="F1697" s="26" t="n">
        <v>104376</v>
      </c>
      <c r="G1697" s="26" t="n">
        <v>131071</v>
      </c>
      <c r="H1697" s="26" t="n">
        <v>141008</v>
      </c>
      <c r="I1697" s="26" t="n">
        <v>129743</v>
      </c>
      <c r="J1697" s="19" t="n">
        <v>202723.4375</v>
      </c>
      <c r="K1697" s="37" t="n">
        <v>0.25</v>
      </c>
    </row>
    <row r="1698">
      <c r="A1698" s="34" t="inlineStr">
        <is>
          <t>AGA SPK-tilskudd</t>
        </is>
      </c>
      <c r="B1698" s="34" t="inlineStr">
        <is>
          <t>Region Sør</t>
        </is>
      </c>
      <c r="C1698" s="34" t="inlineStr">
        <is>
          <t>Ulabrand</t>
        </is>
      </c>
      <c r="D1698" s="18" t="n"/>
      <c r="E1698" s="18" t="n"/>
      <c r="F1698" s="18" t="n">
        <v>18792</v>
      </c>
      <c r="G1698" s="18" t="n">
        <v>11732</v>
      </c>
      <c r="H1698" s="18" t="n">
        <v>67711</v>
      </c>
      <c r="I1698" s="18" t="n">
        <v>315</v>
      </c>
      <c r="J1698" s="19" t="n">
        <v>357.2808749999999</v>
      </c>
      <c r="K1698" s="35" t="n">
        <v>0.065</v>
      </c>
    </row>
    <row r="1699">
      <c r="A1699" s="36" t="inlineStr">
        <is>
          <t>AGA SPK-tilskudd</t>
        </is>
      </c>
      <c r="B1699" s="36" t="inlineStr">
        <is>
          <t>Region Sør</t>
        </is>
      </c>
      <c r="C1699" s="36" t="inlineStr">
        <is>
          <t>Ulabrand</t>
        </is>
      </c>
      <c r="D1699" s="26" t="n"/>
      <c r="E1699" s="26" t="n">
        <v>10799</v>
      </c>
      <c r="F1699" s="26" t="n">
        <v>69328</v>
      </c>
      <c r="G1699" s="26" t="n">
        <v>56096</v>
      </c>
      <c r="H1699" s="26" t="n">
        <v>125970</v>
      </c>
      <c r="I1699" s="26" t="n">
        <v>52519</v>
      </c>
      <c r="J1699" s="19" t="n">
        <v>82060.9375</v>
      </c>
      <c r="K1699" s="37" t="n">
        <v>0.25</v>
      </c>
    </row>
    <row r="1700">
      <c r="A1700" s="34" t="inlineStr">
        <is>
          <t>AGA SPK-tilskudd</t>
        </is>
      </c>
      <c r="B1700" s="34" t="inlineStr">
        <is>
          <t>Region Sør</t>
        </is>
      </c>
      <c r="C1700" s="34" t="inlineStr">
        <is>
          <t>Ulabrand</t>
        </is>
      </c>
      <c r="D1700" s="18" t="n"/>
      <c r="E1700" s="18" t="n">
        <v>10532</v>
      </c>
      <c r="F1700" s="18" t="n">
        <v>28221</v>
      </c>
      <c r="G1700" s="18" t="n">
        <v>45666</v>
      </c>
      <c r="H1700" s="18" t="n">
        <v>56876</v>
      </c>
      <c r="I1700" s="18" t="n">
        <v>61849</v>
      </c>
      <c r="J1700" s="19" t="n">
        <v>96639.0625</v>
      </c>
      <c r="K1700" s="35" t="n">
        <v>0.25</v>
      </c>
    </row>
    <row r="1701">
      <c r="A1701" s="36" t="inlineStr">
        <is>
          <t>AGA SPK-tilskudd</t>
        </is>
      </c>
      <c r="B1701" s="36" t="inlineStr">
        <is>
          <t>Region Sør</t>
        </is>
      </c>
      <c r="C1701" s="36" t="inlineStr">
        <is>
          <t>Ulabrand</t>
        </is>
      </c>
      <c r="D1701" s="26" t="n"/>
      <c r="E1701" s="26" t="n"/>
      <c r="F1701" s="26" t="n"/>
      <c r="G1701" s="26" t="n">
        <v>973</v>
      </c>
      <c r="H1701" s="26" t="n"/>
      <c r="I1701" s="26" t="n"/>
      <c r="J1701" s="19" t="n">
        <v>0</v>
      </c>
      <c r="K1701" s="37" t="n">
        <v>0.065</v>
      </c>
    </row>
    <row r="1702">
      <c r="A1702" s="34" t="inlineStr">
        <is>
          <t>AGA SPK-tilskudd</t>
        </is>
      </c>
      <c r="B1702" s="34" t="inlineStr">
        <is>
          <t>Region Sør</t>
        </is>
      </c>
      <c r="C1702" s="34" t="inlineStr">
        <is>
          <t>Ulabrand</t>
        </is>
      </c>
      <c r="D1702" s="18" t="n"/>
      <c r="E1702" s="18" t="n">
        <v>15043</v>
      </c>
      <c r="F1702" s="18" t="n">
        <v>13746</v>
      </c>
      <c r="G1702" s="18" t="n">
        <v>9153</v>
      </c>
      <c r="H1702" s="18" t="n">
        <v>9624</v>
      </c>
      <c r="I1702" s="18" t="n">
        <v>2352</v>
      </c>
      <c r="J1702" s="19" t="n">
        <v>1323</v>
      </c>
      <c r="K1702" s="35" t="n">
        <v>-0.25</v>
      </c>
    </row>
    <row r="1703">
      <c r="A1703" s="36" t="inlineStr">
        <is>
          <t>AGA SPK-tilskudd</t>
        </is>
      </c>
      <c r="B1703" s="36" t="inlineStr">
        <is>
          <t>Region Sør</t>
        </is>
      </c>
      <c r="C1703" s="36" t="inlineStr">
        <is>
          <t>Ulabrand</t>
        </is>
      </c>
      <c r="D1703" s="26" t="n"/>
      <c r="E1703" s="26" t="n">
        <v>3300</v>
      </c>
      <c r="F1703" s="26" t="n">
        <v>11954</v>
      </c>
      <c r="G1703" s="26" t="n">
        <v>12183</v>
      </c>
      <c r="H1703" s="26" t="n">
        <v>27971</v>
      </c>
      <c r="I1703" s="26" t="n">
        <v>9440</v>
      </c>
      <c r="J1703" s="19" t="n">
        <v>14750</v>
      </c>
      <c r="K1703" s="37" t="n">
        <v>0.25</v>
      </c>
    </row>
    <row r="1704">
      <c r="A1704" s="34" t="inlineStr">
        <is>
          <t>AGA SPK-tilskudd</t>
        </is>
      </c>
      <c r="B1704" s="34" t="inlineStr">
        <is>
          <t>Region Sør</t>
        </is>
      </c>
      <c r="C1704" s="34" t="inlineStr">
        <is>
          <t>Ulabrand</t>
        </is>
      </c>
      <c r="D1704" s="18" t="n"/>
      <c r="E1704" s="18" t="n">
        <v>2240</v>
      </c>
      <c r="F1704" s="18" t="n">
        <v>3830</v>
      </c>
      <c r="G1704" s="18" t="n">
        <v>10639</v>
      </c>
      <c r="H1704" s="18" t="n">
        <v>4069</v>
      </c>
      <c r="I1704" s="18" t="n">
        <v>58926</v>
      </c>
      <c r="J1704" s="19" t="n">
        <v>92071.875</v>
      </c>
      <c r="K1704" s="35" t="n">
        <v>0.25</v>
      </c>
    </row>
    <row r="1705">
      <c r="A1705" s="36" t="inlineStr">
        <is>
          <t>AGA SPK-tilskudd</t>
        </is>
      </c>
      <c r="B1705" s="36" t="inlineStr">
        <is>
          <t>Region Sør</t>
        </is>
      </c>
      <c r="C1705" s="36" t="inlineStr">
        <is>
          <t>Ulabrand</t>
        </is>
      </c>
      <c r="D1705" s="26" t="n"/>
      <c r="E1705" s="26" t="n">
        <v>187</v>
      </c>
      <c r="F1705" s="26" t="n">
        <v>5478</v>
      </c>
      <c r="G1705" s="26" t="n">
        <v>4975</v>
      </c>
      <c r="H1705" s="26" t="n">
        <v>6563</v>
      </c>
      <c r="I1705" s="26" t="n">
        <v>3011</v>
      </c>
      <c r="J1705" s="19" t="n">
        <v>4704.6875</v>
      </c>
      <c r="K1705" s="37" t="n">
        <v>0.25</v>
      </c>
    </row>
    <row r="1706">
      <c r="A1706" s="34" t="inlineStr">
        <is>
          <t>AGA SPK-tilskudd</t>
        </is>
      </c>
      <c r="B1706" s="34" t="inlineStr">
        <is>
          <t>Region Sør</t>
        </is>
      </c>
      <c r="C1706" s="34" t="inlineStr">
        <is>
          <t>Ulabrand</t>
        </is>
      </c>
      <c r="D1706" s="18" t="n"/>
      <c r="E1706" s="18" t="n">
        <v>2883</v>
      </c>
      <c r="F1706" s="18" t="n">
        <v>5725</v>
      </c>
      <c r="G1706" s="18" t="n">
        <v>5837</v>
      </c>
      <c r="H1706" s="18" t="n">
        <v>14007</v>
      </c>
      <c r="I1706" s="18" t="n">
        <v>4537</v>
      </c>
      <c r="J1706" s="19" t="n">
        <v>5691.553829957711</v>
      </c>
      <c r="K1706" s="35" t="n">
        <v>0.1200335559259824</v>
      </c>
    </row>
    <row r="1707">
      <c r="A1707" s="36" t="inlineStr">
        <is>
          <t>AGA SPK-tilskudd</t>
        </is>
      </c>
      <c r="B1707" s="36" t="inlineStr">
        <is>
          <t>Region Sør</t>
        </is>
      </c>
      <c r="C1707" s="36" t="inlineStr">
        <is>
          <t>Ulabrand</t>
        </is>
      </c>
      <c r="D1707" s="26" t="n"/>
      <c r="E1707" s="26" t="n"/>
      <c r="F1707" s="26" t="n"/>
      <c r="G1707" s="26" t="n">
        <v>2090</v>
      </c>
      <c r="H1707" s="26" t="n"/>
      <c r="I1707" s="26" t="n"/>
      <c r="J1707" s="19" t="n">
        <v>0</v>
      </c>
      <c r="K1707" s="37" t="n">
        <v>0.065</v>
      </c>
    </row>
    <row r="1708">
      <c r="A1708" s="34" t="inlineStr">
        <is>
          <t>AGA SPK-tilskudd</t>
        </is>
      </c>
      <c r="B1708" s="34" t="inlineStr">
        <is>
          <t>Region Sør</t>
        </is>
      </c>
      <c r="C1708" s="34" t="inlineStr">
        <is>
          <t>Ulabrand</t>
        </is>
      </c>
      <c r="D1708" s="18" t="n"/>
      <c r="E1708" s="18" t="n"/>
      <c r="F1708" s="18" t="n"/>
      <c r="G1708" s="18" t="n"/>
      <c r="H1708" s="18" t="n"/>
      <c r="I1708" s="18" t="n">
        <v>-23100</v>
      </c>
      <c r="J1708" s="19" t="n">
        <v>-26200.5975</v>
      </c>
      <c r="K1708" s="35" t="n">
        <v>0.065</v>
      </c>
    </row>
    <row r="1709">
      <c r="A1709" s="36" t="inlineStr">
        <is>
          <t>AGA SPK-tilskudd</t>
        </is>
      </c>
      <c r="B1709" s="36" t="inlineStr">
        <is>
          <t>Region Sør</t>
        </is>
      </c>
      <c r="C1709" s="36" t="inlineStr">
        <is>
          <t>Ulabrand</t>
        </is>
      </c>
      <c r="D1709" s="26" t="n"/>
      <c r="E1709" s="26" t="n">
        <v>-820</v>
      </c>
      <c r="F1709" s="26" t="n">
        <v>2006</v>
      </c>
      <c r="G1709" s="26" t="n">
        <v>2812</v>
      </c>
      <c r="H1709" s="26" t="n">
        <v>1411</v>
      </c>
      <c r="I1709" s="26" t="n">
        <v>8107</v>
      </c>
      <c r="J1709" s="19" t="n">
        <v>9195.162074999998</v>
      </c>
      <c r="K1709" s="37" t="n">
        <v>0.065</v>
      </c>
    </row>
    <row r="1710">
      <c r="A1710" s="34" t="inlineStr">
        <is>
          <t>AGA SPK-tilskudd</t>
        </is>
      </c>
      <c r="B1710" s="34" t="inlineStr">
        <is>
          <t>Region Sør</t>
        </is>
      </c>
      <c r="C1710" s="34" t="inlineStr">
        <is>
          <t>Ulabrand</t>
        </is>
      </c>
      <c r="D1710" s="18" t="n"/>
      <c r="E1710" s="18" t="n"/>
      <c r="F1710" s="18" t="n"/>
      <c r="G1710" s="18" t="n">
        <v>-5000</v>
      </c>
      <c r="H1710" s="18" t="n"/>
      <c r="I1710" s="18" t="n"/>
      <c r="J1710" s="19" t="n">
        <v>0</v>
      </c>
      <c r="K1710" s="35" t="n">
        <v>0.065</v>
      </c>
    </row>
    <row r="1711">
      <c r="A1711" s="36" t="inlineStr">
        <is>
          <t>AGA SPK-tilskudd</t>
        </is>
      </c>
      <c r="B1711" s="36" t="inlineStr">
        <is>
          <t>Region Sør</t>
        </is>
      </c>
      <c r="C1711" s="36" t="inlineStr">
        <is>
          <t>Ulabrand</t>
        </is>
      </c>
      <c r="D1711" s="26" t="n"/>
      <c r="E1711" s="26" t="n">
        <v>-105341</v>
      </c>
      <c r="F1711" s="26" t="n">
        <v>-281299</v>
      </c>
      <c r="G1711" s="26" t="n">
        <v>-114800</v>
      </c>
      <c r="H1711" s="26" t="n">
        <v>-237657</v>
      </c>
      <c r="I1711" s="26" t="n">
        <v>-512733</v>
      </c>
      <c r="J1711" s="19" t="n">
        <v>-581554.586925</v>
      </c>
      <c r="K1711" s="37" t="n">
        <v>0.065</v>
      </c>
    </row>
    <row r="1712">
      <c r="A1712" s="34" t="inlineStr">
        <is>
          <t>AGA SPK-tilskudd</t>
        </is>
      </c>
      <c r="B1712" s="34" t="inlineStr">
        <is>
          <t>Region Sør</t>
        </is>
      </c>
      <c r="C1712" s="34" t="inlineStr">
        <is>
          <t>Ulabrand</t>
        </is>
      </c>
      <c r="D1712" s="18" t="n"/>
      <c r="E1712" s="18" t="n">
        <v>-172085</v>
      </c>
      <c r="F1712" s="18" t="n">
        <v>-559089</v>
      </c>
      <c r="G1712" s="18" t="n">
        <v>-761924</v>
      </c>
      <c r="H1712" s="18" t="n">
        <v>-1332594</v>
      </c>
      <c r="I1712" s="18" t="n">
        <v>-514870</v>
      </c>
      <c r="J1712" s="19" t="n">
        <v>-583978.4257499999</v>
      </c>
      <c r="K1712" s="35" t="n">
        <v>0.065</v>
      </c>
    </row>
    <row r="1713">
      <c r="A1713" s="36" t="inlineStr">
        <is>
          <t>AGA SPK-tilskudd</t>
        </is>
      </c>
      <c r="B1713" s="36" t="inlineStr">
        <is>
          <t>Region Sør</t>
        </is>
      </c>
      <c r="C1713" s="36" t="inlineStr">
        <is>
          <t>Vestfold barne- og familiesenter Adm</t>
        </is>
      </c>
      <c r="D1713" s="26" t="n"/>
      <c r="E1713" s="26" t="n"/>
      <c r="F1713" s="26" t="n"/>
      <c r="G1713" s="26" t="n"/>
      <c r="H1713" s="26" t="n"/>
      <c r="I1713" s="26" t="n">
        <v>1960</v>
      </c>
      <c r="J1713" s="19" t="n">
        <v>2223.081</v>
      </c>
      <c r="K1713" s="37" t="n">
        <v>0.065</v>
      </c>
    </row>
    <row r="1714">
      <c r="A1714" s="34" t="inlineStr">
        <is>
          <t>AGA SPK-tilskudd</t>
        </is>
      </c>
      <c r="B1714" s="34" t="inlineStr">
        <is>
          <t>Region Sør</t>
        </is>
      </c>
      <c r="C1714" s="34" t="inlineStr">
        <is>
          <t>Vestfold barne- og familiesenter Adm</t>
        </is>
      </c>
      <c r="D1714" s="18" t="n">
        <v>-2534</v>
      </c>
      <c r="E1714" s="18" t="n"/>
      <c r="F1714" s="18" t="n"/>
      <c r="G1714" s="18" t="n"/>
      <c r="H1714" s="18" t="n"/>
      <c r="I1714" s="18" t="n"/>
      <c r="J1714" s="19" t="n">
        <v>0</v>
      </c>
      <c r="K1714" s="35" t="n">
        <v>0.065</v>
      </c>
    </row>
    <row r="1715">
      <c r="A1715" s="36" t="inlineStr">
        <is>
          <t>AGA SPK-tilskudd</t>
        </is>
      </c>
      <c r="B1715" s="36" t="inlineStr">
        <is>
          <t>Region Sør</t>
        </is>
      </c>
      <c r="C1715" s="36" t="inlineStr">
        <is>
          <t>Vestfold ungdomssenter</t>
        </is>
      </c>
      <c r="D1715" s="26" t="n"/>
      <c r="E1715" s="26" t="n"/>
      <c r="F1715" s="26" t="n"/>
      <c r="G1715" s="26" t="n"/>
      <c r="H1715" s="26" t="n"/>
      <c r="I1715" s="26" t="n">
        <v>12909</v>
      </c>
      <c r="J1715" s="19" t="n">
        <v>14641.710525</v>
      </c>
      <c r="K1715" s="37" t="n">
        <v>0.065</v>
      </c>
    </row>
    <row r="1716">
      <c r="A1716" s="34" t="inlineStr">
        <is>
          <t>AGA SPK-tilskudd</t>
        </is>
      </c>
      <c r="B1716" s="34" t="inlineStr">
        <is>
          <t>Region Sør</t>
        </is>
      </c>
      <c r="C1716" s="34" t="inlineStr">
        <is>
          <t>Vestfold ungdomssenter</t>
        </is>
      </c>
      <c r="D1716" s="18" t="n"/>
      <c r="E1716" s="18" t="n"/>
      <c r="F1716" s="18" t="n"/>
      <c r="G1716" s="18" t="n"/>
      <c r="H1716" s="18" t="n"/>
      <c r="I1716" s="18" t="n">
        <v>11251</v>
      </c>
      <c r="J1716" s="19" t="n">
        <v>12761.165475</v>
      </c>
      <c r="K1716" s="35" t="n">
        <v>0.065</v>
      </c>
    </row>
    <row r="1717">
      <c r="A1717" s="36" t="inlineStr">
        <is>
          <t>AGA SPK-tilskudd</t>
        </is>
      </c>
      <c r="B1717" s="36" t="inlineStr">
        <is>
          <t>Region Sør</t>
        </is>
      </c>
      <c r="C1717" s="36" t="inlineStr">
        <is>
          <t>Vestfold ungdomssenter</t>
        </is>
      </c>
      <c r="D1717" s="26" t="n"/>
      <c r="E1717" s="26" t="n"/>
      <c r="F1717" s="26" t="n"/>
      <c r="G1717" s="26" t="n"/>
      <c r="H1717" s="26" t="n"/>
      <c r="I1717" s="26" t="n">
        <v>2307</v>
      </c>
      <c r="J1717" s="19" t="n">
        <v>2616.657075</v>
      </c>
      <c r="K1717" s="37" t="n">
        <v>0.065</v>
      </c>
    </row>
    <row r="1718">
      <c r="A1718" s="34" t="inlineStr">
        <is>
          <t>AGA SPK-tilskudd</t>
        </is>
      </c>
      <c r="B1718" s="34" t="inlineStr">
        <is>
          <t>Region Sør</t>
        </is>
      </c>
      <c r="C1718" s="34" t="inlineStr">
        <is>
          <t>Vestfold ungdomssenter</t>
        </is>
      </c>
      <c r="D1718" s="18" t="n"/>
      <c r="E1718" s="18" t="n"/>
      <c r="F1718" s="18" t="n"/>
      <c r="G1718" s="18" t="n"/>
      <c r="H1718" s="18" t="n"/>
      <c r="I1718" s="18" t="n">
        <v>11081</v>
      </c>
      <c r="J1718" s="19" t="n">
        <v>12568.347225</v>
      </c>
      <c r="K1718" s="35" t="n">
        <v>0.065</v>
      </c>
    </row>
    <row r="1719">
      <c r="A1719" s="36" t="inlineStr">
        <is>
          <t>AGA SPK-tilskudd</t>
        </is>
      </c>
      <c r="B1719" s="36" t="inlineStr">
        <is>
          <t>Region Sør</t>
        </is>
      </c>
      <c r="C1719" s="36" t="inlineStr">
        <is>
          <t>Vestfold ungdomssenter</t>
        </is>
      </c>
      <c r="D1719" s="26" t="n"/>
      <c r="E1719" s="26" t="n"/>
      <c r="F1719" s="26" t="n"/>
      <c r="G1719" s="26" t="n"/>
      <c r="H1719" s="26" t="n"/>
      <c r="I1719" s="26" t="n">
        <v>5336</v>
      </c>
      <c r="J1719" s="19" t="n">
        <v>6052.224599999999</v>
      </c>
      <c r="K1719" s="37" t="n">
        <v>0.065</v>
      </c>
    </row>
    <row r="1720">
      <c r="A1720" s="34" t="inlineStr">
        <is>
          <t>AGA SPK-tilskudd</t>
        </is>
      </c>
      <c r="B1720" s="34" t="inlineStr">
        <is>
          <t>Region Sør</t>
        </is>
      </c>
      <c r="C1720" s="34" t="inlineStr">
        <is>
          <t>Vestfold ungdomssenter</t>
        </is>
      </c>
      <c r="D1720" s="18" t="n"/>
      <c r="E1720" s="18" t="n"/>
      <c r="F1720" s="18" t="n"/>
      <c r="G1720" s="18" t="n"/>
      <c r="H1720" s="18" t="n"/>
      <c r="I1720" s="18" t="n">
        <v>3089</v>
      </c>
      <c r="J1720" s="19" t="n">
        <v>3503.621024999999</v>
      </c>
      <c r="K1720" s="35" t="n">
        <v>0.065</v>
      </c>
    </row>
    <row r="1721">
      <c r="A1721" s="36" t="inlineStr">
        <is>
          <t>AGA SPK-tilskudd</t>
        </is>
      </c>
      <c r="B1721" s="36" t="inlineStr">
        <is>
          <t>Region Sør</t>
        </is>
      </c>
      <c r="C1721" s="36" t="inlineStr">
        <is>
          <t>Vestfold ungdomssenter</t>
        </is>
      </c>
      <c r="D1721" s="26" t="n"/>
      <c r="E1721" s="26" t="n"/>
      <c r="F1721" s="26" t="n"/>
      <c r="G1721" s="26" t="n"/>
      <c r="H1721" s="26" t="n"/>
      <c r="I1721" s="26" t="n">
        <v>7240</v>
      </c>
      <c r="J1721" s="19" t="n">
        <v>8211.788999999999</v>
      </c>
      <c r="K1721" s="37" t="n">
        <v>0.065</v>
      </c>
    </row>
    <row r="1722">
      <c r="A1722" s="34" t="inlineStr">
        <is>
          <t>AGA SPK-tilskudd</t>
        </is>
      </c>
      <c r="B1722" s="34" t="inlineStr">
        <is>
          <t>Region Sør</t>
        </is>
      </c>
      <c r="C1722" s="34" t="inlineStr">
        <is>
          <t>Vestfold ungdomssenter</t>
        </is>
      </c>
      <c r="D1722" s="18" t="n"/>
      <c r="E1722" s="18" t="n"/>
      <c r="F1722" s="18" t="n"/>
      <c r="G1722" s="18" t="n"/>
      <c r="H1722" s="18" t="n"/>
      <c r="I1722" s="18" t="n">
        <v>7114</v>
      </c>
      <c r="J1722" s="19" t="n">
        <v>8068.876649999998</v>
      </c>
      <c r="K1722" s="35" t="n">
        <v>0.065</v>
      </c>
    </row>
    <row r="1723">
      <c r="A1723" s="36" t="inlineStr">
        <is>
          <t>AGA SPK-tilskudd</t>
        </is>
      </c>
      <c r="B1723" s="36" t="inlineStr">
        <is>
          <t>Region Sør</t>
        </is>
      </c>
      <c r="C1723" s="36" t="inlineStr">
        <is>
          <t>Vestfold ungdomssenter</t>
        </is>
      </c>
      <c r="D1723" s="26" t="n"/>
      <c r="E1723" s="26" t="n"/>
      <c r="F1723" s="26" t="n"/>
      <c r="G1723" s="26" t="n"/>
      <c r="H1723" s="26" t="n"/>
      <c r="I1723" s="26" t="n">
        <v>2795</v>
      </c>
      <c r="J1723" s="19" t="n">
        <v>3170.158875</v>
      </c>
      <c r="K1723" s="37" t="n">
        <v>0.065</v>
      </c>
    </row>
    <row r="1724">
      <c r="A1724" s="34" t="inlineStr">
        <is>
          <t>AGA SPK-tilskudd</t>
        </is>
      </c>
      <c r="B1724" s="34" t="inlineStr">
        <is>
          <t>Region Sør</t>
        </is>
      </c>
      <c r="C1724" s="34" t="inlineStr">
        <is>
          <t>Vestfold ungdomssenter</t>
        </is>
      </c>
      <c r="D1724" s="18" t="n"/>
      <c r="E1724" s="18" t="n"/>
      <c r="F1724" s="18" t="n"/>
      <c r="G1724" s="18" t="n"/>
      <c r="H1724" s="18" t="n"/>
      <c r="I1724" s="18" t="n">
        <v>-13815</v>
      </c>
      <c r="J1724" s="19" t="n">
        <v>-15669.318375</v>
      </c>
      <c r="K1724" s="35" t="n">
        <v>0.065</v>
      </c>
    </row>
    <row r="1725">
      <c r="A1725" s="36" t="inlineStr">
        <is>
          <t>AGA SPK-tilskudd</t>
        </is>
      </c>
      <c r="B1725" s="36" t="inlineStr">
        <is>
          <t>Region Vest</t>
        </is>
      </c>
      <c r="C1725" s="36" t="inlineStr">
        <is>
          <t>Barn og familier (F2)</t>
        </is>
      </c>
      <c r="D1725" s="26" t="n"/>
      <c r="E1725" s="26" t="n"/>
      <c r="F1725" s="26" t="n"/>
      <c r="G1725" s="26" t="n"/>
      <c r="H1725" s="26" t="n"/>
      <c r="I1725" s="26" t="n">
        <v>1316</v>
      </c>
      <c r="J1725" s="19" t="n">
        <v>1492.6401</v>
      </c>
      <c r="K1725" s="37" t="n">
        <v>0.065</v>
      </c>
    </row>
    <row r="1726">
      <c r="A1726" s="34" t="inlineStr">
        <is>
          <t>AGA SPK-tilskudd</t>
        </is>
      </c>
      <c r="B1726" s="34" t="inlineStr">
        <is>
          <t>Region Vest</t>
        </is>
      </c>
      <c r="C1726" s="34" t="inlineStr">
        <is>
          <t>Barn og familier (F2)</t>
        </is>
      </c>
      <c r="D1726" s="18" t="n"/>
      <c r="E1726" s="18" t="n"/>
      <c r="F1726" s="18" t="n"/>
      <c r="G1726" s="18" t="n"/>
      <c r="H1726" s="18" t="n"/>
      <c r="I1726" s="18" t="n">
        <v>173</v>
      </c>
      <c r="J1726" s="19" t="n">
        <v>196.220925</v>
      </c>
      <c r="K1726" s="35" t="n">
        <v>0.065</v>
      </c>
    </row>
    <row r="1727">
      <c r="A1727" s="36" t="inlineStr">
        <is>
          <t>AGA SPK-tilskudd</t>
        </is>
      </c>
      <c r="B1727" s="36" t="inlineStr">
        <is>
          <t>Region Vest</t>
        </is>
      </c>
      <c r="C1727" s="36" t="inlineStr">
        <is>
          <t>Behandling for ungdom (F4)</t>
        </is>
      </c>
      <c r="D1727" s="26" t="n"/>
      <c r="E1727" s="26" t="n"/>
      <c r="F1727" s="26" t="n"/>
      <c r="G1727" s="26" t="n"/>
      <c r="H1727" s="26" t="n">
        <v>18798</v>
      </c>
      <c r="I1727" s="26" t="n">
        <v>16327</v>
      </c>
      <c r="J1727" s="19" t="n">
        <v>18518.491575</v>
      </c>
      <c r="K1727" s="37" t="n">
        <v>0.065</v>
      </c>
    </row>
    <row r="1728">
      <c r="A1728" s="34" t="inlineStr">
        <is>
          <t>AGA SPK-tilskudd</t>
        </is>
      </c>
      <c r="B1728" s="34" t="inlineStr">
        <is>
          <t>Region Vest</t>
        </is>
      </c>
      <c r="C1728" s="34" t="inlineStr">
        <is>
          <t>Behandling for ungdom (F4)</t>
        </is>
      </c>
      <c r="D1728" s="18" t="n"/>
      <c r="E1728" s="18" t="n"/>
      <c r="F1728" s="18" t="n"/>
      <c r="G1728" s="18" t="n"/>
      <c r="H1728" s="18" t="n"/>
      <c r="I1728" s="18" t="n">
        <v>176</v>
      </c>
      <c r="J1728" s="19" t="n">
        <v>199.6236</v>
      </c>
      <c r="K1728" s="35" t="n">
        <v>0.065</v>
      </c>
    </row>
    <row r="1729">
      <c r="A1729" s="36" t="inlineStr">
        <is>
          <t>AGA SPK-tilskudd</t>
        </is>
      </c>
      <c r="B1729" s="36" t="inlineStr">
        <is>
          <t>Region Vest</t>
        </is>
      </c>
      <c r="C1729" s="36" t="inlineStr">
        <is>
          <t>Beredskapshjem ungdom Stavanger</t>
        </is>
      </c>
      <c r="D1729" s="26" t="n">
        <v>189</v>
      </c>
      <c r="E1729" s="26" t="n"/>
      <c r="F1729" s="26" t="n"/>
      <c r="G1729" s="26" t="n"/>
      <c r="H1729" s="26" t="n"/>
      <c r="I1729" s="26" t="n"/>
      <c r="J1729" s="19" t="n">
        <v>0</v>
      </c>
      <c r="K1729" s="37" t="n">
        <v>0.065</v>
      </c>
    </row>
    <row r="1730">
      <c r="A1730" s="34" t="inlineStr">
        <is>
          <t>AGA SPK-tilskudd</t>
        </is>
      </c>
      <c r="B1730" s="34" t="inlineStr">
        <is>
          <t>Region Vest</t>
        </is>
      </c>
      <c r="C1730" s="34" t="inlineStr">
        <is>
          <t>Beredskapshjem ungdom Stavanger</t>
        </is>
      </c>
      <c r="D1730" s="18" t="n"/>
      <c r="E1730" s="18" t="n"/>
      <c r="F1730" s="18" t="n"/>
      <c r="G1730" s="18" t="n">
        <v>604</v>
      </c>
      <c r="H1730" s="18" t="n"/>
      <c r="I1730" s="18" t="n"/>
      <c r="J1730" s="19" t="n">
        <v>0</v>
      </c>
      <c r="K1730" s="35" t="n">
        <v>0.065</v>
      </c>
    </row>
    <row r="1731">
      <c r="A1731" s="36" t="inlineStr">
        <is>
          <t>AGA SPK-tilskudd</t>
        </is>
      </c>
      <c r="B1731" s="36" t="inlineStr">
        <is>
          <t>Region Vest</t>
        </is>
      </c>
      <c r="C1731" s="36" t="inlineStr">
        <is>
          <t>Bergen Akutts. Administrasjonen</t>
        </is>
      </c>
      <c r="D1731" s="26" t="n">
        <v>14546</v>
      </c>
      <c r="E1731" s="26" t="n">
        <v>7359</v>
      </c>
      <c r="F1731" s="26" t="n">
        <v>9567</v>
      </c>
      <c r="G1731" s="26" t="n">
        <v>12886</v>
      </c>
      <c r="H1731" s="26" t="n">
        <v>12088</v>
      </c>
      <c r="I1731" s="26" t="n">
        <v>12196</v>
      </c>
      <c r="J1731" s="19" t="n">
        <v>11365.98160083118</v>
      </c>
      <c r="K1731" s="37" t="n">
        <v>-0.03462784826576837</v>
      </c>
    </row>
    <row r="1732">
      <c r="A1732" s="34" t="inlineStr">
        <is>
          <t>AGA SPK-tilskudd</t>
        </is>
      </c>
      <c r="B1732" s="34" t="inlineStr">
        <is>
          <t>Region Vest</t>
        </is>
      </c>
      <c r="C1732" s="34" t="inlineStr">
        <is>
          <t>Bergen Akutts. Administrasjonen</t>
        </is>
      </c>
      <c r="D1732" s="18" t="n">
        <v>1839</v>
      </c>
      <c r="E1732" s="18" t="n"/>
      <c r="F1732" s="18" t="n">
        <v>6510</v>
      </c>
      <c r="G1732" s="18" t="n">
        <v>5416</v>
      </c>
      <c r="H1732" s="18" t="n">
        <v>8666</v>
      </c>
      <c r="I1732" s="18" t="n">
        <v>4724</v>
      </c>
      <c r="J1732" s="19" t="n">
        <v>6889.713343342933</v>
      </c>
      <c r="K1732" s="35" t="n">
        <v>0.2076626418799632</v>
      </c>
    </row>
    <row r="1733">
      <c r="A1733" s="36" t="inlineStr">
        <is>
          <t>AGA SPK-tilskudd</t>
        </is>
      </c>
      <c r="B1733" s="36" t="inlineStr">
        <is>
          <t>Region Vest</t>
        </is>
      </c>
      <c r="C1733" s="36" t="inlineStr">
        <is>
          <t>Bergen Akutts. Administrasjonen</t>
        </is>
      </c>
      <c r="D1733" s="26" t="n">
        <v>3177</v>
      </c>
      <c r="E1733" s="26" t="n">
        <v>1828</v>
      </c>
      <c r="F1733" s="26" t="n">
        <v>3067</v>
      </c>
      <c r="G1733" s="26" t="n">
        <v>3982</v>
      </c>
      <c r="H1733" s="26" t="n">
        <v>3052</v>
      </c>
      <c r="I1733" s="26" t="n">
        <v>2595</v>
      </c>
      <c r="J1733" s="19" t="n">
        <v>2393.235416310588</v>
      </c>
      <c r="K1733" s="37" t="n">
        <v>-0.03966218686273371</v>
      </c>
    </row>
    <row r="1734">
      <c r="A1734" s="34" t="inlineStr">
        <is>
          <t>AGA SPK-tilskudd</t>
        </is>
      </c>
      <c r="B1734" s="34" t="inlineStr">
        <is>
          <t>Region Vest</t>
        </is>
      </c>
      <c r="C1734" s="34" t="inlineStr">
        <is>
          <t>Bergen Akutts. Administrasjonen</t>
        </is>
      </c>
      <c r="D1734" s="18" t="n"/>
      <c r="E1734" s="18" t="n"/>
      <c r="F1734" s="18" t="n"/>
      <c r="G1734" s="18" t="n"/>
      <c r="H1734" s="18" t="n">
        <v>123</v>
      </c>
      <c r="I1734" s="18" t="n"/>
      <c r="J1734" s="19" t="n">
        <v>0</v>
      </c>
      <c r="K1734" s="35" t="n">
        <v>0.065</v>
      </c>
    </row>
    <row r="1735">
      <c r="A1735" s="36" t="inlineStr">
        <is>
          <t>AGA SPK-tilskudd</t>
        </is>
      </c>
      <c r="B1735" s="36" t="inlineStr">
        <is>
          <t>Region Vest</t>
        </is>
      </c>
      <c r="C1735" s="36" t="inlineStr">
        <is>
          <t>Bergen Akutts. Administrasjonen</t>
        </is>
      </c>
      <c r="D1735" s="26" t="n"/>
      <c r="E1735" s="26" t="n"/>
      <c r="F1735" s="26" t="n">
        <v>1111</v>
      </c>
      <c r="G1735" s="26" t="n"/>
      <c r="H1735" s="26" t="n">
        <v>392</v>
      </c>
      <c r="I1735" s="26" t="n">
        <v>362</v>
      </c>
      <c r="J1735" s="19" t="n">
        <v>410.5894499999999</v>
      </c>
      <c r="K1735" s="37" t="n">
        <v>0.065</v>
      </c>
    </row>
    <row r="1736">
      <c r="A1736" s="34" t="inlineStr">
        <is>
          <t>AGA SPK-tilskudd</t>
        </is>
      </c>
      <c r="B1736" s="34" t="inlineStr">
        <is>
          <t>Region Vest</t>
        </is>
      </c>
      <c r="C1736" s="34" t="inlineStr">
        <is>
          <t>Bergen Akutts. Administrasjonen</t>
        </is>
      </c>
      <c r="D1736" s="18" t="n"/>
      <c r="E1736" s="18" t="n"/>
      <c r="F1736" s="18" t="n"/>
      <c r="G1736" s="18" t="n"/>
      <c r="H1736" s="18" t="n"/>
      <c r="I1736" s="18" t="n">
        <v>9215</v>
      </c>
      <c r="J1736" s="19" t="n">
        <v>10451.883375</v>
      </c>
      <c r="K1736" s="35" t="n">
        <v>0.065</v>
      </c>
    </row>
    <row r="1737">
      <c r="A1737" s="36" t="inlineStr">
        <is>
          <t>AGA SPK-tilskudd</t>
        </is>
      </c>
      <c r="B1737" s="36" t="inlineStr">
        <is>
          <t>Region Vest</t>
        </is>
      </c>
      <c r="C1737" s="36" t="inlineStr">
        <is>
          <t>Bergen Akutts. Administrasjonen</t>
        </is>
      </c>
      <c r="D1737" s="26" t="n">
        <v>839</v>
      </c>
      <c r="E1737" s="26" t="n">
        <v>296</v>
      </c>
      <c r="F1737" s="26" t="n">
        <v>1845</v>
      </c>
      <c r="G1737" s="26" t="n">
        <v>1838</v>
      </c>
      <c r="H1737" s="26" t="n">
        <v>2190</v>
      </c>
      <c r="I1737" s="26" t="n">
        <v>4851</v>
      </c>
      <c r="J1737" s="19" t="n">
        <v>7579.6875</v>
      </c>
      <c r="K1737" s="37" t="n">
        <v>0.25</v>
      </c>
    </row>
    <row r="1738">
      <c r="A1738" s="34" t="inlineStr">
        <is>
          <t>AGA SPK-tilskudd</t>
        </is>
      </c>
      <c r="B1738" s="34" t="inlineStr">
        <is>
          <t>Region Vest</t>
        </is>
      </c>
      <c r="C1738" s="34" t="inlineStr">
        <is>
          <t>Bergen Akutts. Administrasjonen</t>
        </is>
      </c>
      <c r="D1738" s="18" t="n"/>
      <c r="E1738" s="18" t="n"/>
      <c r="F1738" s="18" t="n">
        <v>374</v>
      </c>
      <c r="G1738" s="18" t="n"/>
      <c r="H1738" s="18" t="n">
        <v>162</v>
      </c>
      <c r="I1738" s="18" t="n">
        <v>75</v>
      </c>
      <c r="J1738" s="19" t="n">
        <v>85.06687499999998</v>
      </c>
      <c r="K1738" s="35" t="n">
        <v>0.065</v>
      </c>
    </row>
    <row r="1739">
      <c r="A1739" s="36" t="inlineStr">
        <is>
          <t>AGA SPK-tilskudd</t>
        </is>
      </c>
      <c r="B1739" s="36" t="inlineStr">
        <is>
          <t>Region Vest</t>
        </is>
      </c>
      <c r="C1739" s="36" t="inlineStr">
        <is>
          <t>Bergen Akutts. Administrasjonen</t>
        </is>
      </c>
      <c r="D1739" s="26" t="n"/>
      <c r="E1739" s="26" t="n"/>
      <c r="F1739" s="26" t="n"/>
      <c r="G1739" s="26" t="n"/>
      <c r="H1739" s="26" t="n"/>
      <c r="I1739" s="26" t="n">
        <v>4590</v>
      </c>
      <c r="J1739" s="19" t="n">
        <v>5206.092749999999</v>
      </c>
      <c r="K1739" s="37" t="n">
        <v>0.065</v>
      </c>
    </row>
    <row r="1740">
      <c r="A1740" s="34" t="inlineStr">
        <is>
          <t>AGA SPK-tilskudd</t>
        </is>
      </c>
      <c r="B1740" s="34" t="inlineStr">
        <is>
          <t>Region Vest</t>
        </is>
      </c>
      <c r="C1740" s="34" t="inlineStr">
        <is>
          <t>Bergen Akutts. Administrasjonen</t>
        </is>
      </c>
      <c r="D1740" s="18" t="n">
        <v>-1200</v>
      </c>
      <c r="E1740" s="18" t="n">
        <v>-1200</v>
      </c>
      <c r="F1740" s="18" t="n">
        <v>-1200</v>
      </c>
      <c r="G1740" s="18" t="n">
        <v>-1200</v>
      </c>
      <c r="H1740" s="18" t="n">
        <v>-1200</v>
      </c>
      <c r="I1740" s="18" t="n">
        <v>3900</v>
      </c>
      <c r="J1740" s="19" t="n">
        <v>4423.477499999999</v>
      </c>
      <c r="K1740" s="35" t="n">
        <v>0.065</v>
      </c>
    </row>
    <row r="1741">
      <c r="A1741" s="36" t="inlineStr">
        <is>
          <t>AGA SPK-tilskudd</t>
        </is>
      </c>
      <c r="B1741" s="36" t="inlineStr">
        <is>
          <t>Region Vest</t>
        </is>
      </c>
      <c r="C1741" s="36" t="inlineStr">
        <is>
          <t>Bergen Akutts. Administrasjonen</t>
        </is>
      </c>
      <c r="D1741" s="26" t="n">
        <v>-69181</v>
      </c>
      <c r="E1741" s="26" t="n">
        <v>-745</v>
      </c>
      <c r="F1741" s="26" t="n">
        <v>-6798</v>
      </c>
      <c r="G1741" s="26" t="n">
        <v>-61588</v>
      </c>
      <c r="H1741" s="26" t="n">
        <v>-44344</v>
      </c>
      <c r="I1741" s="26" t="n">
        <v>-14541</v>
      </c>
      <c r="J1741" s="19" t="n">
        <v>-16492.765725</v>
      </c>
      <c r="K1741" s="37" t="n">
        <v>0.065</v>
      </c>
    </row>
    <row r="1742">
      <c r="A1742" s="34" t="inlineStr">
        <is>
          <t>AGA SPK-tilskudd</t>
        </is>
      </c>
      <c r="B1742" s="34" t="inlineStr">
        <is>
          <t>Region Vest</t>
        </is>
      </c>
      <c r="C1742" s="34" t="inlineStr">
        <is>
          <t>Bergen Akutts. avd. Nattland</t>
        </is>
      </c>
      <c r="D1742" s="18" t="n">
        <v>180091</v>
      </c>
      <c r="E1742" s="18" t="n">
        <v>171719</v>
      </c>
      <c r="F1742" s="18" t="n">
        <v>155863</v>
      </c>
      <c r="G1742" s="18" t="n">
        <v>155738</v>
      </c>
      <c r="H1742" s="18" t="n">
        <v>166372</v>
      </c>
      <c r="I1742" s="18" t="n">
        <v>188786</v>
      </c>
      <c r="J1742" s="19" t="n">
        <v>192380.4316213116</v>
      </c>
      <c r="K1742" s="35" t="n">
        <v>0.009474969933503719</v>
      </c>
    </row>
    <row r="1743">
      <c r="A1743" s="36" t="inlineStr">
        <is>
          <t>AGA SPK-tilskudd</t>
        </is>
      </c>
      <c r="B1743" s="36" t="inlineStr">
        <is>
          <t>Region Vest</t>
        </is>
      </c>
      <c r="C1743" s="36" t="inlineStr">
        <is>
          <t>Bergen Akutts. avd. Nattland</t>
        </is>
      </c>
      <c r="D1743" s="26" t="n">
        <v>213864</v>
      </c>
      <c r="E1743" s="26" t="n">
        <v>224650</v>
      </c>
      <c r="F1743" s="26" t="n">
        <v>299233</v>
      </c>
      <c r="G1743" s="26" t="n">
        <v>318534</v>
      </c>
      <c r="H1743" s="26" t="n">
        <v>100681</v>
      </c>
      <c r="I1743" s="26" t="n">
        <v>298823</v>
      </c>
      <c r="J1743" s="19" t="n">
        <v>341605.2652238066</v>
      </c>
      <c r="K1743" s="37" t="n">
        <v>0.0691909331090097</v>
      </c>
    </row>
    <row r="1744">
      <c r="A1744" s="34" t="inlineStr">
        <is>
          <t>AGA SPK-tilskudd</t>
        </is>
      </c>
      <c r="B1744" s="34" t="inlineStr">
        <is>
          <t>Region Vest</t>
        </is>
      </c>
      <c r="C1744" s="34" t="inlineStr">
        <is>
          <t>Bergen Akutts. avd. Nattland</t>
        </is>
      </c>
      <c r="D1744" s="18" t="n">
        <v>15537</v>
      </c>
      <c r="E1744" s="18" t="n">
        <v>50217</v>
      </c>
      <c r="F1744" s="18" t="n">
        <v>16099</v>
      </c>
      <c r="G1744" s="18" t="n">
        <v>14258</v>
      </c>
      <c r="H1744" s="18" t="n">
        <v>7885</v>
      </c>
      <c r="I1744" s="18" t="n">
        <v>10840</v>
      </c>
      <c r="J1744" s="19" t="n">
        <v>9386.293472894857</v>
      </c>
      <c r="K1744" s="35" t="n">
        <v>-0.06946562029290471</v>
      </c>
    </row>
    <row r="1745">
      <c r="A1745" s="36" t="inlineStr">
        <is>
          <t>AGA SPK-tilskudd</t>
        </is>
      </c>
      <c r="B1745" s="36" t="inlineStr">
        <is>
          <t>Region Vest</t>
        </is>
      </c>
      <c r="C1745" s="36" t="inlineStr">
        <is>
          <t>Bergen Akutts. avd. Nattland</t>
        </is>
      </c>
      <c r="D1745" s="26" t="n">
        <v>49700</v>
      </c>
      <c r="E1745" s="26" t="n">
        <v>49182</v>
      </c>
      <c r="F1745" s="26" t="n">
        <v>52454</v>
      </c>
      <c r="G1745" s="26" t="n">
        <v>69796</v>
      </c>
      <c r="H1745" s="26" t="n">
        <v>77537</v>
      </c>
      <c r="I1745" s="26" t="n">
        <v>86940</v>
      </c>
      <c r="J1745" s="19" t="n">
        <v>108733.8923355626</v>
      </c>
      <c r="K1745" s="37" t="n">
        <v>0.1183368859888225</v>
      </c>
    </row>
    <row r="1746">
      <c r="A1746" s="34" t="inlineStr">
        <is>
          <t>AGA SPK-tilskudd</t>
        </is>
      </c>
      <c r="B1746" s="34" t="inlineStr">
        <is>
          <t>Region Vest</t>
        </is>
      </c>
      <c r="C1746" s="34" t="inlineStr">
        <is>
          <t>Bergen Akutts. avd. Nattland</t>
        </is>
      </c>
      <c r="D1746" s="18" t="n">
        <v>9619</v>
      </c>
      <c r="E1746" s="18" t="n">
        <v>1324</v>
      </c>
      <c r="F1746" s="18" t="n">
        <v>260</v>
      </c>
      <c r="G1746" s="18" t="n">
        <v>833</v>
      </c>
      <c r="H1746" s="18" t="n"/>
      <c r="I1746" s="18" t="n">
        <v>371</v>
      </c>
      <c r="J1746" s="19" t="n">
        <v>208.6875</v>
      </c>
      <c r="K1746" s="35" t="n">
        <v>-0.25</v>
      </c>
    </row>
    <row r="1747">
      <c r="A1747" s="36" t="inlineStr">
        <is>
          <t>AGA SPK-tilskudd</t>
        </is>
      </c>
      <c r="B1747" s="36" t="inlineStr">
        <is>
          <t>Region Vest</t>
        </is>
      </c>
      <c r="C1747" s="36" t="inlineStr">
        <is>
          <t>Bergen Akutts. avd. Nattland</t>
        </is>
      </c>
      <c r="D1747" s="26" t="n">
        <v>630</v>
      </c>
      <c r="E1747" s="26" t="n"/>
      <c r="F1747" s="26" t="n"/>
      <c r="G1747" s="26" t="n">
        <v>478</v>
      </c>
      <c r="H1747" s="26" t="n">
        <v>9443</v>
      </c>
      <c r="I1747" s="26" t="n">
        <v>5147</v>
      </c>
      <c r="J1747" s="19" t="n">
        <v>8042.1875</v>
      </c>
      <c r="K1747" s="37" t="n">
        <v>0.25</v>
      </c>
    </row>
    <row r="1748">
      <c r="A1748" s="34" t="inlineStr">
        <is>
          <t>AGA SPK-tilskudd</t>
        </is>
      </c>
      <c r="B1748" s="34" t="inlineStr">
        <is>
          <t>Region Vest</t>
        </is>
      </c>
      <c r="C1748" s="34" t="inlineStr">
        <is>
          <t>Bergen Akutts. avd. Nattland</t>
        </is>
      </c>
      <c r="D1748" s="18" t="n"/>
      <c r="E1748" s="18" t="n">
        <v>20601</v>
      </c>
      <c r="F1748" s="18" t="n">
        <v>19246</v>
      </c>
      <c r="G1748" s="18" t="n">
        <v>-2826</v>
      </c>
      <c r="H1748" s="18" t="n">
        <v>16849</v>
      </c>
      <c r="I1748" s="18" t="n">
        <v>26645</v>
      </c>
      <c r="J1748" s="19" t="n">
        <v>30302.56809304437</v>
      </c>
      <c r="K1748" s="35" t="n">
        <v>0.06642877663577185</v>
      </c>
    </row>
    <row r="1749">
      <c r="A1749" s="36" t="inlineStr">
        <is>
          <t>AGA SPK-tilskudd</t>
        </is>
      </c>
      <c r="B1749" s="36" t="inlineStr">
        <is>
          <t>Region Vest</t>
        </is>
      </c>
      <c r="C1749" s="36" t="inlineStr">
        <is>
          <t>Bergen Akutts. avd. Nattland</t>
        </is>
      </c>
      <c r="D1749" s="26" t="n">
        <v>4604</v>
      </c>
      <c r="E1749" s="26" t="n">
        <v>2102</v>
      </c>
      <c r="F1749" s="26" t="n">
        <v>6098</v>
      </c>
      <c r="G1749" s="26" t="n">
        <v>8148</v>
      </c>
      <c r="H1749" s="26" t="n">
        <v>515</v>
      </c>
      <c r="I1749" s="26" t="n">
        <v>2850</v>
      </c>
      <c r="J1749" s="19" t="n">
        <v>2352.494831966702</v>
      </c>
      <c r="K1749" s="37" t="n">
        <v>-0.09146448437817722</v>
      </c>
    </row>
    <row r="1750">
      <c r="A1750" s="34" t="inlineStr">
        <is>
          <t>AGA SPK-tilskudd</t>
        </is>
      </c>
      <c r="B1750" s="34" t="inlineStr">
        <is>
          <t>Region Vest</t>
        </is>
      </c>
      <c r="C1750" s="34" t="inlineStr">
        <is>
          <t>Bergen Akutts. avd. Nattland</t>
        </is>
      </c>
      <c r="D1750" s="18" t="n">
        <v>1520</v>
      </c>
      <c r="E1750" s="18" t="n">
        <v>138</v>
      </c>
      <c r="F1750" s="18" t="n">
        <v>753</v>
      </c>
      <c r="G1750" s="18" t="n">
        <v>126</v>
      </c>
      <c r="H1750" s="18" t="n">
        <v>3644</v>
      </c>
      <c r="I1750" s="18" t="n">
        <v>2474</v>
      </c>
      <c r="J1750" s="19" t="n">
        <v>3006.229541766376</v>
      </c>
      <c r="K1750" s="35" t="n">
        <v>0.1023289708477415</v>
      </c>
    </row>
    <row r="1751">
      <c r="A1751" s="36" t="inlineStr">
        <is>
          <t>AGA SPK-tilskudd</t>
        </is>
      </c>
      <c r="B1751" s="36" t="inlineStr">
        <is>
          <t>Region Vest</t>
        </is>
      </c>
      <c r="C1751" s="36" t="inlineStr">
        <is>
          <t>Bergen Akutts. avd. Nattland</t>
        </is>
      </c>
      <c r="D1751" s="26" t="n">
        <v>2840</v>
      </c>
      <c r="E1751" s="26" t="n"/>
      <c r="F1751" s="26" t="n"/>
      <c r="G1751" s="26" t="n"/>
      <c r="H1751" s="26" t="n">
        <v>8244</v>
      </c>
      <c r="I1751" s="26" t="n">
        <v>3499</v>
      </c>
      <c r="J1751" s="19" t="n">
        <v>3803.594261084623</v>
      </c>
      <c r="K1751" s="37" t="n">
        <v>0.04261776489870583</v>
      </c>
    </row>
    <row r="1752">
      <c r="A1752" s="34" t="inlineStr">
        <is>
          <t>AGA SPK-tilskudd</t>
        </is>
      </c>
      <c r="B1752" s="34" t="inlineStr">
        <is>
          <t>Region Vest</t>
        </is>
      </c>
      <c r="C1752" s="34" t="inlineStr">
        <is>
          <t>Bergen Akutts. avd. Nattland</t>
        </is>
      </c>
      <c r="D1752" s="18" t="n">
        <v>5830</v>
      </c>
      <c r="E1752" s="18" t="n">
        <v>5740</v>
      </c>
      <c r="F1752" s="18" t="n"/>
      <c r="G1752" s="18" t="n"/>
      <c r="H1752" s="18" t="n"/>
      <c r="I1752" s="18" t="n"/>
      <c r="J1752" s="19" t="n">
        <v>0</v>
      </c>
      <c r="K1752" s="35" t="n">
        <v>0.065</v>
      </c>
    </row>
    <row r="1753">
      <c r="A1753" s="36" t="inlineStr">
        <is>
          <t>AGA SPK-tilskudd</t>
        </is>
      </c>
      <c r="B1753" s="36" t="inlineStr">
        <is>
          <t>Region Vest</t>
        </is>
      </c>
      <c r="C1753" s="36" t="inlineStr">
        <is>
          <t>Bergen Akutts. avd. Nattland</t>
        </is>
      </c>
      <c r="D1753" s="26" t="n">
        <v>-29600</v>
      </c>
      <c r="E1753" s="26" t="n">
        <v>-17801</v>
      </c>
      <c r="F1753" s="26" t="n">
        <v>-21191</v>
      </c>
      <c r="G1753" s="26" t="n">
        <v>-27699</v>
      </c>
      <c r="H1753" s="26" t="n">
        <v>-18836</v>
      </c>
      <c r="I1753" s="26" t="n">
        <v>-19933</v>
      </c>
      <c r="J1753" s="19" t="n">
        <v>-22608.506925</v>
      </c>
      <c r="K1753" s="37" t="n">
        <v>0.065</v>
      </c>
    </row>
    <row r="1754">
      <c r="A1754" s="34" t="inlineStr">
        <is>
          <t>AGA SPK-tilskudd</t>
        </is>
      </c>
      <c r="B1754" s="34" t="inlineStr">
        <is>
          <t>Region Vest</t>
        </is>
      </c>
      <c r="C1754" s="34" t="inlineStr">
        <is>
          <t>Bergen Akutts. avd. Nattland</t>
        </is>
      </c>
      <c r="D1754" s="18" t="n">
        <v>-119138</v>
      </c>
      <c r="E1754" s="18" t="n">
        <v>-162506</v>
      </c>
      <c r="F1754" s="18" t="n"/>
      <c r="G1754" s="18" t="n"/>
      <c r="H1754" s="18" t="n"/>
      <c r="I1754" s="18" t="n">
        <v>-709937</v>
      </c>
      <c r="J1754" s="19" t="n">
        <v>-805228.2938249998</v>
      </c>
      <c r="K1754" s="35" t="n">
        <v>0.065</v>
      </c>
    </row>
    <row r="1755">
      <c r="A1755" s="36" t="inlineStr">
        <is>
          <t>AGA SPK-tilskudd</t>
        </is>
      </c>
      <c r="B1755" s="36" t="inlineStr">
        <is>
          <t>Region Vest</t>
        </is>
      </c>
      <c r="C1755" s="36" t="inlineStr">
        <is>
          <t>Bergen Akutts. avd. Nattland</t>
        </is>
      </c>
      <c r="D1755" s="26" t="n">
        <v>-1189227</v>
      </c>
      <c r="E1755" s="26" t="n">
        <v>-477525</v>
      </c>
      <c r="F1755" s="26" t="n">
        <v>-592020</v>
      </c>
      <c r="G1755" s="26" t="n">
        <v>-533098</v>
      </c>
      <c r="H1755" s="26" t="n">
        <v>-652982</v>
      </c>
      <c r="I1755" s="26" t="n">
        <v>-211166</v>
      </c>
      <c r="J1755" s="19" t="n">
        <v>-239509.75635</v>
      </c>
      <c r="K1755" s="37" t="n">
        <v>0.065</v>
      </c>
    </row>
    <row r="1756">
      <c r="A1756" s="34" t="inlineStr">
        <is>
          <t>AGA SPK-tilskudd</t>
        </is>
      </c>
      <c r="B1756" s="34" t="inlineStr">
        <is>
          <t>Region Vest</t>
        </is>
      </c>
      <c r="C1756" s="34" t="inlineStr">
        <is>
          <t>Bergen Akutts. avd. Toppe</t>
        </is>
      </c>
      <c r="D1756" s="18" t="n">
        <v>299640</v>
      </c>
      <c r="E1756" s="18" t="n">
        <v>272097</v>
      </c>
      <c r="F1756" s="18" t="n">
        <v>227986</v>
      </c>
      <c r="G1756" s="18" t="n">
        <v>245794</v>
      </c>
      <c r="H1756" s="18" t="n">
        <v>256327</v>
      </c>
      <c r="I1756" s="18" t="n">
        <v>270009</v>
      </c>
      <c r="J1756" s="19" t="n">
        <v>258993.9511658371</v>
      </c>
      <c r="K1756" s="35" t="n">
        <v>-0.02060994354972245</v>
      </c>
    </row>
    <row r="1757">
      <c r="A1757" s="36" t="inlineStr">
        <is>
          <t>AGA SPK-tilskudd</t>
        </is>
      </c>
      <c r="B1757" s="36" t="inlineStr">
        <is>
          <t>Region Vest</t>
        </is>
      </c>
      <c r="C1757" s="36" t="inlineStr">
        <is>
          <t>Bergen Akutts. avd. Toppe</t>
        </is>
      </c>
      <c r="D1757" s="26" t="n">
        <v>539778</v>
      </c>
      <c r="E1757" s="26" t="n">
        <v>349691</v>
      </c>
      <c r="F1757" s="26" t="n">
        <v>243200</v>
      </c>
      <c r="G1757" s="26" t="n">
        <v>478291</v>
      </c>
      <c r="H1757" s="26" t="n">
        <v>430901</v>
      </c>
      <c r="I1757" s="26" t="n">
        <v>422867</v>
      </c>
      <c r="J1757" s="19" t="n">
        <v>383529.9118455976</v>
      </c>
      <c r="K1757" s="37" t="n">
        <v>-0.04764750705454424</v>
      </c>
    </row>
    <row r="1758">
      <c r="A1758" s="34" t="inlineStr">
        <is>
          <t>AGA SPK-tilskudd</t>
        </is>
      </c>
      <c r="B1758" s="34" t="inlineStr">
        <is>
          <t>Region Vest</t>
        </is>
      </c>
      <c r="C1758" s="34" t="inlineStr">
        <is>
          <t>Bergen Akutts. avd. Toppe</t>
        </is>
      </c>
      <c r="D1758" s="18" t="n">
        <v>42295</v>
      </c>
      <c r="E1758" s="18" t="n">
        <v>16084</v>
      </c>
      <c r="F1758" s="18" t="n">
        <v>35751</v>
      </c>
      <c r="G1758" s="18" t="n">
        <v>43334</v>
      </c>
      <c r="H1758" s="18" t="n">
        <v>14269</v>
      </c>
      <c r="I1758" s="18" t="n">
        <v>2436</v>
      </c>
      <c r="J1758" s="19" t="n">
        <v>1370.25</v>
      </c>
      <c r="K1758" s="35" t="n">
        <v>-0.25</v>
      </c>
    </row>
    <row r="1759">
      <c r="A1759" s="36" t="inlineStr">
        <is>
          <t>AGA SPK-tilskudd</t>
        </is>
      </c>
      <c r="B1759" s="36" t="inlineStr">
        <is>
          <t>Region Vest</t>
        </is>
      </c>
      <c r="C1759" s="36" t="inlineStr">
        <is>
          <t>Bergen Akutts. avd. Toppe</t>
        </is>
      </c>
      <c r="D1759" s="26" t="n">
        <v>67783</v>
      </c>
      <c r="E1759" s="26" t="n">
        <v>71871</v>
      </c>
      <c r="F1759" s="26" t="n">
        <v>70553</v>
      </c>
      <c r="G1759" s="26" t="n">
        <v>100269</v>
      </c>
      <c r="H1759" s="26" t="n">
        <v>108092</v>
      </c>
      <c r="I1759" s="26" t="n">
        <v>113312</v>
      </c>
      <c r="J1759" s="19" t="n">
        <v>139167.5406724223</v>
      </c>
      <c r="K1759" s="37" t="n">
        <v>0.1082328614166563</v>
      </c>
    </row>
    <row r="1760">
      <c r="A1760" s="34" t="inlineStr">
        <is>
          <t>AGA SPK-tilskudd</t>
        </is>
      </c>
      <c r="B1760" s="34" t="inlineStr">
        <is>
          <t>Region Vest</t>
        </is>
      </c>
      <c r="C1760" s="34" t="inlineStr">
        <is>
          <t>Bergen Akutts. avd. Toppe</t>
        </is>
      </c>
      <c r="D1760" s="18" t="n">
        <v>2167</v>
      </c>
      <c r="E1760" s="18" t="n">
        <v>1645</v>
      </c>
      <c r="F1760" s="18" t="n"/>
      <c r="G1760" s="18" t="n">
        <v>224</v>
      </c>
      <c r="H1760" s="18" t="n"/>
      <c r="I1760" s="18" t="n"/>
      <c r="J1760" s="19" t="n">
        <v>0</v>
      </c>
      <c r="K1760" s="35" t="n">
        <v>0.065</v>
      </c>
    </row>
    <row r="1761">
      <c r="A1761" s="36" t="inlineStr">
        <is>
          <t>AGA SPK-tilskudd</t>
        </is>
      </c>
      <c r="B1761" s="36" t="inlineStr">
        <is>
          <t>Region Vest</t>
        </is>
      </c>
      <c r="C1761" s="36" t="inlineStr">
        <is>
          <t>Bergen Akutts. avd. Toppe</t>
        </is>
      </c>
      <c r="D1761" s="26" t="n">
        <v>706</v>
      </c>
      <c r="E1761" s="26" t="n"/>
      <c r="F1761" s="26" t="n">
        <v>1045</v>
      </c>
      <c r="G1761" s="26" t="n"/>
      <c r="H1761" s="26" t="n">
        <v>1184</v>
      </c>
      <c r="I1761" s="26" t="n">
        <v>1052</v>
      </c>
      <c r="J1761" s="19" t="n">
        <v>1233.957367460601</v>
      </c>
      <c r="K1761" s="37" t="n">
        <v>0.08303429172570653</v>
      </c>
    </row>
    <row r="1762">
      <c r="A1762" s="34" t="inlineStr">
        <is>
          <t>AGA SPK-tilskudd</t>
        </is>
      </c>
      <c r="B1762" s="34" t="inlineStr">
        <is>
          <t>Region Vest</t>
        </is>
      </c>
      <c r="C1762" s="34" t="inlineStr">
        <is>
          <t>Bergen Akutts. avd. Toppe</t>
        </is>
      </c>
      <c r="D1762" s="18" t="n">
        <v>8770</v>
      </c>
      <c r="E1762" s="18" t="n">
        <v>24332</v>
      </c>
      <c r="F1762" s="18" t="n">
        <v>34609</v>
      </c>
      <c r="G1762" s="18" t="n">
        <v>110706</v>
      </c>
      <c r="H1762" s="18" t="n">
        <v>50900</v>
      </c>
      <c r="I1762" s="18" t="n">
        <v>31698</v>
      </c>
      <c r="J1762" s="19" t="n">
        <v>49528.125</v>
      </c>
      <c r="K1762" s="35" t="n">
        <v>0.25</v>
      </c>
    </row>
    <row r="1763">
      <c r="A1763" s="36" t="inlineStr">
        <is>
          <t>AGA SPK-tilskudd</t>
        </is>
      </c>
      <c r="B1763" s="36" t="inlineStr">
        <is>
          <t>Region Vest</t>
        </is>
      </c>
      <c r="C1763" s="36" t="inlineStr">
        <is>
          <t>Bergen Akutts. avd. Toppe</t>
        </is>
      </c>
      <c r="D1763" s="26" t="n">
        <v>1304</v>
      </c>
      <c r="E1763" s="26" t="n">
        <v>891</v>
      </c>
      <c r="F1763" s="26" t="n">
        <v>6454</v>
      </c>
      <c r="G1763" s="26" t="n">
        <v>3340</v>
      </c>
      <c r="H1763" s="26" t="n">
        <v>10845</v>
      </c>
      <c r="I1763" s="26" t="n">
        <v>17355</v>
      </c>
      <c r="J1763" s="19" t="n">
        <v>27117.1875</v>
      </c>
      <c r="K1763" s="37" t="n">
        <v>0.25</v>
      </c>
    </row>
    <row r="1764">
      <c r="A1764" s="34" t="inlineStr">
        <is>
          <t>AGA SPK-tilskudd</t>
        </is>
      </c>
      <c r="B1764" s="34" t="inlineStr">
        <is>
          <t>Region Vest</t>
        </is>
      </c>
      <c r="C1764" s="34" t="inlineStr">
        <is>
          <t>Bergen Akutts. avd. Toppe</t>
        </is>
      </c>
      <c r="D1764" s="18" t="n">
        <v>549</v>
      </c>
      <c r="E1764" s="18" t="n">
        <v>249</v>
      </c>
      <c r="F1764" s="18" t="n">
        <v>166</v>
      </c>
      <c r="G1764" s="18" t="n">
        <v>63</v>
      </c>
      <c r="H1764" s="18" t="n">
        <v>508</v>
      </c>
      <c r="I1764" s="18" t="n">
        <v>291</v>
      </c>
      <c r="J1764" s="19" t="n">
        <v>225.7466149355498</v>
      </c>
      <c r="K1764" s="35" t="n">
        <v>-0.1192267242062774</v>
      </c>
    </row>
    <row r="1765">
      <c r="A1765" s="36" t="inlineStr">
        <is>
          <t>AGA SPK-tilskudd</t>
        </is>
      </c>
      <c r="B1765" s="36" t="inlineStr">
        <is>
          <t>Region Vest</t>
        </is>
      </c>
      <c r="C1765" s="36" t="inlineStr">
        <is>
          <t>Bergen Akutts. avd. Toppe</t>
        </is>
      </c>
      <c r="D1765" s="26" t="n">
        <v>2150</v>
      </c>
      <c r="E1765" s="26" t="n"/>
      <c r="F1765" s="26" t="n">
        <v>4580</v>
      </c>
      <c r="G1765" s="26" t="n"/>
      <c r="H1765" s="26" t="n"/>
      <c r="I1765" s="26" t="n"/>
      <c r="J1765" s="19" t="n">
        <v>0</v>
      </c>
      <c r="K1765" s="37" t="n">
        <v>0.065</v>
      </c>
    </row>
    <row r="1766">
      <c r="A1766" s="34" t="inlineStr">
        <is>
          <t>AGA SPK-tilskudd</t>
        </is>
      </c>
      <c r="B1766" s="34" t="inlineStr">
        <is>
          <t>Region Vest</t>
        </is>
      </c>
      <c r="C1766" s="34" t="inlineStr">
        <is>
          <t>Bergen Akutts. avd. Toppe</t>
        </is>
      </c>
      <c r="D1766" s="18" t="n"/>
      <c r="E1766" s="18" t="n">
        <v>586</v>
      </c>
      <c r="F1766" s="18" t="n"/>
      <c r="G1766" s="18" t="n"/>
      <c r="H1766" s="18" t="n"/>
      <c r="I1766" s="18" t="n"/>
      <c r="J1766" s="19" t="n">
        <v>0</v>
      </c>
      <c r="K1766" s="35" t="n">
        <v>0.065</v>
      </c>
    </row>
    <row r="1767">
      <c r="A1767" s="36" t="inlineStr">
        <is>
          <t>AGA SPK-tilskudd</t>
        </is>
      </c>
      <c r="B1767" s="36" t="inlineStr">
        <is>
          <t>Region Vest</t>
        </is>
      </c>
      <c r="C1767" s="36" t="inlineStr">
        <is>
          <t>Bergen Akutts. avd. Toppe</t>
        </is>
      </c>
      <c r="D1767" s="26" t="n"/>
      <c r="E1767" s="26" t="n">
        <v>11480</v>
      </c>
      <c r="F1767" s="26" t="n"/>
      <c r="G1767" s="26" t="n"/>
      <c r="H1767" s="26" t="n"/>
      <c r="I1767" s="26" t="n"/>
      <c r="J1767" s="19" t="n">
        <v>0</v>
      </c>
      <c r="K1767" s="37" t="n">
        <v>0.065</v>
      </c>
    </row>
    <row r="1768">
      <c r="A1768" s="34" t="inlineStr">
        <is>
          <t>AGA SPK-tilskudd</t>
        </is>
      </c>
      <c r="B1768" s="34" t="inlineStr">
        <is>
          <t>Region Vest</t>
        </is>
      </c>
      <c r="C1768" s="34" t="inlineStr">
        <is>
          <t>Bergen Akutts. avd. Toppe</t>
        </is>
      </c>
      <c r="D1768" s="18" t="n">
        <v>2686</v>
      </c>
      <c r="E1768" s="18" t="n">
        <v>16991</v>
      </c>
      <c r="F1768" s="18" t="n">
        <v>25529</v>
      </c>
      <c r="G1768" s="18" t="n">
        <v>35408</v>
      </c>
      <c r="H1768" s="18" t="n">
        <v>34928</v>
      </c>
      <c r="I1768" s="18" t="n">
        <v>32448</v>
      </c>
      <c r="J1768" s="19" t="n">
        <v>50700</v>
      </c>
      <c r="K1768" s="35" t="n">
        <v>0.25</v>
      </c>
    </row>
    <row r="1769">
      <c r="A1769" s="36" t="inlineStr">
        <is>
          <t>AGA SPK-tilskudd</t>
        </is>
      </c>
      <c r="B1769" s="36" t="inlineStr">
        <is>
          <t>Region Vest</t>
        </is>
      </c>
      <c r="C1769" s="36" t="inlineStr">
        <is>
          <t>Bergen Akutts. avd. Toppe</t>
        </is>
      </c>
      <c r="D1769" s="26" t="n">
        <v>-378331</v>
      </c>
      <c r="E1769" s="26" t="n">
        <v>-626954</v>
      </c>
      <c r="F1769" s="26" t="n">
        <v>-7293</v>
      </c>
      <c r="G1769" s="26" t="n"/>
      <c r="H1769" s="26" t="n">
        <v>-19038</v>
      </c>
      <c r="I1769" s="26" t="n">
        <v>-554950</v>
      </c>
      <c r="J1769" s="19" t="n">
        <v>-629438.1637499999</v>
      </c>
      <c r="K1769" s="37" t="n">
        <v>0.065</v>
      </c>
    </row>
    <row r="1770">
      <c r="A1770" s="34" t="inlineStr">
        <is>
          <t>AGA SPK-tilskudd</t>
        </is>
      </c>
      <c r="B1770" s="34" t="inlineStr">
        <is>
          <t>Region Vest</t>
        </is>
      </c>
      <c r="C1770" s="34" t="inlineStr">
        <is>
          <t>Bergen Akutts. avd. Toppe</t>
        </is>
      </c>
      <c r="D1770" s="18" t="n">
        <v>-1826150</v>
      </c>
      <c r="E1770" s="18" t="n">
        <v>-1007462</v>
      </c>
      <c r="F1770" s="18" t="n">
        <v>-863357</v>
      </c>
      <c r="G1770" s="18" t="n">
        <v>-1195632</v>
      </c>
      <c r="H1770" s="18" t="n">
        <v>-2001402</v>
      </c>
      <c r="I1770" s="18" t="n">
        <v>-1497524</v>
      </c>
      <c r="J1770" s="19" t="n">
        <v>-1698529.1589</v>
      </c>
      <c r="K1770" s="35" t="n">
        <v>0.065</v>
      </c>
    </row>
    <row r="1771">
      <c r="A1771" s="36" t="inlineStr">
        <is>
          <t>AGA SPK-tilskudd</t>
        </is>
      </c>
      <c r="B1771" s="36" t="inlineStr">
        <is>
          <t>Region Vest</t>
        </is>
      </c>
      <c r="C1771" s="36" t="inlineStr">
        <is>
          <t>Bergen vest PMTO</t>
        </is>
      </c>
      <c r="D1771" s="26" t="n"/>
      <c r="E1771" s="26" t="n">
        <v>269</v>
      </c>
      <c r="F1771" s="26" t="n"/>
      <c r="G1771" s="26" t="n"/>
      <c r="H1771" s="26" t="n"/>
      <c r="I1771" s="26" t="n"/>
      <c r="J1771" s="19" t="n">
        <v>0</v>
      </c>
      <c r="K1771" s="37" t="n">
        <v>0.065</v>
      </c>
    </row>
    <row r="1772">
      <c r="A1772" s="34" t="inlineStr">
        <is>
          <t>AGA SPK-tilskudd</t>
        </is>
      </c>
      <c r="B1772" s="34" t="inlineStr">
        <is>
          <t>Region Vest</t>
        </is>
      </c>
      <c r="C1772" s="34" t="inlineStr">
        <is>
          <t>Bjørgvin Ungdomssenter avd. trygghet og sikkerhet</t>
        </is>
      </c>
      <c r="D1772" s="18" t="n"/>
      <c r="E1772" s="18" t="n"/>
      <c r="F1772" s="18" t="n"/>
      <c r="G1772" s="18" t="n"/>
      <c r="H1772" s="18" t="n"/>
      <c r="I1772" s="18" t="n">
        <v>25553</v>
      </c>
      <c r="J1772" s="19" t="n">
        <v>28982.851425</v>
      </c>
      <c r="K1772" s="35" t="n">
        <v>0.065</v>
      </c>
    </row>
    <row r="1773">
      <c r="A1773" s="36" t="inlineStr">
        <is>
          <t>AGA SPK-tilskudd</t>
        </is>
      </c>
      <c r="B1773" s="36" t="inlineStr">
        <is>
          <t>Region Vest</t>
        </is>
      </c>
      <c r="C1773" s="36" t="inlineStr">
        <is>
          <t>Bjørgvin Ungdomssenter avd. trygghet og sikkerhet</t>
        </is>
      </c>
      <c r="D1773" s="26" t="n"/>
      <c r="E1773" s="26" t="n"/>
      <c r="F1773" s="26" t="n"/>
      <c r="G1773" s="26" t="n"/>
      <c r="H1773" s="26" t="n"/>
      <c r="I1773" s="26" t="n">
        <v>191078</v>
      </c>
      <c r="J1773" s="19" t="n">
        <v>216725.44455</v>
      </c>
      <c r="K1773" s="37" t="n">
        <v>0.065</v>
      </c>
    </row>
    <row r="1774">
      <c r="A1774" s="34" t="inlineStr">
        <is>
          <t>AGA SPK-tilskudd</t>
        </is>
      </c>
      <c r="B1774" s="34" t="inlineStr">
        <is>
          <t>Region Vest</t>
        </is>
      </c>
      <c r="C1774" s="34" t="inlineStr">
        <is>
          <t>Bjørgvin Ungdomssenter avd. trygghet og sikkerhet</t>
        </is>
      </c>
      <c r="D1774" s="18" t="n"/>
      <c r="E1774" s="18" t="n"/>
      <c r="F1774" s="18" t="n"/>
      <c r="G1774" s="18" t="n"/>
      <c r="H1774" s="18" t="n"/>
      <c r="I1774" s="18" t="n">
        <v>7497</v>
      </c>
      <c r="J1774" s="19" t="n">
        <v>8503.284824999999</v>
      </c>
      <c r="K1774" s="35" t="n">
        <v>0.065</v>
      </c>
    </row>
    <row r="1775">
      <c r="A1775" s="36" t="inlineStr">
        <is>
          <t>AGA SPK-tilskudd</t>
        </is>
      </c>
      <c r="B1775" s="36" t="inlineStr">
        <is>
          <t>Region Vest</t>
        </is>
      </c>
      <c r="C1775" s="36" t="inlineStr">
        <is>
          <t>Bjørgvin Ungdomssenter avd. trygghet og sikkerhet</t>
        </is>
      </c>
      <c r="D1775" s="26" t="n"/>
      <c r="E1775" s="26" t="n"/>
      <c r="F1775" s="26" t="n"/>
      <c r="G1775" s="26" t="n"/>
      <c r="H1775" s="26" t="n"/>
      <c r="I1775" s="26" t="n">
        <v>55119</v>
      </c>
      <c r="J1775" s="19" t="n">
        <v>62517.34777499999</v>
      </c>
      <c r="K1775" s="37" t="n">
        <v>0.065</v>
      </c>
    </row>
    <row r="1776">
      <c r="A1776" s="34" t="inlineStr">
        <is>
          <t>AGA SPK-tilskudd</t>
        </is>
      </c>
      <c r="B1776" s="34" t="inlineStr">
        <is>
          <t>Region Vest</t>
        </is>
      </c>
      <c r="C1776" s="34" t="inlineStr">
        <is>
          <t>Bjørgvin Ungdomssenter avd. trygghet og sikkerhet</t>
        </is>
      </c>
      <c r="D1776" s="18" t="n"/>
      <c r="E1776" s="18" t="n"/>
      <c r="F1776" s="18" t="n"/>
      <c r="G1776" s="18" t="n"/>
      <c r="H1776" s="18" t="n"/>
      <c r="I1776" s="18" t="n">
        <v>20228</v>
      </c>
      <c r="J1776" s="19" t="n">
        <v>22943.1033</v>
      </c>
      <c r="K1776" s="35" t="n">
        <v>0.065</v>
      </c>
    </row>
    <row r="1777">
      <c r="A1777" s="36" t="inlineStr">
        <is>
          <t>AGA SPK-tilskudd</t>
        </is>
      </c>
      <c r="B1777" s="36" t="inlineStr">
        <is>
          <t>Region Vest</t>
        </is>
      </c>
      <c r="C1777" s="36" t="inlineStr">
        <is>
          <t>Bjørgvin Ungdomssenter avd. trygghet og sikkerhet</t>
        </is>
      </c>
      <c r="D1777" s="26" t="n"/>
      <c r="E1777" s="26" t="n"/>
      <c r="F1777" s="26" t="n"/>
      <c r="G1777" s="26" t="n"/>
      <c r="H1777" s="26" t="n"/>
      <c r="I1777" s="26" t="n">
        <v>-29574</v>
      </c>
      <c r="J1777" s="19" t="n">
        <v>-33543.57014999999</v>
      </c>
      <c r="K1777" s="37" t="n">
        <v>0.065</v>
      </c>
    </row>
    <row r="1778">
      <c r="A1778" s="34" t="inlineStr">
        <is>
          <t>AGA SPK-tilskudd</t>
        </is>
      </c>
      <c r="B1778" s="34" t="inlineStr">
        <is>
          <t>Region Vest</t>
        </is>
      </c>
      <c r="C1778" s="34" t="inlineStr">
        <is>
          <t>Bjørgvin Ungdomssenter, Bønesskogen</t>
        </is>
      </c>
      <c r="D1778" s="18" t="n">
        <v>120769</v>
      </c>
      <c r="E1778" s="18" t="n">
        <v>112459</v>
      </c>
      <c r="F1778" s="18" t="n">
        <v>114978</v>
      </c>
      <c r="G1778" s="18" t="n">
        <v>122958</v>
      </c>
      <c r="H1778" s="18" t="n">
        <v>131357</v>
      </c>
      <c r="I1778" s="18" t="n">
        <v>130989</v>
      </c>
      <c r="J1778" s="19" t="n">
        <v>135315.1954622148</v>
      </c>
      <c r="K1778" s="35" t="n">
        <v>0.01637944002957115</v>
      </c>
    </row>
    <row r="1779">
      <c r="A1779" s="36" t="inlineStr">
        <is>
          <t>AGA SPK-tilskudd</t>
        </is>
      </c>
      <c r="B1779" s="36" t="inlineStr">
        <is>
          <t>Region Vest</t>
        </is>
      </c>
      <c r="C1779" s="36" t="inlineStr">
        <is>
          <t>Bjørgvin Ungdomssenter, Bønesskogen</t>
        </is>
      </c>
      <c r="D1779" s="26" t="n">
        <v>124069</v>
      </c>
      <c r="E1779" s="26" t="n">
        <v>2945</v>
      </c>
      <c r="F1779" s="26" t="n"/>
      <c r="G1779" s="26" t="n">
        <v>236</v>
      </c>
      <c r="H1779" s="26" t="n">
        <v>6860</v>
      </c>
      <c r="I1779" s="26" t="n">
        <v>23000</v>
      </c>
      <c r="J1779" s="19" t="n">
        <v>12937.5</v>
      </c>
      <c r="K1779" s="37" t="n">
        <v>-0.25</v>
      </c>
    </row>
    <row r="1780">
      <c r="A1780" s="34" t="inlineStr">
        <is>
          <t>AGA SPK-tilskudd</t>
        </is>
      </c>
      <c r="B1780" s="34" t="inlineStr">
        <is>
          <t>Region Vest</t>
        </is>
      </c>
      <c r="C1780" s="34" t="inlineStr">
        <is>
          <t>Bjørgvin Ungdomssenter, Bønesskogen</t>
        </is>
      </c>
      <c r="D1780" s="18" t="n">
        <v>37191</v>
      </c>
      <c r="E1780" s="18" t="n">
        <v>61859</v>
      </c>
      <c r="F1780" s="18" t="n">
        <v>76954</v>
      </c>
      <c r="G1780" s="18" t="n">
        <v>21643</v>
      </c>
      <c r="H1780" s="18" t="n">
        <v>142152</v>
      </c>
      <c r="I1780" s="18" t="n">
        <v>51302</v>
      </c>
      <c r="J1780" s="19" t="n">
        <v>58346.2397868037</v>
      </c>
      <c r="K1780" s="35" t="n">
        <v>0.06644702753561282</v>
      </c>
    </row>
    <row r="1781">
      <c r="A1781" s="36" t="inlineStr">
        <is>
          <t>AGA SPK-tilskudd</t>
        </is>
      </c>
      <c r="B1781" s="36" t="inlineStr">
        <is>
          <t>Region Vest</t>
        </is>
      </c>
      <c r="C1781" s="36" t="inlineStr">
        <is>
          <t>Bjørgvin Ungdomssenter, Bønesskogen</t>
        </is>
      </c>
      <c r="D1781" s="26" t="n">
        <v>22400</v>
      </c>
      <c r="E1781" s="26" t="n">
        <v>26890</v>
      </c>
      <c r="F1781" s="26" t="n">
        <v>28630</v>
      </c>
      <c r="G1781" s="26" t="n">
        <v>45411</v>
      </c>
      <c r="H1781" s="26" t="n">
        <v>62438</v>
      </c>
      <c r="I1781" s="26" t="n">
        <v>73094</v>
      </c>
      <c r="J1781" s="19" t="n">
        <v>114209.375</v>
      </c>
      <c r="K1781" s="37" t="n">
        <v>0.25</v>
      </c>
    </row>
    <row r="1782">
      <c r="A1782" s="34" t="inlineStr">
        <is>
          <t>AGA SPK-tilskudd</t>
        </is>
      </c>
      <c r="B1782" s="34" t="inlineStr">
        <is>
          <t>Region Vest</t>
        </is>
      </c>
      <c r="C1782" s="34" t="inlineStr">
        <is>
          <t>Bjørgvin Ungdomssenter, Bønesskogen</t>
        </is>
      </c>
      <c r="D1782" s="18" t="n"/>
      <c r="E1782" s="18" t="n"/>
      <c r="F1782" s="18" t="n"/>
      <c r="G1782" s="18" t="n">
        <v>430</v>
      </c>
      <c r="H1782" s="18" t="n">
        <v>1232</v>
      </c>
      <c r="I1782" s="18" t="n">
        <v>2394</v>
      </c>
      <c r="J1782" s="19" t="n">
        <v>2715.33465</v>
      </c>
      <c r="K1782" s="35" t="n">
        <v>0.065</v>
      </c>
    </row>
    <row r="1783">
      <c r="A1783" s="36" t="inlineStr">
        <is>
          <t>AGA SPK-tilskudd</t>
        </is>
      </c>
      <c r="B1783" s="36" t="inlineStr">
        <is>
          <t>Region Vest</t>
        </is>
      </c>
      <c r="C1783" s="36" t="inlineStr">
        <is>
          <t>Bjørgvin Ungdomssenter, Bønesskogen</t>
        </is>
      </c>
      <c r="D1783" s="26" t="n">
        <v>2658</v>
      </c>
      <c r="E1783" s="26" t="n">
        <v>5848</v>
      </c>
      <c r="F1783" s="26" t="n">
        <v>12120</v>
      </c>
      <c r="G1783" s="26" t="n">
        <v>2584</v>
      </c>
      <c r="H1783" s="26" t="n">
        <v>6393</v>
      </c>
      <c r="I1783" s="26" t="n">
        <v>2430</v>
      </c>
      <c r="J1783" s="19" t="n">
        <v>2344.373439404011</v>
      </c>
      <c r="K1783" s="37" t="n">
        <v>-0.01777663830215015</v>
      </c>
    </row>
    <row r="1784">
      <c r="A1784" s="34" t="inlineStr">
        <is>
          <t>AGA SPK-tilskudd</t>
        </is>
      </c>
      <c r="B1784" s="34" t="inlineStr">
        <is>
          <t>Region Vest</t>
        </is>
      </c>
      <c r="C1784" s="34" t="inlineStr">
        <is>
          <t>Bjørgvin Ungdomssenter, Bønesskogen</t>
        </is>
      </c>
      <c r="D1784" s="18" t="n"/>
      <c r="E1784" s="18" t="n">
        <v>10212</v>
      </c>
      <c r="F1784" s="18" t="n">
        <v>822</v>
      </c>
      <c r="G1784" s="18" t="n">
        <v>5589</v>
      </c>
      <c r="H1784" s="18" t="n">
        <v>6540</v>
      </c>
      <c r="I1784" s="18" t="n">
        <v>10549</v>
      </c>
      <c r="J1784" s="19" t="n">
        <v>10721.64776615444</v>
      </c>
      <c r="K1784" s="35" t="n">
        <v>0.0081499236106235</v>
      </c>
    </row>
    <row r="1785">
      <c r="A1785" s="36" t="inlineStr">
        <is>
          <t>AGA SPK-tilskudd</t>
        </is>
      </c>
      <c r="B1785" s="36" t="inlineStr">
        <is>
          <t>Region Vest</t>
        </is>
      </c>
      <c r="C1785" s="36" t="inlineStr">
        <is>
          <t>Bjørgvin Ungdomssenter, Bønesskogen</t>
        </is>
      </c>
      <c r="D1785" s="26" t="n"/>
      <c r="E1785" s="26" t="n">
        <v>3000</v>
      </c>
      <c r="F1785" s="26" t="n">
        <v>378</v>
      </c>
      <c r="G1785" s="26" t="n">
        <v>3880</v>
      </c>
      <c r="H1785" s="26" t="n">
        <v>6758</v>
      </c>
      <c r="I1785" s="26" t="n">
        <v>4030</v>
      </c>
      <c r="J1785" s="19" t="n">
        <v>4670.860984158416</v>
      </c>
      <c r="K1785" s="37" t="n">
        <v>0.07657910843293214</v>
      </c>
    </row>
    <row r="1786">
      <c r="A1786" s="34" t="inlineStr">
        <is>
          <t>AGA SPK-tilskudd</t>
        </is>
      </c>
      <c r="B1786" s="34" t="inlineStr">
        <is>
          <t>Region Vest</t>
        </is>
      </c>
      <c r="C1786" s="34" t="inlineStr">
        <is>
          <t>Bjørgvin Ungdomssenter, Bønesskogen</t>
        </is>
      </c>
      <c r="D1786" s="18" t="n">
        <v>855</v>
      </c>
      <c r="E1786" s="18" t="n">
        <v>1800</v>
      </c>
      <c r="F1786" s="18" t="n">
        <v>3547</v>
      </c>
      <c r="G1786" s="18" t="n">
        <v>737</v>
      </c>
      <c r="H1786" s="18" t="n">
        <v>2934</v>
      </c>
      <c r="I1786" s="18" t="n">
        <v>1813</v>
      </c>
      <c r="J1786" s="19" t="n">
        <v>2448.896778123162</v>
      </c>
      <c r="K1786" s="35" t="n">
        <v>0.1622146295225364</v>
      </c>
    </row>
    <row r="1787">
      <c r="A1787" s="36" t="inlineStr">
        <is>
          <t>AGA SPK-tilskudd</t>
        </is>
      </c>
      <c r="B1787" s="36" t="inlineStr">
        <is>
          <t>Region Vest</t>
        </is>
      </c>
      <c r="C1787" s="36" t="inlineStr">
        <is>
          <t>Bjørgvin Ungdomssenter, Bønesskogen</t>
        </is>
      </c>
      <c r="D1787" s="26" t="n">
        <v>727</v>
      </c>
      <c r="E1787" s="26" t="n">
        <v>2462</v>
      </c>
      <c r="F1787" s="26" t="n">
        <v>398</v>
      </c>
      <c r="G1787" s="26" t="n">
        <v>809</v>
      </c>
      <c r="H1787" s="26" t="n">
        <v>448</v>
      </c>
      <c r="I1787" s="26" t="n">
        <v>1008</v>
      </c>
      <c r="J1787" s="19" t="n">
        <v>1148.764432297024</v>
      </c>
      <c r="K1787" s="37" t="n">
        <v>0.06754262409653711</v>
      </c>
    </row>
    <row r="1788">
      <c r="A1788" s="34" t="inlineStr">
        <is>
          <t>AGA SPK-tilskudd</t>
        </is>
      </c>
      <c r="B1788" s="34" t="inlineStr">
        <is>
          <t>Region Vest</t>
        </is>
      </c>
      <c r="C1788" s="34" t="inlineStr">
        <is>
          <t>Bjørgvin Ungdomssenter, Bønesskogen</t>
        </is>
      </c>
      <c r="D1788" s="18" t="n"/>
      <c r="E1788" s="18" t="n">
        <v>-108125</v>
      </c>
      <c r="F1788" s="18" t="n">
        <v>-308710</v>
      </c>
      <c r="G1788" s="18" t="n">
        <v>-10980</v>
      </c>
      <c r="H1788" s="18" t="n"/>
      <c r="I1788" s="18" t="n">
        <v>-133350</v>
      </c>
      <c r="J1788" s="19" t="n">
        <v>-151248.90375</v>
      </c>
      <c r="K1788" s="35" t="n">
        <v>0.065</v>
      </c>
    </row>
    <row r="1789">
      <c r="A1789" s="36" t="inlineStr">
        <is>
          <t>AGA SPK-tilskudd</t>
        </is>
      </c>
      <c r="B1789" s="36" t="inlineStr">
        <is>
          <t>Region Vest</t>
        </is>
      </c>
      <c r="C1789" s="36" t="inlineStr">
        <is>
          <t>Bjørgvin Ungdomssenter, Bønesskogen</t>
        </is>
      </c>
      <c r="D1789" s="26" t="n">
        <v>-390130</v>
      </c>
      <c r="E1789" s="26" t="n">
        <v>-460508</v>
      </c>
      <c r="F1789" s="26" t="n">
        <v>-1479744</v>
      </c>
      <c r="G1789" s="26" t="n">
        <v>-1317133</v>
      </c>
      <c r="H1789" s="26" t="n">
        <v>-955781</v>
      </c>
      <c r="I1789" s="26" t="n">
        <v>-809182</v>
      </c>
      <c r="J1789" s="19" t="n">
        <v>-917794.4539499999</v>
      </c>
      <c r="K1789" s="37" t="n">
        <v>0.065</v>
      </c>
    </row>
    <row r="1790">
      <c r="A1790" s="34" t="inlineStr">
        <is>
          <t>AGA SPK-tilskudd</t>
        </is>
      </c>
      <c r="B1790" s="34" t="inlineStr">
        <is>
          <t>Region Vest</t>
        </is>
      </c>
      <c r="C1790" s="34" t="inlineStr">
        <is>
          <t>Bjørgvin Ungdomssenter, Bønesstølen</t>
        </is>
      </c>
      <c r="D1790" s="18" t="n">
        <v>131187</v>
      </c>
      <c r="E1790" s="18" t="n">
        <v>116400</v>
      </c>
      <c r="F1790" s="18" t="n">
        <v>102060</v>
      </c>
      <c r="G1790" s="18" t="n">
        <v>123163</v>
      </c>
      <c r="H1790" s="18" t="n">
        <v>138264</v>
      </c>
      <c r="I1790" s="18" t="n">
        <v>131465</v>
      </c>
      <c r="J1790" s="19" t="n">
        <v>131576.3648818591</v>
      </c>
      <c r="K1790" s="35" t="n">
        <v>0.0004234636875168896</v>
      </c>
    </row>
    <row r="1791">
      <c r="A1791" s="36" t="inlineStr">
        <is>
          <t>AGA SPK-tilskudd</t>
        </is>
      </c>
      <c r="B1791" s="36" t="inlineStr">
        <is>
          <t>Region Vest</t>
        </is>
      </c>
      <c r="C1791" s="36" t="inlineStr">
        <is>
          <t>Bjørgvin Ungdomssenter, Bønesstølen</t>
        </is>
      </c>
      <c r="D1791" s="26" t="n">
        <v>16467</v>
      </c>
      <c r="E1791" s="26" t="n">
        <v>1047</v>
      </c>
      <c r="F1791" s="26" t="n"/>
      <c r="G1791" s="26" t="n">
        <v>288</v>
      </c>
      <c r="H1791" s="26" t="n">
        <v>419</v>
      </c>
      <c r="I1791" s="26" t="n"/>
      <c r="J1791" s="19" t="n">
        <v>0</v>
      </c>
      <c r="K1791" s="37" t="n">
        <v>0.065</v>
      </c>
    </row>
    <row r="1792">
      <c r="A1792" s="34" t="inlineStr">
        <is>
          <t>AGA SPK-tilskudd</t>
        </is>
      </c>
      <c r="B1792" s="34" t="inlineStr">
        <is>
          <t>Region Vest</t>
        </is>
      </c>
      <c r="C1792" s="34" t="inlineStr">
        <is>
          <t>Bjørgvin Ungdomssenter, Bønesstølen</t>
        </is>
      </c>
      <c r="D1792" s="18" t="n">
        <v>103034</v>
      </c>
      <c r="E1792" s="18" t="n">
        <v>80165</v>
      </c>
      <c r="F1792" s="18" t="n">
        <v>40660</v>
      </c>
      <c r="G1792" s="18" t="n">
        <v>130642</v>
      </c>
      <c r="H1792" s="18" t="n">
        <v>73140</v>
      </c>
      <c r="I1792" s="18" t="n">
        <v>65329</v>
      </c>
      <c r="J1792" s="19" t="n">
        <v>54444.77287924293</v>
      </c>
      <c r="K1792" s="35" t="n">
        <v>-0.08709604201475873</v>
      </c>
    </row>
    <row r="1793">
      <c r="A1793" s="36" t="inlineStr">
        <is>
          <t>AGA SPK-tilskudd</t>
        </is>
      </c>
      <c r="B1793" s="36" t="inlineStr">
        <is>
          <t>Region Vest</t>
        </is>
      </c>
      <c r="C1793" s="36" t="inlineStr">
        <is>
          <t>Bjørgvin Ungdomssenter, Bønesstølen</t>
        </is>
      </c>
      <c r="D1793" s="26" t="n">
        <v>39400</v>
      </c>
      <c r="E1793" s="26" t="n">
        <v>53984</v>
      </c>
      <c r="F1793" s="26" t="n">
        <v>46831</v>
      </c>
      <c r="G1793" s="26" t="n">
        <v>55622</v>
      </c>
      <c r="H1793" s="26" t="n">
        <v>57581</v>
      </c>
      <c r="I1793" s="26" t="n">
        <v>57235</v>
      </c>
      <c r="J1793" s="19" t="n">
        <v>66455.03227878059</v>
      </c>
      <c r="K1793" s="37" t="n">
        <v>0.07753923638726934</v>
      </c>
    </row>
    <row r="1794">
      <c r="A1794" s="34" t="inlineStr">
        <is>
          <t>AGA SPK-tilskudd</t>
        </is>
      </c>
      <c r="B1794" s="34" t="inlineStr">
        <is>
          <t>Region Vest</t>
        </is>
      </c>
      <c r="C1794" s="34" t="inlineStr">
        <is>
          <t>Bjørgvin Ungdomssenter, Bønesstølen</t>
        </is>
      </c>
      <c r="D1794" s="18" t="n"/>
      <c r="E1794" s="18" t="n">
        <v>462</v>
      </c>
      <c r="F1794" s="18" t="n"/>
      <c r="G1794" s="18" t="n">
        <v>182</v>
      </c>
      <c r="H1794" s="18" t="n"/>
      <c r="I1794" s="18" t="n"/>
      <c r="J1794" s="19" t="n">
        <v>0</v>
      </c>
      <c r="K1794" s="35" t="n">
        <v>0.065</v>
      </c>
    </row>
    <row r="1795">
      <c r="A1795" s="36" t="inlineStr">
        <is>
          <t>AGA SPK-tilskudd</t>
        </is>
      </c>
      <c r="B1795" s="36" t="inlineStr">
        <is>
          <t>Region Vest</t>
        </is>
      </c>
      <c r="C1795" s="36" t="inlineStr">
        <is>
          <t>Bjørgvin Ungdomssenter, Bønesstølen</t>
        </is>
      </c>
      <c r="D1795" s="26" t="n">
        <v>4331</v>
      </c>
      <c r="E1795" s="26" t="n">
        <v>7081</v>
      </c>
      <c r="F1795" s="26" t="n">
        <v>4519</v>
      </c>
      <c r="G1795" s="26" t="n">
        <v>3411</v>
      </c>
      <c r="H1795" s="26" t="n"/>
      <c r="I1795" s="26" t="n">
        <v>1216</v>
      </c>
      <c r="J1795" s="19" t="n">
        <v>731.5966891765629</v>
      </c>
      <c r="K1795" s="37" t="n">
        <v>-0.2243441393727094</v>
      </c>
    </row>
    <row r="1796">
      <c r="A1796" s="34" t="inlineStr">
        <is>
          <t>AGA SPK-tilskudd</t>
        </is>
      </c>
      <c r="B1796" s="34" t="inlineStr">
        <is>
          <t>Region Vest</t>
        </is>
      </c>
      <c r="C1796" s="34" t="inlineStr">
        <is>
          <t>Bjørgvin Ungdomssenter, Bønesstølen</t>
        </is>
      </c>
      <c r="D1796" s="18" t="n"/>
      <c r="E1796" s="18" t="n">
        <v>9762</v>
      </c>
      <c r="F1796" s="18" t="n">
        <v>822</v>
      </c>
      <c r="G1796" s="18" t="n">
        <v>5000</v>
      </c>
      <c r="H1796" s="18" t="n">
        <v>10570</v>
      </c>
      <c r="I1796" s="18" t="n">
        <v>9669</v>
      </c>
      <c r="J1796" s="19" t="n">
        <v>9622.832774357952</v>
      </c>
      <c r="K1796" s="35" t="n">
        <v>-0.002390240306336833</v>
      </c>
    </row>
    <row r="1797">
      <c r="A1797" s="36" t="inlineStr">
        <is>
          <t>AGA SPK-tilskudd</t>
        </is>
      </c>
      <c r="B1797" s="36" t="inlineStr">
        <is>
          <t>Region Vest</t>
        </is>
      </c>
      <c r="C1797" s="36" t="inlineStr">
        <is>
          <t>Bjørgvin Ungdomssenter, Bønesstølen</t>
        </is>
      </c>
      <c r="D1797" s="26" t="n">
        <v>2120</v>
      </c>
      <c r="E1797" s="26" t="n">
        <v>5129</v>
      </c>
      <c r="F1797" s="26" t="n">
        <v>2000</v>
      </c>
      <c r="G1797" s="26" t="n">
        <v>1515</v>
      </c>
      <c r="H1797" s="26" t="n">
        <v>2418</v>
      </c>
      <c r="I1797" s="26" t="n">
        <v>4513</v>
      </c>
      <c r="J1797" s="19" t="n">
        <v>6105.442177637248</v>
      </c>
      <c r="K1797" s="37" t="n">
        <v>0.1631236717327242</v>
      </c>
    </row>
    <row r="1798">
      <c r="A1798" s="34" t="inlineStr">
        <is>
          <t>AGA SPK-tilskudd</t>
        </is>
      </c>
      <c r="B1798" s="34" t="inlineStr">
        <is>
          <t>Region Vest</t>
        </is>
      </c>
      <c r="C1798" s="34" t="inlineStr">
        <is>
          <t>Bjørgvin Ungdomssenter, Bønesstølen</t>
        </is>
      </c>
      <c r="D1798" s="18" t="n">
        <v>1903</v>
      </c>
      <c r="E1798" s="18" t="n">
        <v>2294</v>
      </c>
      <c r="F1798" s="18" t="n">
        <v>1303</v>
      </c>
      <c r="G1798" s="18" t="n">
        <v>826</v>
      </c>
      <c r="H1798" s="18" t="n"/>
      <c r="I1798" s="18" t="n">
        <v>300</v>
      </c>
      <c r="J1798" s="19" t="n">
        <v>168.75</v>
      </c>
      <c r="K1798" s="35" t="n">
        <v>-0.25</v>
      </c>
    </row>
    <row r="1799">
      <c r="A1799" s="36" t="inlineStr">
        <is>
          <t>AGA SPK-tilskudd</t>
        </is>
      </c>
      <c r="B1799" s="36" t="inlineStr">
        <is>
          <t>Region Vest</t>
        </is>
      </c>
      <c r="C1799" s="36" t="inlineStr">
        <is>
          <t>Bjørgvin Ungdomssenter, Bønesstølen</t>
        </is>
      </c>
      <c r="D1799" s="26" t="n"/>
      <c r="E1799" s="26" t="n"/>
      <c r="F1799" s="26" t="n"/>
      <c r="G1799" s="26" t="n"/>
      <c r="H1799" s="26" t="n">
        <v>4290</v>
      </c>
      <c r="I1799" s="26" t="n"/>
      <c r="J1799" s="19" t="n">
        <v>0</v>
      </c>
      <c r="K1799" s="37" t="n">
        <v>0.065</v>
      </c>
    </row>
    <row r="1800">
      <c r="A1800" s="34" t="inlineStr">
        <is>
          <t>AGA SPK-tilskudd</t>
        </is>
      </c>
      <c r="B1800" s="34" t="inlineStr">
        <is>
          <t>Region Vest</t>
        </is>
      </c>
      <c r="C1800" s="34" t="inlineStr">
        <is>
          <t>Bjørgvin Ungdomssenter, Bønesstølen</t>
        </is>
      </c>
      <c r="D1800" s="18" t="n">
        <v>1280</v>
      </c>
      <c r="E1800" s="18" t="n">
        <v>5473</v>
      </c>
      <c r="F1800" s="18" t="n">
        <v>894</v>
      </c>
      <c r="G1800" s="18" t="n">
        <v>4584</v>
      </c>
      <c r="H1800" s="18" t="n">
        <v>315</v>
      </c>
      <c r="I1800" s="18" t="n">
        <v>280</v>
      </c>
      <c r="J1800" s="19" t="n">
        <v>157.5</v>
      </c>
      <c r="K1800" s="35" t="n">
        <v>-0.25</v>
      </c>
    </row>
    <row r="1801">
      <c r="A1801" s="36" t="inlineStr">
        <is>
          <t>AGA SPK-tilskudd</t>
        </is>
      </c>
      <c r="B1801" s="36" t="inlineStr">
        <is>
          <t>Region Vest</t>
        </is>
      </c>
      <c r="C1801" s="36" t="inlineStr">
        <is>
          <t>Bjørgvin Ungdomssenter, Bønesstølen</t>
        </is>
      </c>
      <c r="D1801" s="26" t="n">
        <v>-181239</v>
      </c>
      <c r="E1801" s="26" t="n">
        <v>-270050</v>
      </c>
      <c r="F1801" s="26" t="n">
        <v>-309624</v>
      </c>
      <c r="G1801" s="26" t="n">
        <v>-26673</v>
      </c>
      <c r="H1801" s="26" t="n">
        <v>-722230</v>
      </c>
      <c r="I1801" s="26" t="n">
        <v>-296470</v>
      </c>
      <c r="J1801" s="19" t="n">
        <v>-336263.6857499999</v>
      </c>
      <c r="K1801" s="37" t="n">
        <v>0.065</v>
      </c>
    </row>
    <row r="1802">
      <c r="A1802" s="34" t="inlineStr">
        <is>
          <t>AGA SPK-tilskudd</t>
        </is>
      </c>
      <c r="B1802" s="34" t="inlineStr">
        <is>
          <t>Region Vest</t>
        </is>
      </c>
      <c r="C1802" s="34" t="inlineStr">
        <is>
          <t>Bjørgvin Ungdomssenter, Bønesstølen</t>
        </is>
      </c>
      <c r="D1802" s="18" t="n">
        <v>-658386</v>
      </c>
      <c r="E1802" s="18" t="n">
        <v>-346105</v>
      </c>
      <c r="F1802" s="18" t="n">
        <v>-322152</v>
      </c>
      <c r="G1802" s="18" t="n">
        <v>-497950</v>
      </c>
      <c r="H1802" s="18" t="n">
        <v>-365018</v>
      </c>
      <c r="I1802" s="18" t="n">
        <v>-215106</v>
      </c>
      <c r="J1802" s="19" t="n">
        <v>-243978.60285</v>
      </c>
      <c r="K1802" s="35" t="n">
        <v>0.065</v>
      </c>
    </row>
    <row r="1803">
      <c r="A1803" s="36" t="inlineStr">
        <is>
          <t>AGA SPK-tilskudd</t>
        </is>
      </c>
      <c r="B1803" s="36" t="inlineStr">
        <is>
          <t>Region Vest</t>
        </is>
      </c>
      <c r="C1803" s="36" t="inlineStr">
        <is>
          <t>Bjørgvin Ungdomssenter, administrasjon</t>
        </is>
      </c>
      <c r="D1803" s="26" t="n">
        <v>55223</v>
      </c>
      <c r="E1803" s="26" t="n">
        <v>46690</v>
      </c>
      <c r="F1803" s="26" t="n">
        <v>45909</v>
      </c>
      <c r="G1803" s="26" t="n">
        <v>52468</v>
      </c>
      <c r="H1803" s="26" t="n">
        <v>53312</v>
      </c>
      <c r="I1803" s="26" t="n">
        <v>34443</v>
      </c>
      <c r="J1803" s="19" t="n">
        <v>28516.31227383891</v>
      </c>
      <c r="K1803" s="37" t="n">
        <v>-0.09009469914209944</v>
      </c>
    </row>
    <row r="1804">
      <c r="A1804" s="34" t="inlineStr">
        <is>
          <t>AGA SPK-tilskudd</t>
        </is>
      </c>
      <c r="B1804" s="34" t="inlineStr">
        <is>
          <t>Region Vest</t>
        </is>
      </c>
      <c r="C1804" s="34" t="inlineStr">
        <is>
          <t>Bjørgvin Ungdomssenter, administrasjon</t>
        </is>
      </c>
      <c r="D1804" s="18" t="n">
        <v>118326</v>
      </c>
      <c r="E1804" s="18" t="n">
        <v>298335</v>
      </c>
      <c r="F1804" s="18" t="n">
        <v>87083</v>
      </c>
      <c r="G1804" s="18" t="n">
        <v>63921</v>
      </c>
      <c r="H1804" s="18" t="n">
        <v>188503</v>
      </c>
      <c r="I1804" s="18" t="n">
        <v>9504</v>
      </c>
      <c r="J1804" s="19" t="n">
        <v>5346</v>
      </c>
      <c r="K1804" s="35" t="n">
        <v>-0.25</v>
      </c>
    </row>
    <row r="1805">
      <c r="A1805" s="36" t="inlineStr">
        <is>
          <t>AGA SPK-tilskudd</t>
        </is>
      </c>
      <c r="B1805" s="36" t="inlineStr">
        <is>
          <t>Region Vest</t>
        </is>
      </c>
      <c r="C1805" s="36" t="inlineStr">
        <is>
          <t>Bjørgvin Ungdomssenter, administrasjon</t>
        </is>
      </c>
      <c r="D1805" s="26" t="n">
        <v>9600</v>
      </c>
      <c r="E1805" s="26" t="n">
        <v>9816</v>
      </c>
      <c r="F1805" s="26" t="n">
        <v>10225</v>
      </c>
      <c r="G1805" s="26" t="n">
        <v>9956</v>
      </c>
      <c r="H1805" s="26" t="n">
        <v>11794</v>
      </c>
      <c r="I1805" s="26" t="n">
        <v>5478</v>
      </c>
      <c r="J1805" s="19" t="n">
        <v>4376.856881351026</v>
      </c>
      <c r="K1805" s="37" t="n">
        <v>-0.1061386501831356</v>
      </c>
    </row>
    <row r="1806">
      <c r="A1806" s="34" t="inlineStr">
        <is>
          <t>AGA SPK-tilskudd</t>
        </is>
      </c>
      <c r="B1806" s="34" t="inlineStr">
        <is>
          <t>Region Vest</t>
        </is>
      </c>
      <c r="C1806" s="34" t="inlineStr">
        <is>
          <t>Bjørgvin Ungdomssenter, administrasjon</t>
        </is>
      </c>
      <c r="D1806" s="18" t="n">
        <v>4031</v>
      </c>
      <c r="E1806" s="18" t="n">
        <v>7015</v>
      </c>
      <c r="F1806" s="18" t="n">
        <v>7228</v>
      </c>
      <c r="G1806" s="18" t="n"/>
      <c r="H1806" s="18" t="n">
        <v>2401</v>
      </c>
      <c r="I1806" s="18" t="n"/>
      <c r="J1806" s="19" t="n">
        <v>0</v>
      </c>
      <c r="K1806" s="35" t="n">
        <v>0.065</v>
      </c>
    </row>
    <row r="1807">
      <c r="A1807" s="36" t="inlineStr">
        <is>
          <t>AGA SPK-tilskudd</t>
        </is>
      </c>
      <c r="B1807" s="36" t="inlineStr">
        <is>
          <t>Region Vest</t>
        </is>
      </c>
      <c r="C1807" s="36" t="inlineStr">
        <is>
          <t>Bjørgvin Ungdomssenter, administrasjon</t>
        </is>
      </c>
      <c r="D1807" s="26" t="n">
        <v>19674</v>
      </c>
      <c r="E1807" s="26" t="n">
        <v>27141</v>
      </c>
      <c r="F1807" s="26" t="n">
        <v>21220</v>
      </c>
      <c r="G1807" s="26" t="n">
        <v>34141</v>
      </c>
      <c r="H1807" s="26" t="n">
        <v>48123</v>
      </c>
      <c r="I1807" s="26" t="n">
        <v>1492</v>
      </c>
      <c r="J1807" s="19" t="n">
        <v>839.25</v>
      </c>
      <c r="K1807" s="37" t="n">
        <v>-0.25</v>
      </c>
    </row>
    <row r="1808">
      <c r="A1808" s="34" t="inlineStr">
        <is>
          <t>AGA SPK-tilskudd</t>
        </is>
      </c>
      <c r="B1808" s="34" t="inlineStr">
        <is>
          <t>Region Vest</t>
        </is>
      </c>
      <c r="C1808" s="34" t="inlineStr">
        <is>
          <t>Bjørgvin Ungdomssenter, administrasjon</t>
        </is>
      </c>
      <c r="D1808" s="18" t="n">
        <v>1000</v>
      </c>
      <c r="E1808" s="18" t="n">
        <v>-11026</v>
      </c>
      <c r="F1808" s="18" t="n">
        <v>-10173</v>
      </c>
      <c r="G1808" s="18" t="n">
        <v>2663</v>
      </c>
      <c r="H1808" s="18" t="n"/>
      <c r="I1808" s="18" t="n">
        <v>238</v>
      </c>
      <c r="J1808" s="19" t="n">
        <v>134.0317659985279</v>
      </c>
      <c r="K1808" s="35" t="n">
        <v>-0.2495610080319096</v>
      </c>
    </row>
    <row r="1809">
      <c r="A1809" s="36" t="inlineStr">
        <is>
          <t>AGA SPK-tilskudd</t>
        </is>
      </c>
      <c r="B1809" s="36" t="inlineStr">
        <is>
          <t>Region Vest</t>
        </is>
      </c>
      <c r="C1809" s="36" t="inlineStr">
        <is>
          <t>Bjørgvin Ungdomssenter, administrasjon</t>
        </is>
      </c>
      <c r="D1809" s="26" t="n"/>
      <c r="E1809" s="26" t="n">
        <v>1562</v>
      </c>
      <c r="F1809" s="26" t="n"/>
      <c r="G1809" s="26" t="n">
        <v>3015</v>
      </c>
      <c r="H1809" s="26" t="n">
        <v>1015</v>
      </c>
      <c r="I1809" s="26" t="n">
        <v>2202</v>
      </c>
      <c r="J1809" s="19" t="n">
        <v>2614.480802047812</v>
      </c>
      <c r="K1809" s="37" t="n">
        <v>0.08964259363169558</v>
      </c>
    </row>
    <row r="1810">
      <c r="A1810" s="34" t="inlineStr">
        <is>
          <t>AGA SPK-tilskudd</t>
        </is>
      </c>
      <c r="B1810" s="34" t="inlineStr">
        <is>
          <t>Region Vest</t>
        </is>
      </c>
      <c r="C1810" s="34" t="inlineStr">
        <is>
          <t>Bjørgvin Ungdomssenter, administrasjon</t>
        </is>
      </c>
      <c r="D1810" s="18" t="n">
        <v>6681</v>
      </c>
      <c r="E1810" s="18" t="n">
        <v>7954</v>
      </c>
      <c r="F1810" s="18" t="n">
        <v>11538</v>
      </c>
      <c r="G1810" s="18" t="n">
        <v>11311</v>
      </c>
      <c r="H1810" s="18" t="n">
        <v>19958</v>
      </c>
      <c r="I1810" s="18" t="n">
        <v>659</v>
      </c>
      <c r="J1810" s="19" t="n">
        <v>370.6875</v>
      </c>
      <c r="K1810" s="35" t="n">
        <v>-0.25</v>
      </c>
    </row>
    <row r="1811">
      <c r="A1811" s="36" t="inlineStr">
        <is>
          <t>AGA SPK-tilskudd</t>
        </is>
      </c>
      <c r="B1811" s="36" t="inlineStr">
        <is>
          <t>Region Vest</t>
        </is>
      </c>
      <c r="C1811" s="36" t="inlineStr">
        <is>
          <t>Bjørgvin Ungdomssenter, administrasjon</t>
        </is>
      </c>
      <c r="D1811" s="26" t="n">
        <v>726</v>
      </c>
      <c r="E1811" s="26" t="n"/>
      <c r="F1811" s="26" t="n">
        <v>3905</v>
      </c>
      <c r="G1811" s="26" t="n">
        <v>4679</v>
      </c>
      <c r="H1811" s="26" t="n">
        <v>7256</v>
      </c>
      <c r="I1811" s="26" t="n">
        <v>7710</v>
      </c>
      <c r="J1811" s="19" t="n">
        <v>12046.875</v>
      </c>
      <c r="K1811" s="37" t="n">
        <v>0.25</v>
      </c>
    </row>
    <row r="1812">
      <c r="A1812" s="34" t="inlineStr">
        <is>
          <t>AGA SPK-tilskudd</t>
        </is>
      </c>
      <c r="B1812" s="34" t="inlineStr">
        <is>
          <t>Region Vest</t>
        </is>
      </c>
      <c r="C1812" s="34" t="inlineStr">
        <is>
          <t>Bjørgvin Ungdomssenter, administrasjon</t>
        </is>
      </c>
      <c r="D1812" s="18" t="n"/>
      <c r="E1812" s="18" t="n"/>
      <c r="F1812" s="18" t="n"/>
      <c r="G1812" s="18" t="n"/>
      <c r="H1812" s="18" t="n"/>
      <c r="I1812" s="18" t="n">
        <v>-467500</v>
      </c>
      <c r="J1812" s="19" t="n">
        <v>-530250.1874999999</v>
      </c>
      <c r="K1812" s="35" t="n">
        <v>0.065</v>
      </c>
    </row>
    <row r="1813">
      <c r="A1813" s="36" t="inlineStr">
        <is>
          <t>AGA SPK-tilskudd</t>
        </is>
      </c>
      <c r="B1813" s="36" t="inlineStr">
        <is>
          <t>Region Vest</t>
        </is>
      </c>
      <c r="C1813" s="36" t="inlineStr">
        <is>
          <t>Bjørgvin Ungdomssenter, administrasjon</t>
        </is>
      </c>
      <c r="D1813" s="26" t="n">
        <v>-148937</v>
      </c>
      <c r="E1813" s="26" t="n">
        <v>-28975</v>
      </c>
      <c r="F1813" s="26" t="n">
        <v>-27115</v>
      </c>
      <c r="G1813" s="26" t="n">
        <v>-778528</v>
      </c>
      <c r="H1813" s="26" t="n">
        <v>-441039</v>
      </c>
      <c r="I1813" s="26" t="n">
        <v>-9486</v>
      </c>
      <c r="J1813" s="19" t="n">
        <v>-10759.25835</v>
      </c>
      <c r="K1813" s="37" t="n">
        <v>0.065</v>
      </c>
    </row>
    <row r="1814">
      <c r="A1814" s="34" t="inlineStr">
        <is>
          <t>AGA SPK-tilskudd</t>
        </is>
      </c>
      <c r="B1814" s="34" t="inlineStr">
        <is>
          <t>Region Vest</t>
        </is>
      </c>
      <c r="C1814" s="34" t="inlineStr">
        <is>
          <t>Driftsavdelingen</t>
        </is>
      </c>
      <c r="D1814" s="18" t="n">
        <v>25014</v>
      </c>
      <c r="E1814" s="18" t="n">
        <v>19908</v>
      </c>
      <c r="F1814" s="18" t="n">
        <v>15678</v>
      </c>
      <c r="G1814" s="18" t="n">
        <v>15728</v>
      </c>
      <c r="H1814" s="18" t="n">
        <v>17011</v>
      </c>
      <c r="I1814" s="18" t="n">
        <v>16417</v>
      </c>
      <c r="J1814" s="19" t="n">
        <v>13871.96739180019</v>
      </c>
      <c r="K1814" s="35" t="n">
        <v>-0.08077435811279654</v>
      </c>
    </row>
    <row r="1815">
      <c r="A1815" s="36" t="inlineStr">
        <is>
          <t>AGA SPK-tilskudd</t>
        </is>
      </c>
      <c r="B1815" s="36" t="inlineStr">
        <is>
          <t>Region Vest</t>
        </is>
      </c>
      <c r="C1815" s="36" t="inlineStr">
        <is>
          <t>Driftsavdelingen</t>
        </is>
      </c>
      <c r="D1815" s="26" t="n">
        <v>3080</v>
      </c>
      <c r="E1815" s="26" t="n">
        <v>53362</v>
      </c>
      <c r="F1815" s="26" t="n">
        <v>62122</v>
      </c>
      <c r="G1815" s="26" t="n">
        <v>109700</v>
      </c>
      <c r="H1815" s="26" t="n">
        <v>82209</v>
      </c>
      <c r="I1815" s="26" t="n">
        <v>90237</v>
      </c>
      <c r="J1815" s="19" t="n">
        <v>140995.3125</v>
      </c>
      <c r="K1815" s="37" t="n">
        <v>0.25</v>
      </c>
    </row>
    <row r="1816">
      <c r="A1816" s="34" t="inlineStr">
        <is>
          <t>AGA SPK-tilskudd</t>
        </is>
      </c>
      <c r="B1816" s="34" t="inlineStr">
        <is>
          <t>Region Vest</t>
        </is>
      </c>
      <c r="C1816" s="34" t="inlineStr">
        <is>
          <t>Driftsavdelingen</t>
        </is>
      </c>
      <c r="D1816" s="18" t="n">
        <v>3700</v>
      </c>
      <c r="E1816" s="18" t="n">
        <v>5113</v>
      </c>
      <c r="F1816" s="18" t="n">
        <v>6237</v>
      </c>
      <c r="G1816" s="18" t="n">
        <v>7301</v>
      </c>
      <c r="H1816" s="18" t="n">
        <v>9713</v>
      </c>
      <c r="I1816" s="18" t="n">
        <v>9227</v>
      </c>
      <c r="J1816" s="19" t="n">
        <v>13298.54230608608</v>
      </c>
      <c r="K1816" s="35" t="n">
        <v>0.2005265230716351</v>
      </c>
    </row>
    <row r="1817">
      <c r="A1817" s="36" t="inlineStr">
        <is>
          <t>AGA SPK-tilskudd</t>
        </is>
      </c>
      <c r="B1817" s="36" t="inlineStr">
        <is>
          <t>Region Vest</t>
        </is>
      </c>
      <c r="C1817" s="36" t="inlineStr">
        <is>
          <t>Driftsavdelingen</t>
        </is>
      </c>
      <c r="D1817" s="26" t="n">
        <v>5811</v>
      </c>
      <c r="E1817" s="26" t="n">
        <v>13186</v>
      </c>
      <c r="F1817" s="26" t="n">
        <v>16192</v>
      </c>
      <c r="G1817" s="26" t="n">
        <v>39257</v>
      </c>
      <c r="H1817" s="26" t="n">
        <v>20568</v>
      </c>
      <c r="I1817" s="26" t="n">
        <v>9672</v>
      </c>
      <c r="J1817" s="19" t="n">
        <v>11858.30053432552</v>
      </c>
      <c r="K1817" s="37" t="n">
        <v>0.1072688502310772</v>
      </c>
    </row>
    <row r="1818">
      <c r="A1818" s="34" t="inlineStr">
        <is>
          <t>AGA SPK-tilskudd</t>
        </is>
      </c>
      <c r="B1818" s="34" t="inlineStr">
        <is>
          <t>Region Vest</t>
        </is>
      </c>
      <c r="C1818" s="34" t="inlineStr">
        <is>
          <t>Driftsavdelingen</t>
        </is>
      </c>
      <c r="D1818" s="18" t="n"/>
      <c r="E1818" s="18" t="n"/>
      <c r="F1818" s="18" t="n">
        <v>1055</v>
      </c>
      <c r="G1818" s="18" t="n"/>
      <c r="H1818" s="18" t="n"/>
      <c r="I1818" s="18" t="n"/>
      <c r="J1818" s="19" t="n">
        <v>0</v>
      </c>
      <c r="K1818" s="35" t="n">
        <v>0.065</v>
      </c>
    </row>
    <row r="1819">
      <c r="A1819" s="36" t="inlineStr">
        <is>
          <t>AGA SPK-tilskudd</t>
        </is>
      </c>
      <c r="B1819" s="36" t="inlineStr">
        <is>
          <t>Region Vest</t>
        </is>
      </c>
      <c r="C1819" s="36" t="inlineStr">
        <is>
          <t>Driftsavdelingen</t>
        </is>
      </c>
      <c r="D1819" s="26" t="n">
        <v>1984</v>
      </c>
      <c r="E1819" s="26" t="n">
        <v>4110</v>
      </c>
      <c r="F1819" s="26" t="n">
        <v>5219</v>
      </c>
      <c r="G1819" s="26" t="n">
        <v>12245</v>
      </c>
      <c r="H1819" s="26" t="n">
        <v>6989</v>
      </c>
      <c r="I1819" s="26" t="n">
        <v>3220</v>
      </c>
      <c r="J1819" s="19" t="n">
        <v>3908.242950924366</v>
      </c>
      <c r="K1819" s="37" t="n">
        <v>0.1016987096620023</v>
      </c>
    </row>
    <row r="1820">
      <c r="A1820" s="34" t="inlineStr">
        <is>
          <t>AGA SPK-tilskudd</t>
        </is>
      </c>
      <c r="B1820" s="34" t="inlineStr">
        <is>
          <t>Region Vest</t>
        </is>
      </c>
      <c r="C1820" s="34" t="inlineStr">
        <is>
          <t>Driftsavdelingen</t>
        </is>
      </c>
      <c r="D1820" s="18" t="n"/>
      <c r="E1820" s="18" t="n"/>
      <c r="F1820" s="18" t="n">
        <v>4926</v>
      </c>
      <c r="G1820" s="18" t="n"/>
      <c r="H1820" s="18" t="n">
        <v>7144</v>
      </c>
      <c r="I1820" s="18" t="n"/>
      <c r="J1820" s="19" t="n">
        <v>0</v>
      </c>
      <c r="K1820" s="35" t="n">
        <v>0.065</v>
      </c>
    </row>
    <row r="1821">
      <c r="A1821" s="36" t="inlineStr">
        <is>
          <t>AGA SPK-tilskudd</t>
        </is>
      </c>
      <c r="B1821" s="36" t="inlineStr">
        <is>
          <t>Region Vest</t>
        </is>
      </c>
      <c r="C1821" s="36" t="inlineStr">
        <is>
          <t>Driftsavdelingen</t>
        </is>
      </c>
      <c r="D1821" s="26" t="n"/>
      <c r="E1821" s="26" t="n">
        <v>3248</v>
      </c>
      <c r="F1821" s="26" t="n"/>
      <c r="G1821" s="26" t="n"/>
      <c r="H1821" s="26" t="n"/>
      <c r="I1821" s="26" t="n"/>
      <c r="J1821" s="19" t="n">
        <v>0</v>
      </c>
      <c r="K1821" s="37" t="n">
        <v>0.065</v>
      </c>
    </row>
    <row r="1822">
      <c r="A1822" s="34" t="inlineStr">
        <is>
          <t>AGA SPK-tilskudd</t>
        </is>
      </c>
      <c r="B1822" s="34" t="inlineStr">
        <is>
          <t>Region Vest</t>
        </is>
      </c>
      <c r="C1822" s="34" t="inlineStr">
        <is>
          <t>Driftsavdelingen</t>
        </is>
      </c>
      <c r="D1822" s="18" t="n">
        <v>5365</v>
      </c>
      <c r="E1822" s="18" t="n">
        <v>32225</v>
      </c>
      <c r="F1822" s="18" t="n">
        <v>3177</v>
      </c>
      <c r="G1822" s="18" t="n">
        <v>16605</v>
      </c>
      <c r="H1822" s="18" t="n">
        <v>23132</v>
      </c>
      <c r="I1822" s="18" t="n">
        <v>8914</v>
      </c>
      <c r="J1822" s="19" t="n">
        <v>10921.28627248981</v>
      </c>
      <c r="K1822" s="35" t="n">
        <v>0.106880102853147</v>
      </c>
    </row>
    <row r="1823">
      <c r="A1823" s="36" t="inlineStr">
        <is>
          <t>AGA SPK-tilskudd</t>
        </is>
      </c>
      <c r="B1823" s="36" t="inlineStr">
        <is>
          <t>Region Vest</t>
        </is>
      </c>
      <c r="C1823" s="36" t="inlineStr">
        <is>
          <t>Driftsavdelingen</t>
        </is>
      </c>
      <c r="D1823" s="26" t="n">
        <v>-183570</v>
      </c>
      <c r="E1823" s="26" t="n">
        <v>-124543</v>
      </c>
      <c r="F1823" s="26" t="n">
        <v>-48100</v>
      </c>
      <c r="G1823" s="26" t="n">
        <v>-4264</v>
      </c>
      <c r="H1823" s="26" t="n"/>
      <c r="I1823" s="26" t="n">
        <v>-359842</v>
      </c>
      <c r="J1823" s="19" t="n">
        <v>-408141.7924499999</v>
      </c>
      <c r="K1823" s="37" t="n">
        <v>0.065</v>
      </c>
    </row>
    <row r="1824">
      <c r="A1824" s="34" t="inlineStr">
        <is>
          <t>AGA SPK-tilskudd</t>
        </is>
      </c>
      <c r="B1824" s="34" t="inlineStr">
        <is>
          <t>Region Vest</t>
        </is>
      </c>
      <c r="C1824" s="34" t="inlineStr">
        <is>
          <t>Eikelund US avd. beh. høy</t>
        </is>
      </c>
      <c r="D1824" s="18" t="n"/>
      <c r="E1824" s="18" t="n"/>
      <c r="F1824" s="18" t="n"/>
      <c r="G1824" s="18" t="n"/>
      <c r="H1824" s="18" t="n"/>
      <c r="I1824" s="18" t="n">
        <v>92724</v>
      </c>
      <c r="J1824" s="19" t="n">
        <v>105169.8789</v>
      </c>
      <c r="K1824" s="35" t="n">
        <v>0.065</v>
      </c>
    </row>
    <row r="1825">
      <c r="A1825" s="36" t="inlineStr">
        <is>
          <t>AGA SPK-tilskudd</t>
        </is>
      </c>
      <c r="B1825" s="36" t="inlineStr">
        <is>
          <t>Region Vest</t>
        </is>
      </c>
      <c r="C1825" s="36" t="inlineStr">
        <is>
          <t>Eikelund US avd. beh. høy</t>
        </is>
      </c>
      <c r="D1825" s="26" t="n"/>
      <c r="E1825" s="26" t="n"/>
      <c r="F1825" s="26" t="n"/>
      <c r="G1825" s="26" t="n"/>
      <c r="H1825" s="26" t="n"/>
      <c r="I1825" s="26" t="n">
        <v>78580</v>
      </c>
      <c r="J1825" s="19" t="n">
        <v>89127.40049999999</v>
      </c>
      <c r="K1825" s="37" t="n">
        <v>0.065</v>
      </c>
    </row>
    <row r="1826">
      <c r="A1826" s="34" t="inlineStr">
        <is>
          <t>AGA SPK-tilskudd</t>
        </is>
      </c>
      <c r="B1826" s="34" t="inlineStr">
        <is>
          <t>Region Vest</t>
        </is>
      </c>
      <c r="C1826" s="34" t="inlineStr">
        <is>
          <t>Eikelund US avd. beh. høy</t>
        </is>
      </c>
      <c r="D1826" s="18" t="n"/>
      <c r="E1826" s="18" t="n"/>
      <c r="F1826" s="18" t="n"/>
      <c r="G1826" s="18" t="n"/>
      <c r="H1826" s="18" t="n"/>
      <c r="I1826" s="18" t="n">
        <v>32255</v>
      </c>
      <c r="J1826" s="19" t="n">
        <v>36584.42737499999</v>
      </c>
      <c r="K1826" s="35" t="n">
        <v>0.065</v>
      </c>
    </row>
    <row r="1827">
      <c r="A1827" s="36" t="inlineStr">
        <is>
          <t>AGA SPK-tilskudd</t>
        </is>
      </c>
      <c r="B1827" s="36" t="inlineStr">
        <is>
          <t>Region Vest</t>
        </is>
      </c>
      <c r="C1827" s="36" t="inlineStr">
        <is>
          <t>Eikelund US avd. beh. høy</t>
        </is>
      </c>
      <c r="D1827" s="26" t="n"/>
      <c r="E1827" s="26" t="n"/>
      <c r="F1827" s="26" t="n"/>
      <c r="G1827" s="26" t="n"/>
      <c r="H1827" s="26" t="n"/>
      <c r="I1827" s="26" t="n">
        <v>34889</v>
      </c>
      <c r="J1827" s="19" t="n">
        <v>39571.976025</v>
      </c>
      <c r="K1827" s="37" t="n">
        <v>0.065</v>
      </c>
    </row>
    <row r="1828">
      <c r="A1828" s="34" t="inlineStr">
        <is>
          <t>AGA SPK-tilskudd</t>
        </is>
      </c>
      <c r="B1828" s="34" t="inlineStr">
        <is>
          <t>Region Vest</t>
        </is>
      </c>
      <c r="C1828" s="34" t="inlineStr">
        <is>
          <t>Eikelund US avd. beh. høy</t>
        </is>
      </c>
      <c r="D1828" s="18" t="n"/>
      <c r="E1828" s="18" t="n"/>
      <c r="F1828" s="18" t="n"/>
      <c r="G1828" s="18" t="n"/>
      <c r="H1828" s="18" t="n"/>
      <c r="I1828" s="18" t="n">
        <v>2722</v>
      </c>
      <c r="J1828" s="19" t="n">
        <v>3087.36045</v>
      </c>
      <c r="K1828" s="35" t="n">
        <v>0.065</v>
      </c>
    </row>
    <row r="1829">
      <c r="A1829" s="36" t="inlineStr">
        <is>
          <t>AGA SPK-tilskudd</t>
        </is>
      </c>
      <c r="B1829" s="36" t="inlineStr">
        <is>
          <t>Region Vest</t>
        </is>
      </c>
      <c r="C1829" s="36" t="inlineStr">
        <is>
          <t>Eikelund US avd. beh. høy</t>
        </is>
      </c>
      <c r="D1829" s="26" t="n"/>
      <c r="E1829" s="26" t="n"/>
      <c r="F1829" s="26" t="n"/>
      <c r="G1829" s="26" t="n"/>
      <c r="H1829" s="26" t="n"/>
      <c r="I1829" s="26" t="n">
        <v>3096</v>
      </c>
      <c r="J1829" s="19" t="n">
        <v>3511.560599999999</v>
      </c>
      <c r="K1829" s="37" t="n">
        <v>0.065</v>
      </c>
    </row>
    <row r="1830">
      <c r="A1830" s="34" t="inlineStr">
        <is>
          <t>AGA SPK-tilskudd</t>
        </is>
      </c>
      <c r="B1830" s="34" t="inlineStr">
        <is>
          <t>Region Vest</t>
        </is>
      </c>
      <c r="C1830" s="34" t="inlineStr">
        <is>
          <t>Eikelund US avd. beh. høy</t>
        </is>
      </c>
      <c r="D1830" s="18" t="n"/>
      <c r="E1830" s="18" t="n"/>
      <c r="F1830" s="18" t="n"/>
      <c r="G1830" s="18" t="n"/>
      <c r="H1830" s="18" t="n"/>
      <c r="I1830" s="18" t="n">
        <v>10704</v>
      </c>
      <c r="J1830" s="19" t="n">
        <v>12140.7444</v>
      </c>
      <c r="K1830" s="35" t="n">
        <v>0.065</v>
      </c>
    </row>
    <row r="1831">
      <c r="A1831" s="36" t="inlineStr">
        <is>
          <t>AGA SPK-tilskudd</t>
        </is>
      </c>
      <c r="B1831" s="36" t="inlineStr">
        <is>
          <t>Region Vest</t>
        </is>
      </c>
      <c r="C1831" s="36" t="inlineStr">
        <is>
          <t>Eikelund US avd. beh. høy</t>
        </is>
      </c>
      <c r="D1831" s="26" t="n"/>
      <c r="E1831" s="26" t="n"/>
      <c r="F1831" s="26" t="n"/>
      <c r="G1831" s="26" t="n"/>
      <c r="H1831" s="26" t="n"/>
      <c r="I1831" s="26" t="n">
        <v>697</v>
      </c>
      <c r="J1831" s="19" t="n">
        <v>790.5548249999998</v>
      </c>
      <c r="K1831" s="37" t="n">
        <v>0.065</v>
      </c>
    </row>
    <row r="1832">
      <c r="A1832" s="34" t="inlineStr">
        <is>
          <t>AGA SPK-tilskudd</t>
        </is>
      </c>
      <c r="B1832" s="34" t="inlineStr">
        <is>
          <t>Region Vest</t>
        </is>
      </c>
      <c r="C1832" s="34" t="inlineStr">
        <is>
          <t>Eikelund US avd. beh. høy</t>
        </is>
      </c>
      <c r="D1832" s="18" t="n"/>
      <c r="E1832" s="18" t="n"/>
      <c r="F1832" s="18" t="n"/>
      <c r="G1832" s="18" t="n"/>
      <c r="H1832" s="18" t="n"/>
      <c r="I1832" s="18" t="n">
        <v>2343</v>
      </c>
      <c r="J1832" s="19" t="n">
        <v>2657.489175</v>
      </c>
      <c r="K1832" s="35" t="n">
        <v>0.065</v>
      </c>
    </row>
    <row r="1833">
      <c r="A1833" s="36" t="inlineStr">
        <is>
          <t>AGA SPK-tilskudd</t>
        </is>
      </c>
      <c r="B1833" s="36" t="inlineStr">
        <is>
          <t>Region Vest</t>
        </is>
      </c>
      <c r="C1833" s="36" t="inlineStr">
        <is>
          <t>Eikelund US avd. beh. høy</t>
        </is>
      </c>
      <c r="D1833" s="26" t="n"/>
      <c r="E1833" s="26" t="n"/>
      <c r="F1833" s="26" t="n"/>
      <c r="G1833" s="26" t="n"/>
      <c r="H1833" s="26" t="n"/>
      <c r="I1833" s="26" t="n">
        <v>-1437</v>
      </c>
      <c r="J1833" s="19" t="n">
        <v>-1629.881325</v>
      </c>
      <c r="K1833" s="37" t="n">
        <v>0.065</v>
      </c>
    </row>
    <row r="1834">
      <c r="A1834" s="34" t="inlineStr">
        <is>
          <t>AGA SPK-tilskudd</t>
        </is>
      </c>
      <c r="B1834" s="34" t="inlineStr">
        <is>
          <t>Region Vest</t>
        </is>
      </c>
      <c r="C1834" s="34" t="inlineStr">
        <is>
          <t>Eikelund US avd. beh. høy</t>
        </is>
      </c>
      <c r="D1834" s="18" t="n"/>
      <c r="E1834" s="18" t="n"/>
      <c r="F1834" s="18" t="n"/>
      <c r="G1834" s="18" t="n"/>
      <c r="H1834" s="18" t="n"/>
      <c r="I1834" s="18" t="n">
        <v>9832</v>
      </c>
      <c r="J1834" s="19" t="n">
        <v>11151.7002</v>
      </c>
      <c r="K1834" s="35" t="n">
        <v>0.065</v>
      </c>
    </row>
    <row r="1835">
      <c r="A1835" s="36" t="inlineStr">
        <is>
          <t>AGA SPK-tilskudd</t>
        </is>
      </c>
      <c r="B1835" s="36" t="inlineStr">
        <is>
          <t>Region Vest</t>
        </is>
      </c>
      <c r="C1835" s="36" t="inlineStr">
        <is>
          <t>Eikelund US avd. beh. høy</t>
        </is>
      </c>
      <c r="D1835" s="26" t="n"/>
      <c r="E1835" s="26" t="n"/>
      <c r="F1835" s="26" t="n"/>
      <c r="G1835" s="26" t="n"/>
      <c r="H1835" s="26" t="n"/>
      <c r="I1835" s="26" t="n">
        <v>-8641</v>
      </c>
      <c r="J1835" s="19" t="n">
        <v>-9800.838224999998</v>
      </c>
      <c r="K1835" s="37" t="n">
        <v>0.065</v>
      </c>
    </row>
    <row r="1836">
      <c r="A1836" s="34" t="inlineStr">
        <is>
          <t>AGA SPK-tilskudd</t>
        </is>
      </c>
      <c r="B1836" s="34" t="inlineStr">
        <is>
          <t>Region Vest</t>
        </is>
      </c>
      <c r="C1836" s="34" t="inlineStr">
        <is>
          <t>Eikelund US avd. beh. høy</t>
        </is>
      </c>
      <c r="D1836" s="18" t="n"/>
      <c r="E1836" s="18" t="n"/>
      <c r="F1836" s="18" t="n"/>
      <c r="G1836" s="18" t="n"/>
      <c r="H1836" s="18" t="n"/>
      <c r="I1836" s="18" t="n">
        <v>-519231</v>
      </c>
      <c r="J1836" s="19" t="n">
        <v>-588924.7809749999</v>
      </c>
      <c r="K1836" s="35" t="n">
        <v>0.065</v>
      </c>
    </row>
    <row r="1837">
      <c r="A1837" s="36" t="inlineStr">
        <is>
          <t>AGA SPK-tilskudd</t>
        </is>
      </c>
      <c r="B1837" s="36" t="inlineStr">
        <is>
          <t>Region Vest</t>
        </is>
      </c>
      <c r="C1837" s="36" t="inlineStr">
        <is>
          <t>Eikelund ungdomssenter behandling høy</t>
        </is>
      </c>
      <c r="D1837" s="26" t="n"/>
      <c r="E1837" s="26" t="n"/>
      <c r="F1837" s="26" t="n"/>
      <c r="G1837" s="26" t="n"/>
      <c r="H1837" s="26" t="n"/>
      <c r="I1837" s="26" t="n">
        <v>12415</v>
      </c>
      <c r="J1837" s="19" t="n">
        <v>14081.403375</v>
      </c>
      <c r="K1837" s="37" t="n">
        <v>0.065</v>
      </c>
    </row>
    <row r="1838">
      <c r="A1838" s="34" t="inlineStr">
        <is>
          <t>AGA SPK-tilskudd</t>
        </is>
      </c>
      <c r="B1838" s="34" t="inlineStr">
        <is>
          <t>Region Vest</t>
        </is>
      </c>
      <c r="C1838" s="34" t="inlineStr">
        <is>
          <t>Eikelund ungdomssenter behandling høy</t>
        </is>
      </c>
      <c r="D1838" s="18" t="n"/>
      <c r="E1838" s="18" t="n"/>
      <c r="F1838" s="18" t="n"/>
      <c r="G1838" s="18" t="n"/>
      <c r="H1838" s="18" t="n"/>
      <c r="I1838" s="18" t="n">
        <v>771</v>
      </c>
      <c r="J1838" s="19" t="n">
        <v>874.4874749999999</v>
      </c>
      <c r="K1838" s="35" t="n">
        <v>0.065</v>
      </c>
    </row>
    <row r="1839">
      <c r="A1839" s="36" t="inlineStr">
        <is>
          <t>AGA SPK-tilskudd</t>
        </is>
      </c>
      <c r="B1839" s="36" t="inlineStr">
        <is>
          <t>Region Vest</t>
        </is>
      </c>
      <c r="C1839" s="36" t="inlineStr">
        <is>
          <t>Eikelund ungdomssenter behandling høy</t>
        </is>
      </c>
      <c r="D1839" s="26" t="n"/>
      <c r="E1839" s="26" t="n"/>
      <c r="F1839" s="26" t="n"/>
      <c r="G1839" s="26" t="n"/>
      <c r="H1839" s="26" t="n"/>
      <c r="I1839" s="26" t="n">
        <v>4758</v>
      </c>
      <c r="J1839" s="19" t="n">
        <v>5396.64255</v>
      </c>
      <c r="K1839" s="37" t="n">
        <v>0.065</v>
      </c>
    </row>
    <row r="1840">
      <c r="A1840" s="34" t="inlineStr">
        <is>
          <t>AGA SPK-tilskudd</t>
        </is>
      </c>
      <c r="B1840" s="34" t="inlineStr">
        <is>
          <t>Region Vest</t>
        </is>
      </c>
      <c r="C1840" s="34" t="inlineStr">
        <is>
          <t>Eikelund ungdomssenter behandling høy</t>
        </is>
      </c>
      <c r="D1840" s="18" t="n"/>
      <c r="E1840" s="18" t="n"/>
      <c r="F1840" s="18" t="n"/>
      <c r="G1840" s="18" t="n"/>
      <c r="H1840" s="18" t="n"/>
      <c r="I1840" s="18" t="n">
        <v>98</v>
      </c>
      <c r="J1840" s="19" t="n">
        <v>111.15405</v>
      </c>
      <c r="K1840" s="35" t="n">
        <v>0.065</v>
      </c>
    </row>
    <row r="1841">
      <c r="A1841" s="36" t="inlineStr">
        <is>
          <t>AGA SPK-tilskudd</t>
        </is>
      </c>
      <c r="B1841" s="36" t="inlineStr">
        <is>
          <t>Region Vest</t>
        </is>
      </c>
      <c r="C1841" s="36" t="inlineStr">
        <is>
          <t>Eikelund ungdomssenter behandling høy</t>
        </is>
      </c>
      <c r="D1841" s="26" t="n"/>
      <c r="E1841" s="26" t="n"/>
      <c r="F1841" s="26" t="n"/>
      <c r="G1841" s="26" t="n"/>
      <c r="H1841" s="26" t="n"/>
      <c r="I1841" s="26" t="n">
        <v>2762</v>
      </c>
      <c r="J1841" s="19" t="n">
        <v>3132.729449999999</v>
      </c>
      <c r="K1841" s="37" t="n">
        <v>0.065</v>
      </c>
    </row>
    <row r="1842">
      <c r="A1842" s="34" t="inlineStr">
        <is>
          <t>AGA SPK-tilskudd</t>
        </is>
      </c>
      <c r="B1842" s="34" t="inlineStr">
        <is>
          <t>Region Vest</t>
        </is>
      </c>
      <c r="C1842" s="34" t="inlineStr">
        <is>
          <t>Eikelund ungdomssenter behandling høy</t>
        </is>
      </c>
      <c r="D1842" s="18" t="n"/>
      <c r="E1842" s="18" t="n"/>
      <c r="F1842" s="18" t="n"/>
      <c r="G1842" s="18" t="n"/>
      <c r="H1842" s="18" t="n"/>
      <c r="I1842" s="18" t="n">
        <v>1100</v>
      </c>
      <c r="J1842" s="19" t="n">
        <v>1247.6475</v>
      </c>
      <c r="K1842" s="35" t="n">
        <v>0.065</v>
      </c>
    </row>
    <row r="1843">
      <c r="A1843" s="36" t="inlineStr">
        <is>
          <t>AGA SPK-tilskudd</t>
        </is>
      </c>
      <c r="B1843" s="36" t="inlineStr">
        <is>
          <t>Region Vest</t>
        </is>
      </c>
      <c r="C1843" s="36" t="inlineStr">
        <is>
          <t>Enhet for Inntak Bufetat region vest - avdeling Stavanger</t>
        </is>
      </c>
      <c r="D1843" s="26" t="n"/>
      <c r="E1843" s="26" t="n">
        <v>5594</v>
      </c>
      <c r="F1843" s="26" t="n"/>
      <c r="G1843" s="26" t="n"/>
      <c r="H1843" s="26" t="n">
        <v>-195</v>
      </c>
      <c r="I1843" s="26" t="n"/>
      <c r="J1843" s="19" t="n">
        <v>0</v>
      </c>
      <c r="K1843" s="37" t="n">
        <v>0.065</v>
      </c>
    </row>
    <row r="1844">
      <c r="A1844" s="34" t="inlineStr">
        <is>
          <t>AGA SPK-tilskudd</t>
        </is>
      </c>
      <c r="B1844" s="34" t="inlineStr">
        <is>
          <t>Region Vest</t>
        </is>
      </c>
      <c r="C1844" s="34" t="inlineStr">
        <is>
          <t>Enhet for inntak Bufetat region vest, avd. Vestland</t>
        </is>
      </c>
      <c r="D1844" s="18" t="n">
        <v>4499</v>
      </c>
      <c r="E1844" s="18" t="n">
        <v>-4499</v>
      </c>
      <c r="F1844" s="18" t="n">
        <v>6738</v>
      </c>
      <c r="G1844" s="18" t="n"/>
      <c r="H1844" s="18" t="n"/>
      <c r="I1844" s="18" t="n"/>
      <c r="J1844" s="19" t="n">
        <v>0</v>
      </c>
      <c r="K1844" s="35" t="n">
        <v>0.065</v>
      </c>
    </row>
    <row r="1845">
      <c r="A1845" s="36" t="inlineStr">
        <is>
          <t>AGA SPK-tilskudd</t>
        </is>
      </c>
      <c r="B1845" s="36" t="inlineStr">
        <is>
          <t>Region Vest</t>
        </is>
      </c>
      <c r="C1845" s="36" t="inlineStr">
        <is>
          <t>Enhet for inntak Bufetat region vest, avd. Vestland</t>
        </is>
      </c>
      <c r="D1845" s="26" t="n"/>
      <c r="E1845" s="26" t="n"/>
      <c r="F1845" s="26" t="n">
        <v>1151</v>
      </c>
      <c r="G1845" s="26" t="n"/>
      <c r="H1845" s="26" t="n"/>
      <c r="I1845" s="26" t="n"/>
      <c r="J1845" s="19" t="n">
        <v>0</v>
      </c>
      <c r="K1845" s="37" t="n">
        <v>0.065</v>
      </c>
    </row>
    <row r="1846">
      <c r="A1846" s="34" t="inlineStr">
        <is>
          <t>AGA SPK-tilskudd</t>
        </is>
      </c>
      <c r="B1846" s="34" t="inlineStr">
        <is>
          <t>Region Vest</t>
        </is>
      </c>
      <c r="C1846" s="34" t="inlineStr">
        <is>
          <t>Enhet for inntak Bufetat region vest, avd. Vestland</t>
        </is>
      </c>
      <c r="D1846" s="18" t="n">
        <v>500</v>
      </c>
      <c r="E1846" s="18" t="n">
        <v>-500</v>
      </c>
      <c r="F1846" s="18" t="n">
        <v>1023</v>
      </c>
      <c r="G1846" s="18" t="n"/>
      <c r="H1846" s="18" t="n"/>
      <c r="I1846" s="18" t="n"/>
      <c r="J1846" s="19" t="n">
        <v>0</v>
      </c>
      <c r="K1846" s="35" t="n">
        <v>0.065</v>
      </c>
    </row>
    <row r="1847">
      <c r="A1847" s="36" t="inlineStr">
        <is>
          <t>AGA SPK-tilskudd</t>
        </is>
      </c>
      <c r="B1847" s="36" t="inlineStr">
        <is>
          <t>Region Vest</t>
        </is>
      </c>
      <c r="C1847" s="36" t="inlineStr">
        <is>
          <t>Enhet for inntak Bufetat region vest, avd. Vestland</t>
        </is>
      </c>
      <c r="D1847" s="26" t="n"/>
      <c r="E1847" s="26" t="n"/>
      <c r="F1847" s="26" t="n">
        <v>1029</v>
      </c>
      <c r="G1847" s="26" t="n"/>
      <c r="H1847" s="26" t="n"/>
      <c r="I1847" s="26" t="n"/>
      <c r="J1847" s="19" t="n">
        <v>0</v>
      </c>
      <c r="K1847" s="37" t="n">
        <v>0.065</v>
      </c>
    </row>
    <row r="1848">
      <c r="A1848" s="34" t="inlineStr">
        <is>
          <t>AGA SPK-tilskudd</t>
        </is>
      </c>
      <c r="B1848" s="34" t="inlineStr">
        <is>
          <t>Region Vest</t>
        </is>
      </c>
      <c r="C1848" s="34" t="inlineStr">
        <is>
          <t>Enhet for inntak Bufetat region vest, avd. Vestland</t>
        </is>
      </c>
      <c r="D1848" s="18" t="n"/>
      <c r="E1848" s="18" t="n"/>
      <c r="F1848" s="18" t="n">
        <v>702</v>
      </c>
      <c r="G1848" s="18" t="n"/>
      <c r="H1848" s="18" t="n"/>
      <c r="I1848" s="18" t="n"/>
      <c r="J1848" s="19" t="n">
        <v>0</v>
      </c>
      <c r="K1848" s="35" t="n">
        <v>0.065</v>
      </c>
    </row>
    <row r="1849">
      <c r="A1849" s="36" t="inlineStr">
        <is>
          <t>AGA SPK-tilskudd</t>
        </is>
      </c>
      <c r="B1849" s="36" t="inlineStr">
        <is>
          <t>Region Vest</t>
        </is>
      </c>
      <c r="C1849" s="36" t="inlineStr">
        <is>
          <t>Enhet for inntak Bufetat region vest, avd. Vestland</t>
        </is>
      </c>
      <c r="D1849" s="26" t="n"/>
      <c r="E1849" s="26" t="n"/>
      <c r="F1849" s="26" t="n">
        <v>3360</v>
      </c>
      <c r="G1849" s="26" t="n"/>
      <c r="H1849" s="26" t="n"/>
      <c r="I1849" s="26" t="n"/>
      <c r="J1849" s="19" t="n">
        <v>0</v>
      </c>
      <c r="K1849" s="37" t="n">
        <v>0.065</v>
      </c>
    </row>
    <row r="1850">
      <c r="A1850" s="34" t="inlineStr">
        <is>
          <t>AGA SPK-tilskudd</t>
        </is>
      </c>
      <c r="B1850" s="34" t="inlineStr">
        <is>
          <t>Region Vest</t>
        </is>
      </c>
      <c r="C1850" s="34" t="inlineStr">
        <is>
          <t>Enhet for inntak Bufetat region vest, avd. Vestland</t>
        </is>
      </c>
      <c r="D1850" s="18" t="n"/>
      <c r="E1850" s="18" t="n"/>
      <c r="F1850" s="18" t="n"/>
      <c r="G1850" s="18" t="n"/>
      <c r="H1850" s="18" t="n"/>
      <c r="I1850" s="18" t="n">
        <v>1594</v>
      </c>
      <c r="J1850" s="19" t="n">
        <v>1807.95465</v>
      </c>
      <c r="K1850" s="35" t="n">
        <v>0.065</v>
      </c>
    </row>
    <row r="1851">
      <c r="A1851" s="36" t="inlineStr">
        <is>
          <t>AGA SPK-tilskudd</t>
        </is>
      </c>
      <c r="B1851" s="36" t="inlineStr">
        <is>
          <t>Region Vest</t>
        </is>
      </c>
      <c r="C1851" s="36" t="inlineStr">
        <is>
          <t>Enhet for inntak Bufetat region vest, avd. Vestland</t>
        </is>
      </c>
      <c r="D1851" s="26" t="n"/>
      <c r="E1851" s="26" t="n"/>
      <c r="F1851" s="26" t="n">
        <v>298</v>
      </c>
      <c r="G1851" s="26" t="n"/>
      <c r="H1851" s="26" t="n"/>
      <c r="I1851" s="26" t="n"/>
      <c r="J1851" s="19" t="n">
        <v>0</v>
      </c>
      <c r="K1851" s="37" t="n">
        <v>0.065</v>
      </c>
    </row>
    <row r="1852">
      <c r="A1852" s="34" t="inlineStr">
        <is>
          <t>AGA SPK-tilskudd</t>
        </is>
      </c>
      <c r="B1852" s="34" t="inlineStr">
        <is>
          <t>Region Vest</t>
        </is>
      </c>
      <c r="C1852" s="34" t="inlineStr">
        <is>
          <t>Enhet for inntak Bufetat region vest, avd. Vestland</t>
        </is>
      </c>
      <c r="D1852" s="18" t="n"/>
      <c r="E1852" s="18" t="n">
        <v>83</v>
      </c>
      <c r="F1852" s="18" t="n"/>
      <c r="G1852" s="18" t="n"/>
      <c r="H1852" s="18" t="n"/>
      <c r="I1852" s="18" t="n">
        <v>269</v>
      </c>
      <c r="J1852" s="19" t="n">
        <v>420.3125</v>
      </c>
      <c r="K1852" s="35" t="n">
        <v>0.25</v>
      </c>
    </row>
    <row r="1853">
      <c r="A1853" s="36" t="inlineStr">
        <is>
          <t>AGA SPK-tilskudd</t>
        </is>
      </c>
      <c r="B1853" s="36" t="inlineStr">
        <is>
          <t>Region Vest</t>
        </is>
      </c>
      <c r="C1853" s="36" t="inlineStr">
        <is>
          <t>Fagforening</t>
        </is>
      </c>
      <c r="D1853" s="26" t="n">
        <v>4178</v>
      </c>
      <c r="E1853" s="26" t="n"/>
      <c r="F1853" s="26" t="n"/>
      <c r="G1853" s="26" t="n"/>
      <c r="H1853" s="26" t="n"/>
      <c r="I1853" s="26" t="n"/>
      <c r="J1853" s="19" t="n">
        <v>0</v>
      </c>
      <c r="K1853" s="37" t="n">
        <v>0.065</v>
      </c>
    </row>
    <row r="1854">
      <c r="A1854" s="34" t="inlineStr">
        <is>
          <t>AGA SPK-tilskudd</t>
        </is>
      </c>
      <c r="B1854" s="34" t="inlineStr">
        <is>
          <t>Region Vest</t>
        </is>
      </c>
      <c r="C1854" s="34" t="inlineStr">
        <is>
          <t>Fagforening</t>
        </is>
      </c>
      <c r="D1854" s="18" t="n">
        <v>1457</v>
      </c>
      <c r="E1854" s="18" t="n"/>
      <c r="F1854" s="18" t="n"/>
      <c r="G1854" s="18" t="n"/>
      <c r="H1854" s="18" t="n"/>
      <c r="I1854" s="18" t="n">
        <v>4184</v>
      </c>
      <c r="J1854" s="19" t="n">
        <v>6380.350330478352</v>
      </c>
      <c r="K1854" s="35" t="n">
        <v>0.2348847426185925</v>
      </c>
    </row>
    <row r="1855">
      <c r="A1855" s="36" t="inlineStr">
        <is>
          <t>AGA SPK-tilskudd</t>
        </is>
      </c>
      <c r="B1855" s="36" t="inlineStr">
        <is>
          <t>Region Vest</t>
        </is>
      </c>
      <c r="C1855" s="36" t="inlineStr">
        <is>
          <t>Fagforening</t>
        </is>
      </c>
      <c r="D1855" s="26" t="n">
        <v>360</v>
      </c>
      <c r="E1855" s="26" t="n"/>
      <c r="F1855" s="26" t="n"/>
      <c r="G1855" s="26" t="n"/>
      <c r="H1855" s="26" t="n"/>
      <c r="I1855" s="26" t="n"/>
      <c r="J1855" s="19" t="n">
        <v>0</v>
      </c>
      <c r="K1855" s="37" t="n">
        <v>0.065</v>
      </c>
    </row>
    <row r="1856">
      <c r="A1856" s="34" t="inlineStr">
        <is>
          <t>AGA SPK-tilskudd</t>
        </is>
      </c>
      <c r="B1856" s="34" t="inlineStr">
        <is>
          <t>Region Vest</t>
        </is>
      </c>
      <c r="C1856" s="34" t="inlineStr">
        <is>
          <t>Fagforening</t>
        </is>
      </c>
      <c r="D1856" s="18" t="n">
        <v>57100</v>
      </c>
      <c r="E1856" s="18" t="n"/>
      <c r="F1856" s="18" t="n"/>
      <c r="G1856" s="18" t="n"/>
      <c r="H1856" s="18" t="n"/>
      <c r="I1856" s="18" t="n"/>
      <c r="J1856" s="19" t="n">
        <v>0</v>
      </c>
      <c r="K1856" s="35" t="n">
        <v>0.065</v>
      </c>
    </row>
    <row r="1857">
      <c r="A1857" s="36" t="inlineStr">
        <is>
          <t>AGA SPK-tilskudd</t>
        </is>
      </c>
      <c r="B1857" s="36" t="inlineStr">
        <is>
          <t>Region Vest</t>
        </is>
      </c>
      <c r="C1857" s="36" t="inlineStr">
        <is>
          <t>Fagforening</t>
        </is>
      </c>
      <c r="D1857" s="26" t="n">
        <v>360</v>
      </c>
      <c r="E1857" s="26" t="n"/>
      <c r="F1857" s="26" t="n"/>
      <c r="G1857" s="26" t="n"/>
      <c r="H1857" s="26" t="n"/>
      <c r="I1857" s="26" t="n"/>
      <c r="J1857" s="19" t="n">
        <v>0</v>
      </c>
      <c r="K1857" s="37" t="n">
        <v>0.065</v>
      </c>
    </row>
    <row r="1858">
      <c r="A1858" s="34" t="inlineStr">
        <is>
          <t>AGA SPK-tilskudd</t>
        </is>
      </c>
      <c r="B1858" s="34" t="inlineStr">
        <is>
          <t>Region Vest</t>
        </is>
      </c>
      <c r="C1858" s="34" t="inlineStr">
        <is>
          <t>Fagforening</t>
        </is>
      </c>
      <c r="D1858" s="18" t="n">
        <v>193</v>
      </c>
      <c r="E1858" s="18" t="n"/>
      <c r="F1858" s="18" t="n"/>
      <c r="G1858" s="18" t="n"/>
      <c r="H1858" s="18" t="n"/>
      <c r="I1858" s="18" t="n"/>
      <c r="J1858" s="19" t="n">
        <v>0</v>
      </c>
      <c r="K1858" s="35" t="n">
        <v>0.065</v>
      </c>
    </row>
    <row r="1859">
      <c r="A1859" s="36" t="inlineStr">
        <is>
          <t>AGA SPK-tilskudd</t>
        </is>
      </c>
      <c r="B1859" s="36" t="inlineStr">
        <is>
          <t>Region Vest</t>
        </is>
      </c>
      <c r="C1859" s="36" t="inlineStr">
        <is>
          <t>Fellestj. Solheimsviken</t>
        </is>
      </c>
      <c r="D1859" s="26" t="n"/>
      <c r="E1859" s="26" t="n">
        <v>156</v>
      </c>
      <c r="F1859" s="26" t="n"/>
      <c r="G1859" s="26" t="n"/>
      <c r="H1859" s="26" t="n"/>
      <c r="I1859" s="26" t="n"/>
      <c r="J1859" s="19" t="n">
        <v>0</v>
      </c>
      <c r="K1859" s="37" t="n">
        <v>0.065</v>
      </c>
    </row>
    <row r="1860">
      <c r="A1860" s="34" t="inlineStr">
        <is>
          <t>AGA SPK-tilskudd</t>
        </is>
      </c>
      <c r="B1860" s="34" t="inlineStr">
        <is>
          <t>Region Vest</t>
        </is>
      </c>
      <c r="C1860" s="34" t="inlineStr">
        <is>
          <t>Fellestjeneste Statens hus, Stavanger</t>
        </is>
      </c>
      <c r="D1860" s="18" t="n"/>
      <c r="E1860" s="18" t="n"/>
      <c r="F1860" s="18" t="n"/>
      <c r="G1860" s="18" t="n"/>
      <c r="H1860" s="18" t="n"/>
      <c r="I1860" s="18" t="n">
        <v>196</v>
      </c>
      <c r="J1860" s="19" t="n">
        <v>222.3081</v>
      </c>
      <c r="K1860" s="35" t="n">
        <v>0.065</v>
      </c>
    </row>
    <row r="1861">
      <c r="A1861" s="36" t="inlineStr">
        <is>
          <t>AGA SPK-tilskudd</t>
        </is>
      </c>
      <c r="B1861" s="36" t="inlineStr">
        <is>
          <t>Region Vest</t>
        </is>
      </c>
      <c r="C1861" s="36" t="inlineStr">
        <is>
          <t>Fellestjeneste Statens hus, Stavanger</t>
        </is>
      </c>
      <c r="D1861" s="26" t="n">
        <v>476</v>
      </c>
      <c r="E1861" s="26" t="n">
        <v>557</v>
      </c>
      <c r="F1861" s="26" t="n">
        <v>1097</v>
      </c>
      <c r="G1861" s="26" t="n">
        <v>1145</v>
      </c>
      <c r="H1861" s="26" t="n">
        <v>960</v>
      </c>
      <c r="I1861" s="26" t="n">
        <v>387</v>
      </c>
      <c r="J1861" s="19" t="n">
        <v>356.2481107992415</v>
      </c>
      <c r="K1861" s="37" t="n">
        <v>-0.04055341263663448</v>
      </c>
    </row>
    <row r="1862">
      <c r="A1862" s="34" t="inlineStr">
        <is>
          <t>AGA SPK-tilskudd</t>
        </is>
      </c>
      <c r="B1862" s="34" t="inlineStr">
        <is>
          <t>Region Vest</t>
        </is>
      </c>
      <c r="C1862" s="34" t="inlineStr">
        <is>
          <t>Fellestjenester, Solheimsviken 11, Bergen</t>
        </is>
      </c>
      <c r="D1862" s="18" t="n"/>
      <c r="E1862" s="18" t="n"/>
      <c r="F1862" s="18" t="n">
        <v>61</v>
      </c>
      <c r="G1862" s="18" t="n"/>
      <c r="H1862" s="18" t="n"/>
      <c r="I1862" s="18" t="n"/>
      <c r="J1862" s="19" t="n">
        <v>0</v>
      </c>
      <c r="K1862" s="35" t="n">
        <v>0.065</v>
      </c>
    </row>
    <row r="1863">
      <c r="A1863" s="36" t="inlineStr">
        <is>
          <t>AGA SPK-tilskudd</t>
        </is>
      </c>
      <c r="B1863" s="36" t="inlineStr">
        <is>
          <t>Region Vest</t>
        </is>
      </c>
      <c r="C1863" s="36" t="inlineStr">
        <is>
          <t>Fellestjenester, Solheimsviken 11, Bergen</t>
        </is>
      </c>
      <c r="D1863" s="26" t="n"/>
      <c r="E1863" s="26" t="n"/>
      <c r="F1863" s="26" t="n"/>
      <c r="G1863" s="26" t="n"/>
      <c r="H1863" s="26" t="n"/>
      <c r="I1863" s="26" t="n">
        <v>98</v>
      </c>
      <c r="J1863" s="19" t="n">
        <v>111.15405</v>
      </c>
      <c r="K1863" s="37" t="n">
        <v>0.065</v>
      </c>
    </row>
    <row r="1864">
      <c r="A1864" s="34" t="inlineStr">
        <is>
          <t>AGA SPK-tilskudd</t>
        </is>
      </c>
      <c r="B1864" s="34" t="inlineStr">
        <is>
          <t>Region Vest</t>
        </is>
      </c>
      <c r="C1864" s="34" t="inlineStr">
        <is>
          <t>Fellestjenester, Solheimsviken 11, Bergen</t>
        </is>
      </c>
      <c r="D1864" s="18" t="n">
        <v>39</v>
      </c>
      <c r="E1864" s="18" t="n">
        <v>3919</v>
      </c>
      <c r="F1864" s="18" t="n">
        <v>9093</v>
      </c>
      <c r="G1864" s="18" t="n">
        <v>3521</v>
      </c>
      <c r="H1864" s="18" t="n">
        <v>3906</v>
      </c>
      <c r="I1864" s="18" t="n">
        <v>2050</v>
      </c>
      <c r="J1864" s="19" t="n">
        <v>3203.125</v>
      </c>
      <c r="K1864" s="35" t="n">
        <v>0.25</v>
      </c>
    </row>
    <row r="1865">
      <c r="A1865" s="36" t="inlineStr">
        <is>
          <t>AGA SPK-tilskudd</t>
        </is>
      </c>
      <c r="B1865" s="36" t="inlineStr">
        <is>
          <t>Region Vest</t>
        </is>
      </c>
      <c r="C1865" s="36" t="inlineStr">
        <is>
          <t>Førde senter for foreldre og barn</t>
        </is>
      </c>
      <c r="D1865" s="26" t="n"/>
      <c r="E1865" s="26" t="n"/>
      <c r="F1865" s="26" t="n"/>
      <c r="G1865" s="26" t="n">
        <v>10429</v>
      </c>
      <c r="H1865" s="26" t="n">
        <v>2531</v>
      </c>
      <c r="I1865" s="26" t="n"/>
      <c r="J1865" s="19" t="n">
        <v>0</v>
      </c>
      <c r="K1865" s="37" t="n">
        <v>0.065</v>
      </c>
    </row>
    <row r="1866">
      <c r="A1866" s="34" t="inlineStr">
        <is>
          <t>AGA SPK-tilskudd</t>
        </is>
      </c>
      <c r="B1866" s="34" t="inlineStr">
        <is>
          <t>Region Vest</t>
        </is>
      </c>
      <c r="C1866" s="34" t="inlineStr">
        <is>
          <t>Inntak og fosterhjemsrekruttering (F1)</t>
        </is>
      </c>
      <c r="D1866" s="18" t="n">
        <v>1031</v>
      </c>
      <c r="E1866" s="18" t="n"/>
      <c r="F1866" s="18" t="n"/>
      <c r="G1866" s="18" t="n"/>
      <c r="H1866" s="18" t="n"/>
      <c r="I1866" s="18" t="n"/>
      <c r="J1866" s="19" t="n">
        <v>0</v>
      </c>
      <c r="K1866" s="35" t="n">
        <v>0.065</v>
      </c>
    </row>
    <row r="1867">
      <c r="A1867" s="36" t="inlineStr">
        <is>
          <t>AGA SPK-tilskudd</t>
        </is>
      </c>
      <c r="B1867" s="36" t="inlineStr">
        <is>
          <t>Region Vest</t>
        </is>
      </c>
      <c r="C1867" s="36" t="inlineStr">
        <is>
          <t>Inntak og fosterhjemsrekruttering (F1)</t>
        </is>
      </c>
      <c r="D1867" s="26" t="n">
        <v>399</v>
      </c>
      <c r="E1867" s="26" t="n"/>
      <c r="F1867" s="26" t="n"/>
      <c r="G1867" s="26" t="n">
        <v>2004</v>
      </c>
      <c r="H1867" s="26" t="n"/>
      <c r="I1867" s="26" t="n"/>
      <c r="J1867" s="19" t="n">
        <v>0</v>
      </c>
      <c r="K1867" s="37" t="n">
        <v>0.065</v>
      </c>
    </row>
    <row r="1868">
      <c r="A1868" s="34" t="inlineStr">
        <is>
          <t>AGA SPK-tilskudd</t>
        </is>
      </c>
      <c r="B1868" s="34" t="inlineStr">
        <is>
          <t>Region Vest</t>
        </is>
      </c>
      <c r="C1868" s="34" t="inlineStr">
        <is>
          <t>Kasa Ungdomssenter avd. Flatøy</t>
        </is>
      </c>
      <c r="D1868" s="18" t="n">
        <v>111112</v>
      </c>
      <c r="E1868" s="18" t="n">
        <v>91008</v>
      </c>
      <c r="F1868" s="18" t="n">
        <v>70305</v>
      </c>
      <c r="G1868" s="18" t="n">
        <v>87946</v>
      </c>
      <c r="H1868" s="18" t="n">
        <v>101283</v>
      </c>
      <c r="I1868" s="18" t="n">
        <v>105128</v>
      </c>
      <c r="J1868" s="19" t="n">
        <v>102825.6295701812</v>
      </c>
      <c r="K1868" s="35" t="n">
        <v>-0.01101094015373572</v>
      </c>
    </row>
    <row r="1869">
      <c r="A1869" s="36" t="inlineStr">
        <is>
          <t>AGA SPK-tilskudd</t>
        </is>
      </c>
      <c r="B1869" s="36" t="inlineStr">
        <is>
          <t>Region Vest</t>
        </is>
      </c>
      <c r="C1869" s="36" t="inlineStr">
        <is>
          <t>Kasa Ungdomssenter avd. Flatøy</t>
        </is>
      </c>
      <c r="D1869" s="26" t="n"/>
      <c r="E1869" s="26" t="n">
        <v>1736</v>
      </c>
      <c r="F1869" s="26" t="n"/>
      <c r="G1869" s="26" t="n"/>
      <c r="H1869" s="26" t="n"/>
      <c r="I1869" s="26" t="n">
        <v>124941</v>
      </c>
      <c r="J1869" s="19" t="n">
        <v>195220.3125</v>
      </c>
      <c r="K1869" s="37" t="n">
        <v>0.25</v>
      </c>
    </row>
    <row r="1870">
      <c r="A1870" s="34" t="inlineStr">
        <is>
          <t>AGA SPK-tilskudd</t>
        </is>
      </c>
      <c r="B1870" s="34" t="inlineStr">
        <is>
          <t>Region Vest</t>
        </is>
      </c>
      <c r="C1870" s="34" t="inlineStr">
        <is>
          <t>Kasa Ungdomssenter avd. Flatøy</t>
        </is>
      </c>
      <c r="D1870" s="18" t="n">
        <v>-1101</v>
      </c>
      <c r="E1870" s="18" t="n">
        <v>1572</v>
      </c>
      <c r="F1870" s="18" t="n">
        <v>7425</v>
      </c>
      <c r="G1870" s="18" t="n">
        <v>11720</v>
      </c>
      <c r="H1870" s="18" t="n">
        <v>1590</v>
      </c>
      <c r="I1870" s="18" t="n">
        <v>3861</v>
      </c>
      <c r="J1870" s="19" t="n">
        <v>6032.8125</v>
      </c>
      <c r="K1870" s="35" t="n">
        <v>0.25</v>
      </c>
    </row>
    <row r="1871">
      <c r="A1871" s="36" t="inlineStr">
        <is>
          <t>AGA SPK-tilskudd</t>
        </is>
      </c>
      <c r="B1871" s="36" t="inlineStr">
        <is>
          <t>Region Vest</t>
        </is>
      </c>
      <c r="C1871" s="36" t="inlineStr">
        <is>
          <t>Kasa Ungdomssenter avd. Flatøy</t>
        </is>
      </c>
      <c r="D1871" s="26" t="n">
        <v>20250</v>
      </c>
      <c r="E1871" s="26" t="n">
        <v>22288</v>
      </c>
      <c r="F1871" s="26" t="n">
        <v>23211</v>
      </c>
      <c r="G1871" s="26" t="n">
        <v>31666</v>
      </c>
      <c r="H1871" s="26" t="n">
        <v>41209</v>
      </c>
      <c r="I1871" s="26" t="n">
        <v>51325</v>
      </c>
      <c r="J1871" s="19" t="n">
        <v>74454.42778602541</v>
      </c>
      <c r="K1871" s="37" t="n">
        <v>0.2044278415273304</v>
      </c>
    </row>
    <row r="1872">
      <c r="A1872" s="34" t="inlineStr">
        <is>
          <t>AGA SPK-tilskudd</t>
        </is>
      </c>
      <c r="B1872" s="34" t="inlineStr">
        <is>
          <t>Region Vest</t>
        </is>
      </c>
      <c r="C1872" s="34" t="inlineStr">
        <is>
          <t>Kasa Ungdomssenter avd. Flatøy</t>
        </is>
      </c>
      <c r="D1872" s="18" t="n">
        <v>497</v>
      </c>
      <c r="E1872" s="18" t="n">
        <v>63</v>
      </c>
      <c r="F1872" s="18" t="n"/>
      <c r="G1872" s="18" t="n"/>
      <c r="H1872" s="18" t="n">
        <v>256</v>
      </c>
      <c r="I1872" s="18" t="n">
        <v>189</v>
      </c>
      <c r="J1872" s="19" t="n">
        <v>128.3819507182652</v>
      </c>
      <c r="K1872" s="35" t="n">
        <v>-0.1758218757332116</v>
      </c>
    </row>
    <row r="1873">
      <c r="A1873" s="36" t="inlineStr">
        <is>
          <t>AGA SPK-tilskudd</t>
        </is>
      </c>
      <c r="B1873" s="36" t="inlineStr">
        <is>
          <t>Region Vest</t>
        </is>
      </c>
      <c r="C1873" s="36" t="inlineStr">
        <is>
          <t>Kasa Ungdomssenter avd. Flatøy</t>
        </is>
      </c>
      <c r="D1873" s="26" t="n"/>
      <c r="E1873" s="26" t="n"/>
      <c r="F1873" s="26" t="n">
        <v>1277</v>
      </c>
      <c r="G1873" s="26" t="n"/>
      <c r="H1873" s="26" t="n"/>
      <c r="I1873" s="26" t="n"/>
      <c r="J1873" s="19" t="n">
        <v>0</v>
      </c>
      <c r="K1873" s="37" t="n">
        <v>0.065</v>
      </c>
    </row>
    <row r="1874">
      <c r="A1874" s="34" t="inlineStr">
        <is>
          <t>AGA SPK-tilskudd</t>
        </is>
      </c>
      <c r="B1874" s="34" t="inlineStr">
        <is>
          <t>Region Vest</t>
        </is>
      </c>
      <c r="C1874" s="34" t="inlineStr">
        <is>
          <t>Kasa Ungdomssenter avd. Flatøy</t>
        </is>
      </c>
      <c r="D1874" s="18" t="n">
        <v>2940</v>
      </c>
      <c r="E1874" s="18" t="n"/>
      <c r="F1874" s="18" t="n">
        <v>4420</v>
      </c>
      <c r="G1874" s="18" t="n">
        <v>4277</v>
      </c>
      <c r="H1874" s="18" t="n">
        <v>800</v>
      </c>
      <c r="I1874" s="18" t="n">
        <v>2787</v>
      </c>
      <c r="J1874" s="19" t="n">
        <v>2728.053129349314</v>
      </c>
      <c r="K1874" s="35" t="n">
        <v>-0.01063184469349621</v>
      </c>
    </row>
    <row r="1875">
      <c r="A1875" s="36" t="inlineStr">
        <is>
          <t>AGA SPK-tilskudd</t>
        </is>
      </c>
      <c r="B1875" s="36" t="inlineStr">
        <is>
          <t>Region Vest</t>
        </is>
      </c>
      <c r="C1875" s="36" t="inlineStr">
        <is>
          <t>Kasa Ungdomssenter avd. Flatøy</t>
        </is>
      </c>
      <c r="D1875" s="26" t="n">
        <v>498</v>
      </c>
      <c r="E1875" s="26" t="n">
        <v>1443</v>
      </c>
      <c r="F1875" s="26" t="n">
        <v>428</v>
      </c>
      <c r="G1875" s="26" t="n"/>
      <c r="H1875" s="26" t="n">
        <v>517</v>
      </c>
      <c r="I1875" s="26" t="n">
        <v>944</v>
      </c>
      <c r="J1875" s="19" t="n">
        <v>1219.183439549961</v>
      </c>
      <c r="K1875" s="37" t="n">
        <v>0.1364452828355602</v>
      </c>
    </row>
    <row r="1876">
      <c r="A1876" s="34" t="inlineStr">
        <is>
          <t>AGA SPK-tilskudd</t>
        </is>
      </c>
      <c r="B1876" s="34" t="inlineStr">
        <is>
          <t>Region Vest</t>
        </is>
      </c>
      <c r="C1876" s="34" t="inlineStr">
        <is>
          <t>Kasa Ungdomssenter avd. Flatøy</t>
        </is>
      </c>
      <c r="D1876" s="18" t="n">
        <v>75</v>
      </c>
      <c r="E1876" s="18" t="n">
        <v>10</v>
      </c>
      <c r="F1876" s="18" t="n">
        <v>351</v>
      </c>
      <c r="G1876" s="18" t="n"/>
      <c r="H1876" s="18" t="n">
        <v>102</v>
      </c>
      <c r="I1876" s="18" t="n">
        <v>555</v>
      </c>
      <c r="J1876" s="19" t="n">
        <v>867.1875</v>
      </c>
      <c r="K1876" s="35" t="n">
        <v>0.25</v>
      </c>
    </row>
    <row r="1877">
      <c r="A1877" s="36" t="inlineStr">
        <is>
          <t>AGA SPK-tilskudd</t>
        </is>
      </c>
      <c r="B1877" s="36" t="inlineStr">
        <is>
          <t>Region Vest</t>
        </is>
      </c>
      <c r="C1877" s="36" t="inlineStr">
        <is>
          <t>Kasa Ungdomssenter avd. Flatøy</t>
        </is>
      </c>
      <c r="D1877" s="26" t="n"/>
      <c r="E1877" s="26" t="n">
        <v>3530</v>
      </c>
      <c r="F1877" s="26" t="n"/>
      <c r="G1877" s="26" t="n"/>
      <c r="H1877" s="26" t="n"/>
      <c r="I1877" s="26" t="n"/>
      <c r="J1877" s="19" t="n">
        <v>0</v>
      </c>
      <c r="K1877" s="37" t="n">
        <v>0.065</v>
      </c>
    </row>
    <row r="1878">
      <c r="A1878" s="34" t="inlineStr">
        <is>
          <t>AGA SPK-tilskudd</t>
        </is>
      </c>
      <c r="B1878" s="34" t="inlineStr">
        <is>
          <t>Region Vest</t>
        </is>
      </c>
      <c r="C1878" s="34" t="inlineStr">
        <is>
          <t>Kasa Ungdomssenter avd. Flatøy</t>
        </is>
      </c>
      <c r="D1878" s="18" t="n">
        <v>11634</v>
      </c>
      <c r="E1878" s="18" t="n">
        <v>1457</v>
      </c>
      <c r="F1878" s="18" t="n">
        <v>2708</v>
      </c>
      <c r="G1878" s="18" t="n">
        <v>1621</v>
      </c>
      <c r="H1878" s="18" t="n">
        <v>3936</v>
      </c>
      <c r="I1878" s="18" t="n">
        <v>4090</v>
      </c>
      <c r="J1878" s="19" t="n">
        <v>2692.284850471138</v>
      </c>
      <c r="K1878" s="35" t="n">
        <v>-0.1886675437045428</v>
      </c>
    </row>
    <row r="1879">
      <c r="A1879" s="36" t="inlineStr">
        <is>
          <t>AGA SPK-tilskudd</t>
        </is>
      </c>
      <c r="B1879" s="36" t="inlineStr">
        <is>
          <t>Region Vest</t>
        </is>
      </c>
      <c r="C1879" s="36" t="inlineStr">
        <is>
          <t>Kasa Ungdomssenter avd. Flatøy</t>
        </is>
      </c>
      <c r="D1879" s="26" t="n">
        <v>-228967</v>
      </c>
      <c r="E1879" s="26" t="n">
        <v>-484268</v>
      </c>
      <c r="F1879" s="26" t="n">
        <v>-24903</v>
      </c>
      <c r="G1879" s="26" t="n">
        <v>-205275</v>
      </c>
      <c r="H1879" s="26" t="n"/>
      <c r="I1879" s="26" t="n">
        <v>-162108</v>
      </c>
      <c r="J1879" s="19" t="n">
        <v>-183866.9463</v>
      </c>
      <c r="K1879" s="37" t="n">
        <v>0.065</v>
      </c>
    </row>
    <row r="1880">
      <c r="A1880" s="34" t="inlineStr">
        <is>
          <t>AGA SPK-tilskudd</t>
        </is>
      </c>
      <c r="B1880" s="34" t="inlineStr">
        <is>
          <t>Region Vest</t>
        </is>
      </c>
      <c r="C1880" s="34" t="inlineStr">
        <is>
          <t>Kasa Ungdomssenter avd. Flatøy</t>
        </is>
      </c>
      <c r="D1880" s="18" t="n">
        <v>-238497</v>
      </c>
      <c r="E1880" s="18" t="n">
        <v>-112482</v>
      </c>
      <c r="F1880" s="18" t="n">
        <v>-53038</v>
      </c>
      <c r="G1880" s="18" t="n">
        <v>-566169</v>
      </c>
      <c r="H1880" s="18" t="n">
        <v>-108190</v>
      </c>
      <c r="I1880" s="18" t="n">
        <v>-399007</v>
      </c>
      <c r="J1880" s="19" t="n">
        <v>-452563.7145749999</v>
      </c>
      <c r="K1880" s="35" t="n">
        <v>0.065</v>
      </c>
    </row>
    <row r="1881">
      <c r="A1881" s="36" t="inlineStr">
        <is>
          <t>AGA SPK-tilskudd</t>
        </is>
      </c>
      <c r="B1881" s="36" t="inlineStr">
        <is>
          <t>Region Vest</t>
        </is>
      </c>
      <c r="C1881" s="36" t="inlineStr">
        <is>
          <t>Kasa Ungdomssenter avd. Hop</t>
        </is>
      </c>
      <c r="D1881" s="26" t="n">
        <v>112830</v>
      </c>
      <c r="E1881" s="26" t="n">
        <v>101134</v>
      </c>
      <c r="F1881" s="26" t="n">
        <v>87112</v>
      </c>
      <c r="G1881" s="26" t="n">
        <v>97245</v>
      </c>
      <c r="H1881" s="26" t="n">
        <v>121539</v>
      </c>
      <c r="I1881" s="26" t="n">
        <v>110393</v>
      </c>
      <c r="J1881" s="19" t="n">
        <v>109433.0024238865</v>
      </c>
      <c r="K1881" s="37" t="n">
        <v>-0.004357585077225501</v>
      </c>
    </row>
    <row r="1882">
      <c r="A1882" s="34" t="inlineStr">
        <is>
          <t>AGA SPK-tilskudd</t>
        </is>
      </c>
      <c r="B1882" s="34" t="inlineStr">
        <is>
          <t>Region Vest</t>
        </is>
      </c>
      <c r="C1882" s="34" t="inlineStr">
        <is>
          <t>Kasa Ungdomssenter avd. Hop</t>
        </is>
      </c>
      <c r="D1882" s="18" t="n"/>
      <c r="E1882" s="18" t="n">
        <v>25153</v>
      </c>
      <c r="F1882" s="18" t="n"/>
      <c r="G1882" s="18" t="n"/>
      <c r="H1882" s="18" t="n">
        <v>26595</v>
      </c>
      <c r="I1882" s="18" t="n">
        <v>132</v>
      </c>
      <c r="J1882" s="19" t="n">
        <v>74.25</v>
      </c>
      <c r="K1882" s="35" t="n">
        <v>-0.25</v>
      </c>
    </row>
    <row r="1883">
      <c r="A1883" s="36" t="inlineStr">
        <is>
          <t>AGA SPK-tilskudd</t>
        </is>
      </c>
      <c r="B1883" s="36" t="inlineStr">
        <is>
          <t>Region Vest</t>
        </is>
      </c>
      <c r="C1883" s="36" t="inlineStr">
        <is>
          <t>Kasa Ungdomssenter avd. Hop</t>
        </is>
      </c>
      <c r="D1883" s="26" t="n">
        <v>3097</v>
      </c>
      <c r="E1883" s="26" t="n">
        <v>4207</v>
      </c>
      <c r="F1883" s="26" t="n">
        <v>10274</v>
      </c>
      <c r="G1883" s="26" t="n">
        <v>13952</v>
      </c>
      <c r="H1883" s="26" t="n">
        <v>620</v>
      </c>
      <c r="I1883" s="26" t="n">
        <v>9236</v>
      </c>
      <c r="J1883" s="19" t="n">
        <v>14298.84675760898</v>
      </c>
      <c r="K1883" s="37" t="n">
        <v>0.2442525623410496</v>
      </c>
    </row>
    <row r="1884">
      <c r="A1884" s="34" t="inlineStr">
        <is>
          <t>AGA SPK-tilskudd</t>
        </is>
      </c>
      <c r="B1884" s="34" t="inlineStr">
        <is>
          <t>Region Vest</t>
        </is>
      </c>
      <c r="C1884" s="34" t="inlineStr">
        <is>
          <t>Kasa Ungdomssenter avd. Hop</t>
        </is>
      </c>
      <c r="D1884" s="18" t="n">
        <v>17250</v>
      </c>
      <c r="E1884" s="18" t="n">
        <v>19632</v>
      </c>
      <c r="F1884" s="18" t="n">
        <v>23824</v>
      </c>
      <c r="G1884" s="18" t="n">
        <v>35843</v>
      </c>
      <c r="H1884" s="18" t="n">
        <v>53962</v>
      </c>
      <c r="I1884" s="18" t="n">
        <v>50465</v>
      </c>
      <c r="J1884" s="19" t="n">
        <v>77530.1722521073</v>
      </c>
      <c r="K1884" s="35" t="n">
        <v>0.2394820325236349</v>
      </c>
    </row>
    <row r="1885">
      <c r="A1885" s="36" t="inlineStr">
        <is>
          <t>AGA SPK-tilskudd</t>
        </is>
      </c>
      <c r="B1885" s="36" t="inlineStr">
        <is>
          <t>Region Vest</t>
        </is>
      </c>
      <c r="C1885" s="36" t="inlineStr">
        <is>
          <t>Kasa Ungdomssenter avd. Hop</t>
        </is>
      </c>
      <c r="D1885" s="26" t="n">
        <v>270</v>
      </c>
      <c r="E1885" s="26" t="n"/>
      <c r="F1885" s="26" t="n">
        <v>225</v>
      </c>
      <c r="G1885" s="26" t="n"/>
      <c r="H1885" s="26" t="n">
        <v>315</v>
      </c>
      <c r="I1885" s="26" t="n">
        <v>1400</v>
      </c>
      <c r="J1885" s="19" t="n">
        <v>2187.5</v>
      </c>
      <c r="K1885" s="37" t="n">
        <v>0.25</v>
      </c>
    </row>
    <row r="1886">
      <c r="A1886" s="34" t="inlineStr">
        <is>
          <t>AGA SPK-tilskudd</t>
        </is>
      </c>
      <c r="B1886" s="34" t="inlineStr">
        <is>
          <t>Region Vest</t>
        </is>
      </c>
      <c r="C1886" s="34" t="inlineStr">
        <is>
          <t>Kasa Ungdomssenter avd. Hop</t>
        </is>
      </c>
      <c r="D1886" s="18" t="n"/>
      <c r="E1886" s="18" t="n"/>
      <c r="F1886" s="18" t="n">
        <v>618</v>
      </c>
      <c r="G1886" s="18" t="n">
        <v>200</v>
      </c>
      <c r="H1886" s="18" t="n"/>
      <c r="I1886" s="18" t="n">
        <v>926</v>
      </c>
      <c r="J1886" s="19" t="n">
        <v>1050.29235</v>
      </c>
      <c r="K1886" s="35" t="n">
        <v>0.065</v>
      </c>
    </row>
    <row r="1887">
      <c r="A1887" s="36" t="inlineStr">
        <is>
          <t>AGA SPK-tilskudd</t>
        </is>
      </c>
      <c r="B1887" s="36" t="inlineStr">
        <is>
          <t>Region Vest</t>
        </is>
      </c>
      <c r="C1887" s="36" t="inlineStr">
        <is>
          <t>Kasa Ungdomssenter avd. Hop</t>
        </is>
      </c>
      <c r="D1887" s="26" t="n">
        <v>6868</v>
      </c>
      <c r="E1887" s="26" t="n"/>
      <c r="F1887" s="26" t="n">
        <v>4420</v>
      </c>
      <c r="G1887" s="26" t="n">
        <v>4277</v>
      </c>
      <c r="H1887" s="26" t="n">
        <v>800</v>
      </c>
      <c r="I1887" s="26" t="n">
        <v>6474</v>
      </c>
      <c r="J1887" s="19" t="n">
        <v>6322.803113793109</v>
      </c>
      <c r="K1887" s="37" t="n">
        <v>-0.0117462255704498</v>
      </c>
    </row>
    <row r="1888">
      <c r="A1888" s="34" t="inlineStr">
        <is>
          <t>AGA SPK-tilskudd</t>
        </is>
      </c>
      <c r="B1888" s="34" t="inlineStr">
        <is>
          <t>Region Vest</t>
        </is>
      </c>
      <c r="C1888" s="34" t="inlineStr">
        <is>
          <t>Kasa Ungdomssenter avd. Hop</t>
        </is>
      </c>
      <c r="D1888" s="18" t="n"/>
      <c r="E1888" s="18" t="n">
        <v>2297</v>
      </c>
      <c r="F1888" s="18" t="n"/>
      <c r="G1888" s="18" t="n">
        <v>3677</v>
      </c>
      <c r="H1888" s="18" t="n">
        <v>4733</v>
      </c>
      <c r="I1888" s="18" t="n">
        <v>562</v>
      </c>
      <c r="J1888" s="19" t="n">
        <v>316.125</v>
      </c>
      <c r="K1888" s="35" t="n">
        <v>-0.25</v>
      </c>
    </row>
    <row r="1889">
      <c r="A1889" s="36" t="inlineStr">
        <is>
          <t>AGA SPK-tilskudd</t>
        </is>
      </c>
      <c r="B1889" s="36" t="inlineStr">
        <is>
          <t>Region Vest</t>
        </is>
      </c>
      <c r="C1889" s="36" t="inlineStr">
        <is>
          <t>Kasa Ungdomssenter avd. Hop</t>
        </is>
      </c>
      <c r="D1889" s="26" t="n">
        <v>32</v>
      </c>
      <c r="E1889" s="26" t="n"/>
      <c r="F1889" s="26" t="n">
        <v>233</v>
      </c>
      <c r="G1889" s="26" t="n">
        <v>142</v>
      </c>
      <c r="H1889" s="26" t="n">
        <v>126</v>
      </c>
      <c r="I1889" s="26" t="n">
        <v>820</v>
      </c>
      <c r="J1889" s="19" t="n">
        <v>1281.25</v>
      </c>
      <c r="K1889" s="37" t="n">
        <v>0.25</v>
      </c>
    </row>
    <row r="1890">
      <c r="A1890" s="34" t="inlineStr">
        <is>
          <t>AGA SPK-tilskudd</t>
        </is>
      </c>
      <c r="B1890" s="34" t="inlineStr">
        <is>
          <t>Region Vest</t>
        </is>
      </c>
      <c r="C1890" s="34" t="inlineStr">
        <is>
          <t>Kasa Ungdomssenter avd. Hop</t>
        </is>
      </c>
      <c r="D1890" s="18" t="n"/>
      <c r="E1890" s="18" t="n"/>
      <c r="F1890" s="18" t="n"/>
      <c r="G1890" s="18" t="n"/>
      <c r="H1890" s="18" t="n"/>
      <c r="I1890" s="18" t="n">
        <v>10620</v>
      </c>
      <c r="J1890" s="19" t="n">
        <v>12045.4695</v>
      </c>
      <c r="K1890" s="35" t="n">
        <v>0.065</v>
      </c>
    </row>
    <row r="1891">
      <c r="A1891" s="36" t="inlineStr">
        <is>
          <t>AGA SPK-tilskudd</t>
        </is>
      </c>
      <c r="B1891" s="36" t="inlineStr">
        <is>
          <t>Region Vest</t>
        </is>
      </c>
      <c r="C1891" s="36" t="inlineStr">
        <is>
          <t>Kasa Ungdomssenter avd. Hop</t>
        </is>
      </c>
      <c r="D1891" s="26" t="n">
        <v>5060</v>
      </c>
      <c r="E1891" s="26" t="n">
        <v>10165</v>
      </c>
      <c r="F1891" s="26" t="n">
        <v>7242</v>
      </c>
      <c r="G1891" s="26" t="n">
        <v>3042</v>
      </c>
      <c r="H1891" s="26" t="n">
        <v>2422</v>
      </c>
      <c r="I1891" s="26" t="n">
        <v>7382</v>
      </c>
      <c r="J1891" s="19" t="n">
        <v>8585.853037518929</v>
      </c>
      <c r="K1891" s="37" t="n">
        <v>0.07846164643363962</v>
      </c>
    </row>
    <row r="1892">
      <c r="A1892" s="34" t="inlineStr">
        <is>
          <t>AGA SPK-tilskudd</t>
        </is>
      </c>
      <c r="B1892" s="34" t="inlineStr">
        <is>
          <t>Region Vest</t>
        </is>
      </c>
      <c r="C1892" s="34" t="inlineStr">
        <is>
          <t>Kasa Ungdomssenter avd. Hop</t>
        </is>
      </c>
      <c r="D1892" s="18" t="n"/>
      <c r="E1892" s="18" t="n">
        <v>-451427</v>
      </c>
      <c r="F1892" s="18" t="n">
        <v>-86543</v>
      </c>
      <c r="G1892" s="18" t="n"/>
      <c r="H1892" s="18" t="n">
        <v>-397610</v>
      </c>
      <c r="I1892" s="18" t="n">
        <v>-13417</v>
      </c>
      <c r="J1892" s="19" t="n">
        <v>-15217.896825</v>
      </c>
      <c r="K1892" s="35" t="n">
        <v>0.065</v>
      </c>
    </row>
    <row r="1893">
      <c r="A1893" s="36" t="inlineStr">
        <is>
          <t>AGA SPK-tilskudd</t>
        </is>
      </c>
      <c r="B1893" s="36" t="inlineStr">
        <is>
          <t>Region Vest</t>
        </is>
      </c>
      <c r="C1893" s="36" t="inlineStr">
        <is>
          <t>Kasa Ungdomssenter avd. Hop</t>
        </is>
      </c>
      <c r="D1893" s="26" t="n">
        <v>-761328</v>
      </c>
      <c r="E1893" s="26" t="n">
        <v>-329968</v>
      </c>
      <c r="F1893" s="26" t="n">
        <v>-516834</v>
      </c>
      <c r="G1893" s="26" t="n">
        <v>-308001</v>
      </c>
      <c r="H1893" s="26" t="n">
        <v>-705540</v>
      </c>
      <c r="I1893" s="26" t="n">
        <v>-497125</v>
      </c>
      <c r="J1893" s="19" t="n">
        <v>-563851.6031249999</v>
      </c>
      <c r="K1893" s="37" t="n">
        <v>0.065</v>
      </c>
    </row>
    <row r="1894">
      <c r="A1894" s="34" t="inlineStr">
        <is>
          <t>AGA SPK-tilskudd</t>
        </is>
      </c>
      <c r="B1894" s="34" t="inlineStr">
        <is>
          <t>Region Vest</t>
        </is>
      </c>
      <c r="C1894" s="34" t="inlineStr">
        <is>
          <t>Kasa Ungdomssenter avd. Morvik</t>
        </is>
      </c>
      <c r="D1894" s="18" t="n">
        <v>134663</v>
      </c>
      <c r="E1894" s="18" t="n">
        <v>96721</v>
      </c>
      <c r="F1894" s="18" t="n">
        <v>83090</v>
      </c>
      <c r="G1894" s="18" t="n">
        <v>83002</v>
      </c>
      <c r="H1894" s="18" t="n">
        <v>104453</v>
      </c>
      <c r="I1894" s="18" t="n">
        <v>107804</v>
      </c>
      <c r="J1894" s="19" t="n">
        <v>98625.56663254723</v>
      </c>
      <c r="K1894" s="35" t="n">
        <v>-0.04351686240164565</v>
      </c>
    </row>
    <row r="1895">
      <c r="A1895" s="36" t="inlineStr">
        <is>
          <t>AGA SPK-tilskudd</t>
        </is>
      </c>
      <c r="B1895" s="36" t="inlineStr">
        <is>
          <t>Region Vest</t>
        </is>
      </c>
      <c r="C1895" s="36" t="inlineStr">
        <is>
          <t>Kasa Ungdomssenter avd. Morvik</t>
        </is>
      </c>
      <c r="D1895" s="26" t="n">
        <v>6529</v>
      </c>
      <c r="E1895" s="26" t="n">
        <v>9937</v>
      </c>
      <c r="F1895" s="26" t="n"/>
      <c r="G1895" s="26" t="n"/>
      <c r="H1895" s="26" t="n">
        <v>36810</v>
      </c>
      <c r="I1895" s="26" t="n">
        <v>88552</v>
      </c>
      <c r="J1895" s="19" t="n">
        <v>138362.5</v>
      </c>
      <c r="K1895" s="37" t="n">
        <v>0.25</v>
      </c>
    </row>
    <row r="1896">
      <c r="A1896" s="34" t="inlineStr">
        <is>
          <t>AGA SPK-tilskudd</t>
        </is>
      </c>
      <c r="B1896" s="34" t="inlineStr">
        <is>
          <t>Region Vest</t>
        </is>
      </c>
      <c r="C1896" s="34" t="inlineStr">
        <is>
          <t>Kasa Ungdomssenter avd. Morvik</t>
        </is>
      </c>
      <c r="D1896" s="18" t="n">
        <v>22908</v>
      </c>
      <c r="E1896" s="18" t="n">
        <v>18100</v>
      </c>
      <c r="F1896" s="18" t="n">
        <v>18491</v>
      </c>
      <c r="G1896" s="18" t="n">
        <v>15699</v>
      </c>
      <c r="H1896" s="18" t="n">
        <v>5427</v>
      </c>
      <c r="I1896" s="18" t="n">
        <v>4551</v>
      </c>
      <c r="J1896" s="19" t="n">
        <v>2559.9375</v>
      </c>
      <c r="K1896" s="35" t="n">
        <v>-0.25</v>
      </c>
    </row>
    <row r="1897">
      <c r="A1897" s="36" t="inlineStr">
        <is>
          <t>AGA SPK-tilskudd</t>
        </is>
      </c>
      <c r="B1897" s="36" t="inlineStr">
        <is>
          <t>Region Vest</t>
        </is>
      </c>
      <c r="C1897" s="36" t="inlineStr">
        <is>
          <t>Kasa Ungdomssenter avd. Morvik</t>
        </is>
      </c>
      <c r="D1897" s="26" t="n">
        <v>29300</v>
      </c>
      <c r="E1897" s="26" t="n">
        <v>27094</v>
      </c>
      <c r="F1897" s="26" t="n">
        <v>28937</v>
      </c>
      <c r="G1897" s="26" t="n">
        <v>40328</v>
      </c>
      <c r="H1897" s="26" t="n">
        <v>48557</v>
      </c>
      <c r="I1897" s="26" t="n">
        <v>52301</v>
      </c>
      <c r="J1897" s="19" t="n">
        <v>65942.73286297587</v>
      </c>
      <c r="K1897" s="37" t="n">
        <v>0.1228674032121424</v>
      </c>
    </row>
    <row r="1898">
      <c r="A1898" s="34" t="inlineStr">
        <is>
          <t>AGA SPK-tilskudd</t>
        </is>
      </c>
      <c r="B1898" s="34" t="inlineStr">
        <is>
          <t>Region Vest</t>
        </is>
      </c>
      <c r="C1898" s="34" t="inlineStr">
        <is>
          <t>Kasa Ungdomssenter avd. Morvik</t>
        </is>
      </c>
      <c r="D1898" s="18" t="n">
        <v>2584</v>
      </c>
      <c r="E1898" s="18" t="n">
        <v>1278</v>
      </c>
      <c r="F1898" s="18" t="n"/>
      <c r="G1898" s="18" t="n">
        <v>153</v>
      </c>
      <c r="H1898" s="18" t="n">
        <v>1678</v>
      </c>
      <c r="I1898" s="18" t="n">
        <v>1574</v>
      </c>
      <c r="J1898" s="19" t="n">
        <v>1290.891126506052</v>
      </c>
      <c r="K1898" s="35" t="n">
        <v>-0.09438742624699037</v>
      </c>
    </row>
    <row r="1899">
      <c r="A1899" s="36" t="inlineStr">
        <is>
          <t>AGA SPK-tilskudd</t>
        </is>
      </c>
      <c r="B1899" s="36" t="inlineStr">
        <is>
          <t>Region Vest</t>
        </is>
      </c>
      <c r="C1899" s="36" t="inlineStr">
        <is>
          <t>Kasa Ungdomssenter avd. Morvik</t>
        </is>
      </c>
      <c r="D1899" s="26" t="n"/>
      <c r="E1899" s="26" t="n"/>
      <c r="F1899" s="26" t="n">
        <v>1267</v>
      </c>
      <c r="G1899" s="26" t="n"/>
      <c r="H1899" s="26" t="n"/>
      <c r="I1899" s="26" t="n">
        <v>1820</v>
      </c>
      <c r="J1899" s="19" t="n">
        <v>2064.2895</v>
      </c>
      <c r="K1899" s="37" t="n">
        <v>0.065</v>
      </c>
    </row>
    <row r="1900">
      <c r="A1900" s="34" t="inlineStr">
        <is>
          <t>AGA SPK-tilskudd</t>
        </is>
      </c>
      <c r="B1900" s="34" t="inlineStr">
        <is>
          <t>Region Vest</t>
        </is>
      </c>
      <c r="C1900" s="34" t="inlineStr">
        <is>
          <t>Kasa Ungdomssenter avd. Morvik</t>
        </is>
      </c>
      <c r="D1900" s="18" t="n">
        <v>2940</v>
      </c>
      <c r="E1900" s="18" t="n">
        <v>891</v>
      </c>
      <c r="F1900" s="18" t="n">
        <v>4420</v>
      </c>
      <c r="G1900" s="18" t="n">
        <v>4329</v>
      </c>
      <c r="H1900" s="18" t="n">
        <v>800</v>
      </c>
      <c r="I1900" s="18" t="n">
        <v>2443</v>
      </c>
      <c r="J1900" s="19" t="n">
        <v>2268.579073402179</v>
      </c>
      <c r="K1900" s="35" t="n">
        <v>-0.03635909390086389</v>
      </c>
    </row>
    <row r="1901">
      <c r="A1901" s="36" t="inlineStr">
        <is>
          <t>AGA SPK-tilskudd</t>
        </is>
      </c>
      <c r="B1901" s="36" t="inlineStr">
        <is>
          <t>Region Vest</t>
        </is>
      </c>
      <c r="C1901" s="36" t="inlineStr">
        <is>
          <t>Kasa Ungdomssenter avd. Morvik</t>
        </is>
      </c>
      <c r="D1901" s="26" t="n"/>
      <c r="E1901" s="26" t="n">
        <v>5181</v>
      </c>
      <c r="F1901" s="26" t="n">
        <v>418</v>
      </c>
      <c r="G1901" s="26" t="n">
        <v>3753</v>
      </c>
      <c r="H1901" s="26" t="n"/>
      <c r="I1901" s="26" t="n"/>
      <c r="J1901" s="19" t="n">
        <v>0</v>
      </c>
      <c r="K1901" s="37" t="n">
        <v>0.065</v>
      </c>
    </row>
    <row r="1902">
      <c r="A1902" s="34" t="inlineStr">
        <is>
          <t>AGA SPK-tilskudd</t>
        </is>
      </c>
      <c r="B1902" s="34" t="inlineStr">
        <is>
          <t>Region Vest</t>
        </is>
      </c>
      <c r="C1902" s="34" t="inlineStr">
        <is>
          <t>Kasa Ungdomssenter avd. Morvik</t>
        </is>
      </c>
      <c r="D1902" s="18" t="n">
        <v>501</v>
      </c>
      <c r="E1902" s="18" t="n">
        <v>186</v>
      </c>
      <c r="F1902" s="18" t="n">
        <v>206</v>
      </c>
      <c r="G1902" s="18" t="n">
        <v>33</v>
      </c>
      <c r="H1902" s="18" t="n">
        <v>662</v>
      </c>
      <c r="I1902" s="18" t="n">
        <v>1286</v>
      </c>
      <c r="J1902" s="19" t="n">
        <v>1875.004289776407</v>
      </c>
      <c r="K1902" s="35" t="n">
        <v>0.2074819530788869</v>
      </c>
    </row>
    <row r="1903">
      <c r="A1903" s="36" t="inlineStr">
        <is>
          <t>AGA SPK-tilskudd</t>
        </is>
      </c>
      <c r="B1903" s="36" t="inlineStr">
        <is>
          <t>Region Vest</t>
        </is>
      </c>
      <c r="C1903" s="36" t="inlineStr">
        <is>
          <t>Kasa Ungdomssenter avd. Morvik</t>
        </is>
      </c>
      <c r="D1903" s="26" t="n"/>
      <c r="E1903" s="26" t="n"/>
      <c r="F1903" s="26" t="n">
        <v>740</v>
      </c>
      <c r="G1903" s="26" t="n"/>
      <c r="H1903" s="26" t="n"/>
      <c r="I1903" s="26" t="n"/>
      <c r="J1903" s="19" t="n">
        <v>0</v>
      </c>
      <c r="K1903" s="37" t="n">
        <v>0.065</v>
      </c>
    </row>
    <row r="1904">
      <c r="A1904" s="34" t="inlineStr">
        <is>
          <t>AGA SPK-tilskudd</t>
        </is>
      </c>
      <c r="B1904" s="34" t="inlineStr">
        <is>
          <t>Region Vest</t>
        </is>
      </c>
      <c r="C1904" s="34" t="inlineStr">
        <is>
          <t>Kasa Ungdomssenter avd. Morvik</t>
        </is>
      </c>
      <c r="D1904" s="18" t="n">
        <v>1079</v>
      </c>
      <c r="E1904" s="18" t="n">
        <v>4554</v>
      </c>
      <c r="F1904" s="18" t="n">
        <v>3044</v>
      </c>
      <c r="G1904" s="18" t="n">
        <v>2021</v>
      </c>
      <c r="H1904" s="18" t="n">
        <v>3522</v>
      </c>
      <c r="I1904" s="18" t="n">
        <v>6748</v>
      </c>
      <c r="J1904" s="19" t="n">
        <v>10543.75</v>
      </c>
      <c r="K1904" s="35" t="n">
        <v>0.25</v>
      </c>
    </row>
    <row r="1905">
      <c r="A1905" s="36" t="inlineStr">
        <is>
          <t>AGA SPK-tilskudd</t>
        </is>
      </c>
      <c r="B1905" s="36" t="inlineStr">
        <is>
          <t>Region Vest</t>
        </is>
      </c>
      <c r="C1905" s="36" t="inlineStr">
        <is>
          <t>Kasa Ungdomssenter avd. Morvik</t>
        </is>
      </c>
      <c r="D1905" s="26" t="n">
        <v>-395862</v>
      </c>
      <c r="E1905" s="26" t="n">
        <v>-552116</v>
      </c>
      <c r="F1905" s="26" t="n">
        <v>-248050</v>
      </c>
      <c r="G1905" s="26" t="n">
        <v>-124223</v>
      </c>
      <c r="H1905" s="26" t="n">
        <v>-767567</v>
      </c>
      <c r="I1905" s="26" t="n">
        <v>-737026</v>
      </c>
      <c r="J1905" s="19" t="n">
        <v>-835953.3148499998</v>
      </c>
      <c r="K1905" s="37" t="n">
        <v>0.065</v>
      </c>
    </row>
    <row r="1906">
      <c r="A1906" s="34" t="inlineStr">
        <is>
          <t>AGA SPK-tilskudd</t>
        </is>
      </c>
      <c r="B1906" s="34" t="inlineStr">
        <is>
          <t>Region Vest</t>
        </is>
      </c>
      <c r="C1906" s="34" t="inlineStr">
        <is>
          <t>Kasa Ungdomssenter avd. Sandsli</t>
        </is>
      </c>
      <c r="D1906" s="18" t="n">
        <v>74054</v>
      </c>
      <c r="E1906" s="18" t="n">
        <v>64625</v>
      </c>
      <c r="F1906" s="18" t="n">
        <v>55440</v>
      </c>
      <c r="G1906" s="18" t="n">
        <v>73256</v>
      </c>
      <c r="H1906" s="18" t="n">
        <v>88724</v>
      </c>
      <c r="I1906" s="18" t="n">
        <v>107472</v>
      </c>
      <c r="J1906" s="19" t="n">
        <v>124736.6438046928</v>
      </c>
      <c r="K1906" s="35" t="n">
        <v>0.07733150871147498</v>
      </c>
    </row>
    <row r="1907">
      <c r="A1907" s="36" t="inlineStr">
        <is>
          <t>AGA SPK-tilskudd</t>
        </is>
      </c>
      <c r="B1907" s="36" t="inlineStr">
        <is>
          <t>Region Vest</t>
        </is>
      </c>
      <c r="C1907" s="36" t="inlineStr">
        <is>
          <t>Kasa Ungdomssenter avd. Sandsli</t>
        </is>
      </c>
      <c r="D1907" s="26" t="n">
        <v>9836</v>
      </c>
      <c r="E1907" s="26" t="n">
        <v>8297</v>
      </c>
      <c r="F1907" s="26" t="n"/>
      <c r="G1907" s="26" t="n"/>
      <c r="H1907" s="26" t="n"/>
      <c r="I1907" s="26" t="n"/>
      <c r="J1907" s="19" t="n">
        <v>0</v>
      </c>
      <c r="K1907" s="37" t="n">
        <v>0.065</v>
      </c>
    </row>
    <row r="1908">
      <c r="A1908" s="34" t="inlineStr">
        <is>
          <t>AGA SPK-tilskudd</t>
        </is>
      </c>
      <c r="B1908" s="34" t="inlineStr">
        <is>
          <t>Region Vest</t>
        </is>
      </c>
      <c r="C1908" s="34" t="inlineStr">
        <is>
          <t>Kasa Ungdomssenter avd. Sandsli</t>
        </is>
      </c>
      <c r="D1908" s="18" t="n">
        <v>18744</v>
      </c>
      <c r="E1908" s="18" t="n">
        <v>1136</v>
      </c>
      <c r="F1908" s="18" t="n">
        <v>4111</v>
      </c>
      <c r="G1908" s="18" t="n"/>
      <c r="H1908" s="18" t="n">
        <v>3802</v>
      </c>
      <c r="I1908" s="18" t="n">
        <v>10455</v>
      </c>
      <c r="J1908" s="19" t="n">
        <v>8277.682066536674</v>
      </c>
      <c r="K1908" s="35" t="n">
        <v>-0.110200100596141</v>
      </c>
    </row>
    <row r="1909">
      <c r="A1909" s="36" t="inlineStr">
        <is>
          <t>AGA SPK-tilskudd</t>
        </is>
      </c>
      <c r="B1909" s="36" t="inlineStr">
        <is>
          <t>Region Vest</t>
        </is>
      </c>
      <c r="C1909" s="36" t="inlineStr">
        <is>
          <t>Kasa Ungdomssenter avd. Sandsli</t>
        </is>
      </c>
      <c r="D1909" s="26" t="n">
        <v>22700</v>
      </c>
      <c r="E1909" s="26" t="n">
        <v>19737</v>
      </c>
      <c r="F1909" s="26" t="n">
        <v>23211</v>
      </c>
      <c r="G1909" s="26" t="n">
        <v>32463</v>
      </c>
      <c r="H1909" s="26" t="n">
        <v>43568</v>
      </c>
      <c r="I1909" s="26" t="n">
        <v>61988</v>
      </c>
      <c r="J1909" s="19" t="n">
        <v>92644.64707564107</v>
      </c>
      <c r="K1909" s="37" t="n">
        <v>0.2225210715836001</v>
      </c>
    </row>
    <row r="1910">
      <c r="A1910" s="34" t="inlineStr">
        <is>
          <t>AGA SPK-tilskudd</t>
        </is>
      </c>
      <c r="B1910" s="34" t="inlineStr">
        <is>
          <t>Region Vest</t>
        </is>
      </c>
      <c r="C1910" s="34" t="inlineStr">
        <is>
          <t>Kasa Ungdomssenter avd. Sandsli</t>
        </is>
      </c>
      <c r="D1910" s="18" t="n">
        <v>1494</v>
      </c>
      <c r="E1910" s="18" t="n"/>
      <c r="F1910" s="18" t="n">
        <v>175</v>
      </c>
      <c r="G1910" s="18" t="n"/>
      <c r="H1910" s="18" t="n"/>
      <c r="I1910" s="18" t="n"/>
      <c r="J1910" s="19" t="n">
        <v>0</v>
      </c>
      <c r="K1910" s="35" t="n">
        <v>0.065</v>
      </c>
    </row>
    <row r="1911">
      <c r="A1911" s="36" t="inlineStr">
        <is>
          <t>AGA SPK-tilskudd</t>
        </is>
      </c>
      <c r="B1911" s="36" t="inlineStr">
        <is>
          <t>Region Vest</t>
        </is>
      </c>
      <c r="C1911" s="36" t="inlineStr">
        <is>
          <t>Kasa Ungdomssenter avd. Sandsli</t>
        </is>
      </c>
      <c r="D1911" s="26" t="n"/>
      <c r="E1911" s="26" t="n"/>
      <c r="F1911" s="26" t="n">
        <v>1721</v>
      </c>
      <c r="G1911" s="26" t="n"/>
      <c r="H1911" s="26" t="n"/>
      <c r="I1911" s="26" t="n">
        <v>2440</v>
      </c>
      <c r="J1911" s="19" t="n">
        <v>2767.509</v>
      </c>
      <c r="K1911" s="37" t="n">
        <v>0.065</v>
      </c>
    </row>
    <row r="1912">
      <c r="A1912" s="34" t="inlineStr">
        <is>
          <t>AGA SPK-tilskudd</t>
        </is>
      </c>
      <c r="B1912" s="34" t="inlineStr">
        <is>
          <t>Region Vest</t>
        </is>
      </c>
      <c r="C1912" s="34" t="inlineStr">
        <is>
          <t>Kasa Ungdomssenter avd. Sandsli</t>
        </is>
      </c>
      <c r="D1912" s="18" t="n">
        <v>2940</v>
      </c>
      <c r="E1912" s="18" t="n">
        <v>592</v>
      </c>
      <c r="F1912" s="18" t="n">
        <v>4420</v>
      </c>
      <c r="G1912" s="18" t="n">
        <v>4277</v>
      </c>
      <c r="H1912" s="18" t="n">
        <v>800</v>
      </c>
      <c r="I1912" s="18" t="n">
        <v>8931</v>
      </c>
      <c r="J1912" s="19" t="n">
        <v>13929.04023726629</v>
      </c>
      <c r="K1912" s="35" t="n">
        <v>0.2488507867954346</v>
      </c>
    </row>
    <row r="1913">
      <c r="A1913" s="36" t="inlineStr">
        <is>
          <t>AGA SPK-tilskudd</t>
        </is>
      </c>
      <c r="B1913" s="36" t="inlineStr">
        <is>
          <t>Region Vest</t>
        </is>
      </c>
      <c r="C1913" s="36" t="inlineStr">
        <is>
          <t>Kasa Ungdomssenter avd. Sandsli</t>
        </is>
      </c>
      <c r="D1913" s="26" t="n">
        <v>3370</v>
      </c>
      <c r="E1913" s="26" t="n">
        <v>1256</v>
      </c>
      <c r="F1913" s="26" t="n"/>
      <c r="G1913" s="26" t="n">
        <v>741</v>
      </c>
      <c r="H1913" s="26" t="n">
        <v>1515</v>
      </c>
      <c r="I1913" s="26" t="n"/>
      <c r="J1913" s="19" t="n">
        <v>0</v>
      </c>
      <c r="K1913" s="37" t="n">
        <v>0.065</v>
      </c>
    </row>
    <row r="1914">
      <c r="A1914" s="34" t="inlineStr">
        <is>
          <t>AGA SPK-tilskudd</t>
        </is>
      </c>
      <c r="B1914" s="34" t="inlineStr">
        <is>
          <t>Region Vest</t>
        </is>
      </c>
      <c r="C1914" s="34" t="inlineStr">
        <is>
          <t>Kasa Ungdomssenter avd. Sandsli</t>
        </is>
      </c>
      <c r="D1914" s="18" t="n">
        <v>214</v>
      </c>
      <c r="E1914" s="18" t="n"/>
      <c r="F1914" s="18" t="n">
        <v>504</v>
      </c>
      <c r="G1914" s="18" t="n"/>
      <c r="H1914" s="18" t="n"/>
      <c r="I1914" s="18" t="n">
        <v>550</v>
      </c>
      <c r="J1914" s="19" t="n">
        <v>802.3100935982325</v>
      </c>
      <c r="K1914" s="35" t="n">
        <v>0.2077854216391499</v>
      </c>
    </row>
    <row r="1915">
      <c r="A1915" s="36" t="inlineStr">
        <is>
          <t>AGA SPK-tilskudd</t>
        </is>
      </c>
      <c r="B1915" s="36" t="inlineStr">
        <is>
          <t>Region Vest</t>
        </is>
      </c>
      <c r="C1915" s="36" t="inlineStr">
        <is>
          <t>Kasa Ungdomssenter avd. Sandsli</t>
        </is>
      </c>
      <c r="D1915" s="26" t="n"/>
      <c r="E1915" s="26" t="n"/>
      <c r="F1915" s="26" t="n"/>
      <c r="G1915" s="26" t="n"/>
      <c r="H1915" s="26" t="n"/>
      <c r="I1915" s="26" t="n">
        <v>5224</v>
      </c>
      <c r="J1915" s="19" t="n">
        <v>5925.191399999999</v>
      </c>
      <c r="K1915" s="37" t="n">
        <v>0.065</v>
      </c>
    </row>
    <row r="1916">
      <c r="A1916" s="34" t="inlineStr">
        <is>
          <t>AGA SPK-tilskudd</t>
        </is>
      </c>
      <c r="B1916" s="34" t="inlineStr">
        <is>
          <t>Region Vest</t>
        </is>
      </c>
      <c r="C1916" s="34" t="inlineStr">
        <is>
          <t>Kasa Ungdomssenter avd. Sandsli</t>
        </is>
      </c>
      <c r="D1916" s="18" t="n">
        <v>436</v>
      </c>
      <c r="E1916" s="18" t="n">
        <v>2715</v>
      </c>
      <c r="F1916" s="18" t="n">
        <v>2365</v>
      </c>
      <c r="G1916" s="18" t="n">
        <v>5838</v>
      </c>
      <c r="H1916" s="18" t="n">
        <v>4315</v>
      </c>
      <c r="I1916" s="18" t="n">
        <v>4914</v>
      </c>
      <c r="J1916" s="19" t="n">
        <v>7678.125</v>
      </c>
      <c r="K1916" s="35" t="n">
        <v>0.25</v>
      </c>
    </row>
    <row r="1917">
      <c r="A1917" s="36" t="inlineStr">
        <is>
          <t>AGA SPK-tilskudd</t>
        </is>
      </c>
      <c r="B1917" s="36" t="inlineStr">
        <is>
          <t>Region Vest</t>
        </is>
      </c>
      <c r="C1917" s="36" t="inlineStr">
        <is>
          <t>Kasa Ungdomssenter avd. Sandsli</t>
        </is>
      </c>
      <c r="D1917" s="26" t="n"/>
      <c r="E1917" s="26" t="n"/>
      <c r="F1917" s="26" t="n">
        <v>-297666</v>
      </c>
      <c r="G1917" s="26" t="n">
        <v>-10847</v>
      </c>
      <c r="H1917" s="26" t="n"/>
      <c r="I1917" s="26" t="n">
        <v>-523947</v>
      </c>
      <c r="J1917" s="19" t="n">
        <v>-594273.786075</v>
      </c>
      <c r="K1917" s="37" t="n">
        <v>0.065</v>
      </c>
    </row>
    <row r="1918">
      <c r="A1918" s="34" t="inlineStr">
        <is>
          <t>AGA SPK-tilskudd</t>
        </is>
      </c>
      <c r="B1918" s="34" t="inlineStr">
        <is>
          <t>Region Vest</t>
        </is>
      </c>
      <c r="C1918" s="34" t="inlineStr">
        <is>
          <t>Kasa Ungdomssenter avd. Sandsli</t>
        </is>
      </c>
      <c r="D1918" s="18" t="n">
        <v>-184098</v>
      </c>
      <c r="E1918" s="18" t="n">
        <v>-240033</v>
      </c>
      <c r="F1918" s="18" t="n">
        <v>-124945</v>
      </c>
      <c r="G1918" s="18" t="n">
        <v>-101538</v>
      </c>
      <c r="H1918" s="18" t="n">
        <v>-46893</v>
      </c>
      <c r="I1918" s="18" t="n">
        <v>-481011</v>
      </c>
      <c r="J1918" s="19" t="n">
        <v>-545574.7014749999</v>
      </c>
      <c r="K1918" s="35" t="n">
        <v>0.065</v>
      </c>
    </row>
    <row r="1919">
      <c r="A1919" s="36" t="inlineStr">
        <is>
          <t>AGA SPK-tilskudd</t>
        </is>
      </c>
      <c r="B1919" s="36" t="inlineStr">
        <is>
          <t>Region Vest</t>
        </is>
      </c>
      <c r="C1919" s="36" t="inlineStr">
        <is>
          <t>Kasa Ungdomssenter avd. Tertnes</t>
        </is>
      </c>
      <c r="D1919" s="26" t="n">
        <v>105476</v>
      </c>
      <c r="E1919" s="26" t="n">
        <v>92082</v>
      </c>
      <c r="F1919" s="26" t="n">
        <v>81532</v>
      </c>
      <c r="G1919" s="26" t="n">
        <v>95231</v>
      </c>
      <c r="H1919" s="26" t="n">
        <v>103978</v>
      </c>
      <c r="I1919" s="26" t="n">
        <v>120660</v>
      </c>
      <c r="J1919" s="19" t="n">
        <v>127328.9590914714</v>
      </c>
      <c r="K1919" s="37" t="n">
        <v>0.027263681051924</v>
      </c>
    </row>
    <row r="1920">
      <c r="A1920" s="34" t="inlineStr">
        <is>
          <t>AGA SPK-tilskudd</t>
        </is>
      </c>
      <c r="B1920" s="34" t="inlineStr">
        <is>
          <t>Region Vest</t>
        </is>
      </c>
      <c r="C1920" s="34" t="inlineStr">
        <is>
          <t>Kasa Ungdomssenter avd. Tertnes</t>
        </is>
      </c>
      <c r="D1920" s="18" t="n"/>
      <c r="E1920" s="18" t="n">
        <v>2694</v>
      </c>
      <c r="F1920" s="18" t="n"/>
      <c r="G1920" s="18" t="n"/>
      <c r="H1920" s="18" t="n">
        <v>5470</v>
      </c>
      <c r="I1920" s="18" t="n">
        <v>140072</v>
      </c>
      <c r="J1920" s="19" t="n">
        <v>218862.5</v>
      </c>
      <c r="K1920" s="35" t="n">
        <v>0.25</v>
      </c>
    </row>
    <row r="1921">
      <c r="A1921" s="36" t="inlineStr">
        <is>
          <t>AGA SPK-tilskudd</t>
        </is>
      </c>
      <c r="B1921" s="36" t="inlineStr">
        <is>
          <t>Region Vest</t>
        </is>
      </c>
      <c r="C1921" s="36" t="inlineStr">
        <is>
          <t>Kasa Ungdomssenter avd. Tertnes</t>
        </is>
      </c>
      <c r="D1921" s="26" t="n">
        <v>4321</v>
      </c>
      <c r="E1921" s="26" t="n">
        <v>1336</v>
      </c>
      <c r="F1921" s="26" t="n">
        <v>6223</v>
      </c>
      <c r="G1921" s="26" t="n">
        <v>2119</v>
      </c>
      <c r="H1921" s="26" t="n">
        <v>892</v>
      </c>
      <c r="I1921" s="26" t="n">
        <v>12451</v>
      </c>
      <c r="J1921" s="19" t="n">
        <v>19013.06880533891</v>
      </c>
      <c r="K1921" s="37" t="n">
        <v>0.2357311470464818</v>
      </c>
    </row>
    <row r="1922">
      <c r="A1922" s="34" t="inlineStr">
        <is>
          <t>AGA SPK-tilskudd</t>
        </is>
      </c>
      <c r="B1922" s="34" t="inlineStr">
        <is>
          <t>Region Vest</t>
        </is>
      </c>
      <c r="C1922" s="34" t="inlineStr">
        <is>
          <t>Kasa Ungdomssenter avd. Tertnes</t>
        </is>
      </c>
      <c r="D1922" s="18" t="n">
        <v>21200</v>
      </c>
      <c r="E1922" s="18" t="n">
        <v>19223</v>
      </c>
      <c r="F1922" s="18" t="n">
        <v>21166</v>
      </c>
      <c r="G1922" s="18" t="n">
        <v>27582</v>
      </c>
      <c r="H1922" s="18" t="n">
        <v>39960</v>
      </c>
      <c r="I1922" s="18" t="n">
        <v>53770</v>
      </c>
      <c r="J1922" s="19" t="n">
        <v>78022.83142842544</v>
      </c>
      <c r="K1922" s="35" t="n">
        <v>0.2045943868194924</v>
      </c>
    </row>
    <row r="1923">
      <c r="A1923" s="36" t="inlineStr">
        <is>
          <t>AGA SPK-tilskudd</t>
        </is>
      </c>
      <c r="B1923" s="36" t="inlineStr">
        <is>
          <t>Region Vest</t>
        </is>
      </c>
      <c r="C1923" s="36" t="inlineStr">
        <is>
          <t>Kasa Ungdomssenter avd. Tertnes</t>
        </is>
      </c>
      <c r="D1923" s="26" t="n"/>
      <c r="E1923" s="26" t="n"/>
      <c r="F1923" s="26" t="n"/>
      <c r="G1923" s="26" t="n"/>
      <c r="H1923" s="26" t="n">
        <v>410</v>
      </c>
      <c r="I1923" s="26" t="n">
        <v>2202</v>
      </c>
      <c r="J1923" s="19" t="n">
        <v>2497.56345</v>
      </c>
      <c r="K1923" s="37" t="n">
        <v>0.065</v>
      </c>
    </row>
    <row r="1924">
      <c r="A1924" s="34" t="inlineStr">
        <is>
          <t>AGA SPK-tilskudd</t>
        </is>
      </c>
      <c r="B1924" s="34" t="inlineStr">
        <is>
          <t>Region Vest</t>
        </is>
      </c>
      <c r="C1924" s="34" t="inlineStr">
        <is>
          <t>Kasa Ungdomssenter avd. Tertnes</t>
        </is>
      </c>
      <c r="D1924" s="18" t="n"/>
      <c r="E1924" s="18" t="n"/>
      <c r="F1924" s="18" t="n">
        <v>731</v>
      </c>
      <c r="G1924" s="18" t="n"/>
      <c r="H1924" s="18" t="n"/>
      <c r="I1924" s="18" t="n">
        <v>1220</v>
      </c>
      <c r="J1924" s="19" t="n">
        <v>1383.7545</v>
      </c>
      <c r="K1924" s="35" t="n">
        <v>0.065</v>
      </c>
    </row>
    <row r="1925">
      <c r="A1925" s="36" t="inlineStr">
        <is>
          <t>AGA SPK-tilskudd</t>
        </is>
      </c>
      <c r="B1925" s="36" t="inlineStr">
        <is>
          <t>Region Vest</t>
        </is>
      </c>
      <c r="C1925" s="36" t="inlineStr">
        <is>
          <t>Kasa Ungdomssenter avd. Tertnes</t>
        </is>
      </c>
      <c r="D1925" s="26" t="n">
        <v>2940</v>
      </c>
      <c r="E1925" s="26" t="n"/>
      <c r="F1925" s="26" t="n">
        <v>4420</v>
      </c>
      <c r="G1925" s="26" t="n">
        <v>4277</v>
      </c>
      <c r="H1925" s="26" t="n">
        <v>800</v>
      </c>
      <c r="I1925" s="26" t="n">
        <v>23399</v>
      </c>
      <c r="J1925" s="19" t="n">
        <v>36560.9375</v>
      </c>
      <c r="K1925" s="37" t="n">
        <v>0.25</v>
      </c>
    </row>
    <row r="1926">
      <c r="A1926" s="34" t="inlineStr">
        <is>
          <t>AGA SPK-tilskudd</t>
        </is>
      </c>
      <c r="B1926" s="34" t="inlineStr">
        <is>
          <t>Region Vest</t>
        </is>
      </c>
      <c r="C1926" s="34" t="inlineStr">
        <is>
          <t>Kasa Ungdomssenter avd. Tertnes</t>
        </is>
      </c>
      <c r="D1926" s="18" t="n">
        <v>1975</v>
      </c>
      <c r="E1926" s="18" t="n">
        <v>766</v>
      </c>
      <c r="F1926" s="18" t="n">
        <v>1803</v>
      </c>
      <c r="G1926" s="18" t="n">
        <v>4762</v>
      </c>
      <c r="H1926" s="18" t="n"/>
      <c r="I1926" s="18" t="n">
        <v>10633</v>
      </c>
      <c r="J1926" s="19" t="n">
        <v>16614.0625</v>
      </c>
      <c r="K1926" s="35" t="n">
        <v>0.25</v>
      </c>
    </row>
    <row r="1927">
      <c r="A1927" s="36" t="inlineStr">
        <is>
          <t>AGA SPK-tilskudd</t>
        </is>
      </c>
      <c r="B1927" s="36" t="inlineStr">
        <is>
          <t>Region Vest</t>
        </is>
      </c>
      <c r="C1927" s="36" t="inlineStr">
        <is>
          <t>Kasa Ungdomssenter avd. Tertnes</t>
        </is>
      </c>
      <c r="D1927" s="26" t="n"/>
      <c r="E1927" s="26" t="n"/>
      <c r="F1927" s="26" t="n">
        <v>103</v>
      </c>
      <c r="G1927" s="26" t="n"/>
      <c r="H1927" s="26" t="n">
        <v>164</v>
      </c>
      <c r="I1927" s="26" t="n">
        <v>1193</v>
      </c>
      <c r="J1927" s="19" t="n">
        <v>1353.130425</v>
      </c>
      <c r="K1927" s="37" t="n">
        <v>0.065</v>
      </c>
    </row>
    <row r="1928">
      <c r="A1928" s="34" t="inlineStr">
        <is>
          <t>AGA SPK-tilskudd</t>
        </is>
      </c>
      <c r="B1928" s="34" t="inlineStr">
        <is>
          <t>Region Vest</t>
        </is>
      </c>
      <c r="C1928" s="34" t="inlineStr">
        <is>
          <t>Kasa Ungdomssenter avd. Tertnes</t>
        </is>
      </c>
      <c r="D1928" s="18" t="n">
        <v>1659</v>
      </c>
      <c r="E1928" s="18" t="n">
        <v>2847</v>
      </c>
      <c r="F1928" s="18" t="n">
        <v>3575</v>
      </c>
      <c r="G1928" s="18" t="n">
        <v>6462</v>
      </c>
      <c r="H1928" s="18" t="n">
        <v>4810</v>
      </c>
      <c r="I1928" s="18" t="n">
        <v>3882</v>
      </c>
      <c r="J1928" s="19" t="n">
        <v>5454.302104002211</v>
      </c>
      <c r="K1928" s="35" t="n">
        <v>0.1853369672439338</v>
      </c>
    </row>
    <row r="1929">
      <c r="A1929" s="36" t="inlineStr">
        <is>
          <t>AGA SPK-tilskudd</t>
        </is>
      </c>
      <c r="B1929" s="36" t="inlineStr">
        <is>
          <t>Region Vest</t>
        </is>
      </c>
      <c r="C1929" s="36" t="inlineStr">
        <is>
          <t>Kasa Ungdomssenter avd. Tertnes</t>
        </is>
      </c>
      <c r="D1929" s="26" t="n"/>
      <c r="E1929" s="26" t="n">
        <v>-52345</v>
      </c>
      <c r="F1929" s="26" t="n">
        <v>-113715</v>
      </c>
      <c r="G1929" s="26" t="n"/>
      <c r="H1929" s="26" t="n"/>
      <c r="I1929" s="26" t="n">
        <v>-189750</v>
      </c>
      <c r="J1929" s="19" t="n">
        <v>-215219.19375</v>
      </c>
      <c r="K1929" s="37" t="n">
        <v>0.065</v>
      </c>
    </row>
    <row r="1930">
      <c r="A1930" s="34" t="inlineStr">
        <is>
          <t>AGA SPK-tilskudd</t>
        </is>
      </c>
      <c r="B1930" s="34" t="inlineStr">
        <is>
          <t>Region Vest</t>
        </is>
      </c>
      <c r="C1930" s="34" t="inlineStr">
        <is>
          <t>Kasa Ungdomssenter avd. Tertnes</t>
        </is>
      </c>
      <c r="D1930" s="18" t="n">
        <v>-25953</v>
      </c>
      <c r="E1930" s="18" t="n">
        <v>-67260</v>
      </c>
      <c r="F1930" s="18" t="n">
        <v>-33598</v>
      </c>
      <c r="G1930" s="18" t="n">
        <v>-664051</v>
      </c>
      <c r="H1930" s="18" t="n">
        <v>-205128</v>
      </c>
      <c r="I1930" s="18" t="n">
        <v>-1043882</v>
      </c>
      <c r="J1930" s="19" t="n">
        <v>-1183997.06145</v>
      </c>
      <c r="K1930" s="35" t="n">
        <v>0.065</v>
      </c>
    </row>
    <row r="1931">
      <c r="A1931" s="36" t="inlineStr">
        <is>
          <t>AGA SPK-tilskudd</t>
        </is>
      </c>
      <c r="B1931" s="36" t="inlineStr">
        <is>
          <t>Region Vest</t>
        </is>
      </c>
      <c r="C1931" s="36" t="inlineStr">
        <is>
          <t>Kasa Ungdomssenter avd. adm.</t>
        </is>
      </c>
      <c r="D1931" s="26" t="n">
        <v>23789</v>
      </c>
      <c r="E1931" s="26" t="n">
        <v>11245</v>
      </c>
      <c r="F1931" s="26" t="n">
        <v>10283</v>
      </c>
      <c r="G1931" s="26" t="n">
        <v>5024</v>
      </c>
      <c r="H1931" s="26" t="n">
        <v>9940</v>
      </c>
      <c r="I1931" s="26" t="n">
        <v>3334</v>
      </c>
      <c r="J1931" s="19" t="n">
        <v>1875.375</v>
      </c>
      <c r="K1931" s="37" t="n">
        <v>-0.25</v>
      </c>
    </row>
    <row r="1932">
      <c r="A1932" s="34" t="inlineStr">
        <is>
          <t>AGA SPK-tilskudd</t>
        </is>
      </c>
      <c r="B1932" s="34" t="inlineStr">
        <is>
          <t>Region Vest</t>
        </is>
      </c>
      <c r="C1932" s="34" t="inlineStr">
        <is>
          <t>Kasa Ungdomssenter avd. adm.</t>
        </is>
      </c>
      <c r="D1932" s="18" t="n">
        <v>9382</v>
      </c>
      <c r="E1932" s="18" t="n"/>
      <c r="F1932" s="18" t="n">
        <v>3698</v>
      </c>
      <c r="G1932" s="18" t="n">
        <v>3134</v>
      </c>
      <c r="H1932" s="18" t="n">
        <v>7364</v>
      </c>
      <c r="I1932" s="18" t="n"/>
      <c r="J1932" s="19" t="n">
        <v>0</v>
      </c>
      <c r="K1932" s="35" t="n">
        <v>0.065</v>
      </c>
    </row>
    <row r="1933">
      <c r="A1933" s="36" t="inlineStr">
        <is>
          <t>AGA SPK-tilskudd</t>
        </is>
      </c>
      <c r="B1933" s="36" t="inlineStr">
        <is>
          <t>Region Vest</t>
        </is>
      </c>
      <c r="C1933" s="36" t="inlineStr">
        <is>
          <t>Kasa Ungdomssenter avd. adm.</t>
        </is>
      </c>
      <c r="D1933" s="26" t="n">
        <v>2200</v>
      </c>
      <c r="E1933" s="26" t="n">
        <v>1227</v>
      </c>
      <c r="F1933" s="26" t="n">
        <v>1227</v>
      </c>
      <c r="G1933" s="26" t="n">
        <v>797</v>
      </c>
      <c r="H1933" s="26" t="n">
        <v>1665</v>
      </c>
      <c r="I1933" s="26" t="n">
        <v>721</v>
      </c>
      <c r="J1933" s="19" t="n">
        <v>461.4666266885587</v>
      </c>
      <c r="K1933" s="37" t="n">
        <v>-0.1999769189455125</v>
      </c>
    </row>
    <row r="1934">
      <c r="A1934" s="34" t="inlineStr">
        <is>
          <t>AGA SPK-tilskudd</t>
        </is>
      </c>
      <c r="B1934" s="34" t="inlineStr">
        <is>
          <t>Region Vest</t>
        </is>
      </c>
      <c r="C1934" s="34" t="inlineStr">
        <is>
          <t>Kasa Ungdomssenter avd. adm.</t>
        </is>
      </c>
      <c r="D1934" s="18" t="n">
        <v>124536</v>
      </c>
      <c r="E1934" s="18" t="n">
        <v>249072</v>
      </c>
      <c r="F1934" s="18" t="n"/>
      <c r="G1934" s="18" t="n"/>
      <c r="H1934" s="18" t="n"/>
      <c r="I1934" s="18" t="n"/>
      <c r="J1934" s="19" t="n">
        <v>0</v>
      </c>
      <c r="K1934" s="35" t="n">
        <v>0.065</v>
      </c>
    </row>
    <row r="1935">
      <c r="A1935" s="36" t="inlineStr">
        <is>
          <t>AGA SPK-tilskudd</t>
        </is>
      </c>
      <c r="B1935" s="36" t="inlineStr">
        <is>
          <t>Region Vest</t>
        </is>
      </c>
      <c r="C1935" s="36" t="inlineStr">
        <is>
          <t>Kasa Ungdomssenter avd. adm.</t>
        </is>
      </c>
      <c r="D1935" s="26" t="n">
        <v>6875</v>
      </c>
      <c r="E1935" s="26" t="n"/>
      <c r="F1935" s="26" t="n">
        <v>4400</v>
      </c>
      <c r="G1935" s="26" t="n">
        <v>23427</v>
      </c>
      <c r="H1935" s="26" t="n">
        <v>10721</v>
      </c>
      <c r="I1935" s="26" t="n">
        <v>12151</v>
      </c>
      <c r="J1935" s="19" t="n">
        <v>15259.76157992316</v>
      </c>
      <c r="K1935" s="37" t="n">
        <v>0.1206444991539126</v>
      </c>
    </row>
    <row r="1936">
      <c r="A1936" s="34" t="inlineStr">
        <is>
          <t>AGA SPK-tilskudd</t>
        </is>
      </c>
      <c r="B1936" s="34" t="inlineStr">
        <is>
          <t>Region Vest</t>
        </is>
      </c>
      <c r="C1936" s="34" t="inlineStr">
        <is>
          <t>Kasa Ungdomssenter avd. adm.</t>
        </is>
      </c>
      <c r="D1936" s="18" t="n"/>
      <c r="E1936" s="18" t="n"/>
      <c r="F1936" s="18" t="n">
        <v>428</v>
      </c>
      <c r="G1936" s="18" t="n">
        <v>3543</v>
      </c>
      <c r="H1936" s="18" t="n">
        <v>2752</v>
      </c>
      <c r="I1936" s="18" t="n">
        <v>2360</v>
      </c>
      <c r="J1936" s="19" t="n">
        <v>2676.771</v>
      </c>
      <c r="K1936" s="35" t="n">
        <v>0.065</v>
      </c>
    </row>
    <row r="1937">
      <c r="A1937" s="36" t="inlineStr">
        <is>
          <t>AGA SPK-tilskudd</t>
        </is>
      </c>
      <c r="B1937" s="36" t="inlineStr">
        <is>
          <t>Region Vest</t>
        </is>
      </c>
      <c r="C1937" s="36" t="inlineStr">
        <is>
          <t>Kasa Ungdomssenter avd. adm.</t>
        </is>
      </c>
      <c r="D1937" s="26" t="n">
        <v>290</v>
      </c>
      <c r="E1937" s="26" t="n"/>
      <c r="F1937" s="26" t="n"/>
      <c r="G1937" s="26" t="n"/>
      <c r="H1937" s="26" t="n"/>
      <c r="I1937" s="26" t="n"/>
      <c r="J1937" s="19" t="n">
        <v>0</v>
      </c>
      <c r="K1937" s="37" t="n">
        <v>0.065</v>
      </c>
    </row>
    <row r="1938">
      <c r="A1938" s="34" t="inlineStr">
        <is>
          <t>AGA SPK-tilskudd</t>
        </is>
      </c>
      <c r="B1938" s="34" t="inlineStr">
        <is>
          <t>Region Vest</t>
        </is>
      </c>
      <c r="C1938" s="34" t="inlineStr">
        <is>
          <t>Kasa Ungdomssenter avd. adm.</t>
        </is>
      </c>
      <c r="D1938" s="18" t="n">
        <v>-3648</v>
      </c>
      <c r="E1938" s="18" t="n"/>
      <c r="F1938" s="18" t="n">
        <v>-438713</v>
      </c>
      <c r="G1938" s="18" t="n">
        <v>-68745</v>
      </c>
      <c r="H1938" s="18" t="n"/>
      <c r="I1938" s="18" t="n"/>
      <c r="J1938" s="19" t="n">
        <v>0</v>
      </c>
      <c r="K1938" s="35" t="n">
        <v>0.065</v>
      </c>
    </row>
    <row r="1939">
      <c r="A1939" s="36" t="inlineStr">
        <is>
          <t>AGA SPK-tilskudd</t>
        </is>
      </c>
      <c r="B1939" s="36" t="inlineStr">
        <is>
          <t>Region Vest</t>
        </is>
      </c>
      <c r="C1939" s="36" t="inlineStr">
        <is>
          <t>Kommunikasjon</t>
        </is>
      </c>
      <c r="D1939" s="26" t="n"/>
      <c r="E1939" s="26" t="n"/>
      <c r="F1939" s="26" t="n"/>
      <c r="G1939" s="26" t="n"/>
      <c r="H1939" s="26" t="n">
        <v>5056</v>
      </c>
      <c r="I1939" s="26" t="n"/>
      <c r="J1939" s="19" t="n">
        <v>0</v>
      </c>
      <c r="K1939" s="37" t="n">
        <v>0.065</v>
      </c>
    </row>
    <row r="1940">
      <c r="A1940" s="34" t="inlineStr">
        <is>
          <t>AGA SPK-tilskudd</t>
        </is>
      </c>
      <c r="B1940" s="34" t="inlineStr">
        <is>
          <t>Region Vest</t>
        </is>
      </c>
      <c r="C1940" s="34" t="inlineStr">
        <is>
          <t>Kommunikasjon</t>
        </is>
      </c>
      <c r="D1940" s="18" t="n"/>
      <c r="E1940" s="18" t="n"/>
      <c r="F1940" s="18" t="n"/>
      <c r="G1940" s="18" t="n"/>
      <c r="H1940" s="18" t="n">
        <v>6000</v>
      </c>
      <c r="I1940" s="18" t="n"/>
      <c r="J1940" s="19" t="n">
        <v>0</v>
      </c>
      <c r="K1940" s="35" t="n">
        <v>0.065</v>
      </c>
    </row>
    <row r="1941">
      <c r="A1941" s="36" t="inlineStr">
        <is>
          <t>AGA SPK-tilskudd</t>
        </is>
      </c>
      <c r="B1941" s="36" t="inlineStr">
        <is>
          <t>Region Vest</t>
        </is>
      </c>
      <c r="C1941" s="36" t="inlineStr">
        <is>
          <t>Kontorfaglig enhet adm</t>
        </is>
      </c>
      <c r="D1941" s="26" t="n">
        <v>17389</v>
      </c>
      <c r="E1941" s="26" t="n">
        <v>16666</v>
      </c>
      <c r="F1941" s="26" t="n">
        <v>13262</v>
      </c>
      <c r="G1941" s="26" t="n">
        <v>12421</v>
      </c>
      <c r="H1941" s="26" t="n">
        <v>7038</v>
      </c>
      <c r="I1941" s="26" t="n">
        <v>181</v>
      </c>
      <c r="J1941" s="19" t="n">
        <v>101.8125</v>
      </c>
      <c r="K1941" s="37" t="n">
        <v>-0.25</v>
      </c>
    </row>
    <row r="1942">
      <c r="A1942" s="34" t="inlineStr">
        <is>
          <t>AGA SPK-tilskudd</t>
        </is>
      </c>
      <c r="B1942" s="34" t="inlineStr">
        <is>
          <t>Region Vest</t>
        </is>
      </c>
      <c r="C1942" s="34" t="inlineStr">
        <is>
          <t>Kontorfaglig enhet adm</t>
        </is>
      </c>
      <c r="D1942" s="18" t="n"/>
      <c r="E1942" s="18" t="n">
        <v>1859</v>
      </c>
      <c r="F1942" s="18" t="n">
        <v>2849</v>
      </c>
      <c r="G1942" s="18" t="n">
        <v>14359</v>
      </c>
      <c r="H1942" s="18" t="n">
        <v>15897</v>
      </c>
      <c r="I1942" s="18" t="n">
        <v>4263</v>
      </c>
      <c r="J1942" s="19" t="n">
        <v>6455.550815780664</v>
      </c>
      <c r="K1942" s="35" t="n">
        <v>0.2305775441381777</v>
      </c>
    </row>
    <row r="1943">
      <c r="A1943" s="36" t="inlineStr">
        <is>
          <t>AGA SPK-tilskudd</t>
        </is>
      </c>
      <c r="B1943" s="36" t="inlineStr">
        <is>
          <t>Region Vest</t>
        </is>
      </c>
      <c r="C1943" s="36" t="inlineStr">
        <is>
          <t>Kontorfaglig enhet adm</t>
        </is>
      </c>
      <c r="D1943" s="26" t="n">
        <v>2400</v>
      </c>
      <c r="E1943" s="26" t="n">
        <v>2761</v>
      </c>
      <c r="F1943" s="26" t="n">
        <v>2454</v>
      </c>
      <c r="G1943" s="26" t="n">
        <v>2921</v>
      </c>
      <c r="H1943" s="26" t="n">
        <v>1665</v>
      </c>
      <c r="I1943" s="26" t="n"/>
      <c r="J1943" s="19" t="n">
        <v>0</v>
      </c>
      <c r="K1943" s="37" t="n">
        <v>0.065</v>
      </c>
    </row>
    <row r="1944">
      <c r="A1944" s="34" t="inlineStr">
        <is>
          <t>AGA SPK-tilskudd</t>
        </is>
      </c>
      <c r="B1944" s="34" t="inlineStr">
        <is>
          <t>Region Vest</t>
        </is>
      </c>
      <c r="C1944" s="34" t="inlineStr">
        <is>
          <t>Kontorfaglig enhet adm</t>
        </is>
      </c>
      <c r="D1944" s="18" t="n"/>
      <c r="E1944" s="18" t="n">
        <v>379</v>
      </c>
      <c r="F1944" s="18" t="n"/>
      <c r="G1944" s="18" t="n">
        <v>761</v>
      </c>
      <c r="H1944" s="18" t="n">
        <v>3712</v>
      </c>
      <c r="I1944" s="18" t="n">
        <v>400</v>
      </c>
      <c r="J1944" s="19" t="n">
        <v>410.9323975500113</v>
      </c>
      <c r="K1944" s="35" t="n">
        <v>0.01357337863374664</v>
      </c>
    </row>
    <row r="1945">
      <c r="A1945" s="36" t="inlineStr">
        <is>
          <t>AGA SPK-tilskudd</t>
        </is>
      </c>
      <c r="B1945" s="36" t="inlineStr">
        <is>
          <t>Region Vest</t>
        </is>
      </c>
      <c r="C1945" s="36" t="inlineStr">
        <is>
          <t>Kontorfaglig enhet adm</t>
        </is>
      </c>
      <c r="D1945" s="26" t="n">
        <v>574</v>
      </c>
      <c r="E1945" s="26" t="n">
        <v>666</v>
      </c>
      <c r="F1945" s="26" t="n"/>
      <c r="G1945" s="26" t="n"/>
      <c r="H1945" s="26" t="n"/>
      <c r="I1945" s="26" t="n"/>
      <c r="J1945" s="19" t="n">
        <v>0</v>
      </c>
      <c r="K1945" s="37" t="n">
        <v>0.065</v>
      </c>
    </row>
    <row r="1946">
      <c r="A1946" s="34" t="inlineStr">
        <is>
          <t>AGA SPK-tilskudd</t>
        </is>
      </c>
      <c r="B1946" s="34" t="inlineStr">
        <is>
          <t>Region Vest</t>
        </is>
      </c>
      <c r="C1946" s="34" t="inlineStr">
        <is>
          <t>Kontorfaglig enhet adm</t>
        </is>
      </c>
      <c r="D1946" s="18" t="n">
        <v>230</v>
      </c>
      <c r="E1946" s="18" t="n"/>
      <c r="F1946" s="18" t="n">
        <v>446</v>
      </c>
      <c r="G1946" s="18" t="n">
        <v>433</v>
      </c>
      <c r="H1946" s="18" t="n"/>
      <c r="I1946" s="18" t="n"/>
      <c r="J1946" s="19" t="n">
        <v>0</v>
      </c>
      <c r="K1946" s="35" t="n">
        <v>0.065</v>
      </c>
    </row>
    <row r="1947">
      <c r="A1947" s="36" t="inlineStr">
        <is>
          <t>AGA SPK-tilskudd</t>
        </is>
      </c>
      <c r="B1947" s="36" t="inlineStr">
        <is>
          <t>Region Vest</t>
        </is>
      </c>
      <c r="C1947" s="36" t="inlineStr">
        <is>
          <t>Kontorfaglig enhet adm</t>
        </is>
      </c>
      <c r="D1947" s="26" t="n"/>
      <c r="E1947" s="26" t="n">
        <v>97</v>
      </c>
      <c r="F1947" s="26" t="n"/>
      <c r="G1947" s="26" t="n">
        <v>121</v>
      </c>
      <c r="H1947" s="26" t="n">
        <v>979</v>
      </c>
      <c r="I1947" s="26" t="n">
        <v>313</v>
      </c>
      <c r="J1947" s="19" t="n">
        <v>489.0625</v>
      </c>
      <c r="K1947" s="37" t="n">
        <v>0.25</v>
      </c>
    </row>
    <row r="1948">
      <c r="A1948" s="34" t="inlineStr">
        <is>
          <t>AGA SPK-tilskudd</t>
        </is>
      </c>
      <c r="B1948" s="34" t="inlineStr">
        <is>
          <t>Region Vest</t>
        </is>
      </c>
      <c r="C1948" s="34" t="inlineStr">
        <is>
          <t>Kontorfaglig enhet adm</t>
        </is>
      </c>
      <c r="D1948" s="18" t="n"/>
      <c r="E1948" s="18" t="n">
        <v>7680</v>
      </c>
      <c r="F1948" s="18" t="n"/>
      <c r="G1948" s="18" t="n"/>
      <c r="H1948" s="18" t="n"/>
      <c r="I1948" s="18" t="n"/>
      <c r="J1948" s="19" t="n">
        <v>0</v>
      </c>
      <c r="K1948" s="35" t="n">
        <v>0.065</v>
      </c>
    </row>
    <row r="1949">
      <c r="A1949" s="36" t="inlineStr">
        <is>
          <t>AGA SPK-tilskudd</t>
        </is>
      </c>
      <c r="B1949" s="36" t="inlineStr">
        <is>
          <t>Region Vest</t>
        </is>
      </c>
      <c r="C1949" s="36" t="inlineStr">
        <is>
          <t>Kontorfaglig enhet adm</t>
        </is>
      </c>
      <c r="D1949" s="26" t="n"/>
      <c r="E1949" s="26" t="n"/>
      <c r="F1949" s="26" t="n">
        <v>1819</v>
      </c>
      <c r="G1949" s="26" t="n">
        <v>3674</v>
      </c>
      <c r="H1949" s="26" t="n"/>
      <c r="I1949" s="26" t="n">
        <v>607</v>
      </c>
      <c r="J1949" s="19" t="n">
        <v>688.4745749999998</v>
      </c>
      <c r="K1949" s="37" t="n">
        <v>0.065</v>
      </c>
    </row>
    <row r="1950">
      <c r="A1950" s="34" t="inlineStr">
        <is>
          <t>AGA SPK-tilskudd</t>
        </is>
      </c>
      <c r="B1950" s="34" t="inlineStr">
        <is>
          <t>Region Vest</t>
        </is>
      </c>
      <c r="C1950" s="34" t="inlineStr">
        <is>
          <t>Kontorfaglig enhet adm</t>
        </is>
      </c>
      <c r="D1950" s="18" t="n">
        <v>-325962</v>
      </c>
      <c r="E1950" s="18" t="n">
        <v>-178504</v>
      </c>
      <c r="F1950" s="18" t="n">
        <v>-15652</v>
      </c>
      <c r="G1950" s="18" t="n"/>
      <c r="H1950" s="18" t="n"/>
      <c r="I1950" s="18" t="n"/>
      <c r="J1950" s="19" t="n">
        <v>0</v>
      </c>
      <c r="K1950" s="35" t="n">
        <v>0.065</v>
      </c>
    </row>
    <row r="1951">
      <c r="A1951" s="36" t="inlineStr">
        <is>
          <t>AGA SPK-tilskudd</t>
        </is>
      </c>
      <c r="B1951" s="36" t="inlineStr">
        <is>
          <t>Region Vest</t>
        </is>
      </c>
      <c r="C1951" s="36" t="inlineStr">
        <is>
          <t>Krabbedalen</t>
        </is>
      </c>
      <c r="D1951" s="26" t="n">
        <v>-754</v>
      </c>
      <c r="E1951" s="26" t="n"/>
      <c r="F1951" s="26" t="n"/>
      <c r="G1951" s="26" t="n"/>
      <c r="H1951" s="26" t="n"/>
      <c r="I1951" s="26" t="n"/>
      <c r="J1951" s="19" t="n">
        <v>0</v>
      </c>
      <c r="K1951" s="37" t="n">
        <v>0.065</v>
      </c>
    </row>
    <row r="1952">
      <c r="A1952" s="34" t="inlineStr">
        <is>
          <t>AGA SPK-tilskudd</t>
        </is>
      </c>
      <c r="B1952" s="34" t="inlineStr">
        <is>
          <t>Region Vest</t>
        </is>
      </c>
      <c r="C1952" s="34" t="inlineStr">
        <is>
          <t>Krabbedalen</t>
        </is>
      </c>
      <c r="D1952" s="18" t="n">
        <v>449</v>
      </c>
      <c r="E1952" s="18" t="n"/>
      <c r="F1952" s="18" t="n"/>
      <c r="G1952" s="18" t="n"/>
      <c r="H1952" s="18" t="n"/>
      <c r="I1952" s="18" t="n"/>
      <c r="J1952" s="19" t="n">
        <v>0</v>
      </c>
      <c r="K1952" s="35" t="n">
        <v>0.065</v>
      </c>
    </row>
    <row r="1953">
      <c r="A1953" s="36" t="inlineStr">
        <is>
          <t>AGA SPK-tilskudd</t>
        </is>
      </c>
      <c r="B1953" s="36" t="inlineStr">
        <is>
          <t>Region Vest</t>
        </is>
      </c>
      <c r="C1953" s="36" t="inlineStr">
        <is>
          <t>Krabbedalen</t>
        </is>
      </c>
      <c r="D1953" s="26" t="n">
        <v>1700</v>
      </c>
      <c r="E1953" s="26" t="n"/>
      <c r="F1953" s="26" t="n"/>
      <c r="G1953" s="26" t="n"/>
      <c r="H1953" s="26" t="n"/>
      <c r="I1953" s="26" t="n"/>
      <c r="J1953" s="19" t="n">
        <v>0</v>
      </c>
      <c r="K1953" s="37" t="n">
        <v>0.065</v>
      </c>
    </row>
    <row r="1954">
      <c r="A1954" s="34" t="inlineStr">
        <is>
          <t>AGA SPK-tilskudd</t>
        </is>
      </c>
      <c r="B1954" s="34" t="inlineStr">
        <is>
          <t>Region Vest</t>
        </is>
      </c>
      <c r="C1954" s="34" t="inlineStr">
        <is>
          <t>Krabbedalen</t>
        </is>
      </c>
      <c r="D1954" s="18" t="n">
        <v>-26823</v>
      </c>
      <c r="E1954" s="18" t="n"/>
      <c r="F1954" s="18" t="n"/>
      <c r="G1954" s="18" t="n"/>
      <c r="H1954" s="18" t="n"/>
      <c r="I1954" s="18" t="n"/>
      <c r="J1954" s="19" t="n">
        <v>0</v>
      </c>
      <c r="K1954" s="35" t="n">
        <v>0.065</v>
      </c>
    </row>
    <row r="1955">
      <c r="A1955" s="36" t="inlineStr">
        <is>
          <t>AGA SPK-tilskudd</t>
        </is>
      </c>
      <c r="B1955" s="36" t="inlineStr">
        <is>
          <t>Region Vest</t>
        </is>
      </c>
      <c r="C1955" s="36" t="inlineStr">
        <is>
          <t>MST Bergen team 1</t>
        </is>
      </c>
      <c r="D1955" s="26" t="n"/>
      <c r="E1955" s="26" t="n">
        <v>10800</v>
      </c>
      <c r="F1955" s="26" t="n">
        <v>7200</v>
      </c>
      <c r="G1955" s="26" t="n"/>
      <c r="H1955" s="26" t="n"/>
      <c r="I1955" s="26" t="n"/>
      <c r="J1955" s="19" t="n">
        <v>0</v>
      </c>
      <c r="K1955" s="37" t="n">
        <v>0.065</v>
      </c>
    </row>
    <row r="1956">
      <c r="A1956" s="34" t="inlineStr">
        <is>
          <t>AGA SPK-tilskudd</t>
        </is>
      </c>
      <c r="B1956" s="34" t="inlineStr">
        <is>
          <t>Region Vest</t>
        </is>
      </c>
      <c r="C1956" s="34" t="inlineStr">
        <is>
          <t>MultifunC - Bergen ungdomssenter</t>
        </is>
      </c>
      <c r="D1956" s="18" t="n">
        <v>5531</v>
      </c>
      <c r="E1956" s="18" t="n"/>
      <c r="F1956" s="18" t="n"/>
      <c r="G1956" s="18" t="n"/>
      <c r="H1956" s="18" t="n"/>
      <c r="I1956" s="18" t="n"/>
      <c r="J1956" s="19" t="n">
        <v>0</v>
      </c>
      <c r="K1956" s="35" t="n">
        <v>0.065</v>
      </c>
    </row>
    <row r="1957">
      <c r="A1957" s="36" t="inlineStr">
        <is>
          <t>AGA SPK-tilskudd</t>
        </is>
      </c>
      <c r="B1957" s="36" t="inlineStr">
        <is>
          <t>Region Vest</t>
        </is>
      </c>
      <c r="C1957" s="36" t="inlineStr">
        <is>
          <t>MultifunC - Bergen ungdomssenter</t>
        </is>
      </c>
      <c r="D1957" s="26" t="n">
        <v>183</v>
      </c>
      <c r="E1957" s="26" t="n"/>
      <c r="F1957" s="26" t="n"/>
      <c r="G1957" s="26" t="n"/>
      <c r="H1957" s="26" t="n"/>
      <c r="I1957" s="26" t="n"/>
      <c r="J1957" s="19" t="n">
        <v>0</v>
      </c>
      <c r="K1957" s="37" t="n">
        <v>0.065</v>
      </c>
    </row>
    <row r="1958">
      <c r="A1958" s="34" t="inlineStr">
        <is>
          <t>AGA SPK-tilskudd</t>
        </is>
      </c>
      <c r="B1958" s="34" t="inlineStr">
        <is>
          <t>Region Vest</t>
        </is>
      </c>
      <c r="C1958" s="34" t="inlineStr">
        <is>
          <t>MultifunC - Bergen ungdomssenter</t>
        </is>
      </c>
      <c r="D1958" s="18" t="n">
        <v>1000</v>
      </c>
      <c r="E1958" s="18" t="n"/>
      <c r="F1958" s="18" t="n"/>
      <c r="G1958" s="18" t="n"/>
      <c r="H1958" s="18" t="n"/>
      <c r="I1958" s="18" t="n"/>
      <c r="J1958" s="19" t="n">
        <v>0</v>
      </c>
      <c r="K1958" s="35" t="n">
        <v>0.065</v>
      </c>
    </row>
    <row r="1959">
      <c r="A1959" s="36" t="inlineStr">
        <is>
          <t>AGA SPK-tilskudd</t>
        </is>
      </c>
      <c r="B1959" s="36" t="inlineStr">
        <is>
          <t>Region Vest</t>
        </is>
      </c>
      <c r="C1959" s="36" t="inlineStr">
        <is>
          <t>MultifunC - Bergen ungdomssenter</t>
        </is>
      </c>
      <c r="D1959" s="26" t="n">
        <v>126075</v>
      </c>
      <c r="E1959" s="26" t="n">
        <v>378225</v>
      </c>
      <c r="F1959" s="26" t="n"/>
      <c r="G1959" s="26" t="n"/>
      <c r="H1959" s="26" t="n"/>
      <c r="I1959" s="26" t="n"/>
      <c r="J1959" s="19" t="n">
        <v>0</v>
      </c>
      <c r="K1959" s="37" t="n">
        <v>0.065</v>
      </c>
    </row>
    <row r="1960">
      <c r="A1960" s="34" t="inlineStr">
        <is>
          <t>AGA SPK-tilskudd</t>
        </is>
      </c>
      <c r="B1960" s="34" t="inlineStr">
        <is>
          <t>Region Vest</t>
        </is>
      </c>
      <c r="C1960" s="34" t="inlineStr">
        <is>
          <t>MultifunC - Bergen ungdomssenter</t>
        </is>
      </c>
      <c r="D1960" s="18" t="n">
        <v>126</v>
      </c>
      <c r="E1960" s="18" t="n"/>
      <c r="F1960" s="18" t="n"/>
      <c r="G1960" s="18" t="n"/>
      <c r="H1960" s="18" t="n"/>
      <c r="I1960" s="18" t="n"/>
      <c r="J1960" s="19" t="n">
        <v>0</v>
      </c>
      <c r="K1960" s="35" t="n">
        <v>0.065</v>
      </c>
    </row>
    <row r="1961">
      <c r="A1961" s="36" t="inlineStr">
        <is>
          <t>AGA SPK-tilskudd</t>
        </is>
      </c>
      <c r="B1961" s="36" t="inlineStr">
        <is>
          <t>Region Vest</t>
        </is>
      </c>
      <c r="C1961" s="36" t="inlineStr">
        <is>
          <t>MultifunC - Bergen ungdomssenter</t>
        </is>
      </c>
      <c r="D1961" s="26" t="n">
        <v>19</v>
      </c>
      <c r="E1961" s="26" t="n"/>
      <c r="F1961" s="26" t="n"/>
      <c r="G1961" s="26" t="n"/>
      <c r="H1961" s="26" t="n"/>
      <c r="I1961" s="26" t="n"/>
      <c r="J1961" s="19" t="n">
        <v>0</v>
      </c>
      <c r="K1961" s="37" t="n">
        <v>0.065</v>
      </c>
    </row>
    <row r="1962">
      <c r="A1962" s="34" t="inlineStr">
        <is>
          <t>AGA SPK-tilskudd</t>
        </is>
      </c>
      <c r="B1962" s="34" t="inlineStr">
        <is>
          <t>Region Vest</t>
        </is>
      </c>
      <c r="C1962" s="34" t="inlineStr">
        <is>
          <t>MultifunC - Bergen ungdomssenter</t>
        </is>
      </c>
      <c r="D1962" s="18" t="n">
        <v>-309166</v>
      </c>
      <c r="E1962" s="18" t="n">
        <v>-7599</v>
      </c>
      <c r="F1962" s="18" t="n"/>
      <c r="G1962" s="18" t="n"/>
      <c r="H1962" s="18" t="n"/>
      <c r="I1962" s="18" t="n"/>
      <c r="J1962" s="19" t="n">
        <v>0</v>
      </c>
      <c r="K1962" s="35" t="n">
        <v>0.065</v>
      </c>
    </row>
    <row r="1963">
      <c r="A1963" s="36" t="inlineStr">
        <is>
          <t>AGA SPK-tilskudd</t>
        </is>
      </c>
      <c r="B1963" s="36" t="inlineStr">
        <is>
          <t>Region Vest</t>
        </is>
      </c>
      <c r="C1963" s="36" t="inlineStr">
        <is>
          <t>Omsorg for ungdom (F3)</t>
        </is>
      </c>
      <c r="D1963" s="26" t="n"/>
      <c r="E1963" s="26" t="n"/>
      <c r="F1963" s="26" t="n">
        <v>-437</v>
      </c>
      <c r="G1963" s="26" t="n"/>
      <c r="H1963" s="26" t="n"/>
      <c r="I1963" s="26" t="n">
        <v>3993</v>
      </c>
      <c r="J1963" s="19" t="n">
        <v>4528.960424999999</v>
      </c>
      <c r="K1963" s="37" t="n">
        <v>0.065</v>
      </c>
    </row>
    <row r="1964">
      <c r="A1964" s="34" t="inlineStr">
        <is>
          <t>AGA SPK-tilskudd</t>
        </is>
      </c>
      <c r="B1964" s="34" t="inlineStr">
        <is>
          <t>Region Vest</t>
        </is>
      </c>
      <c r="C1964" s="34" t="inlineStr">
        <is>
          <t>Omsorg for ungdom (F3)</t>
        </is>
      </c>
      <c r="D1964" s="18" t="n"/>
      <c r="E1964" s="18" t="n"/>
      <c r="F1964" s="18" t="n">
        <v>463</v>
      </c>
      <c r="G1964" s="18" t="n"/>
      <c r="H1964" s="18" t="n"/>
      <c r="I1964" s="18" t="n">
        <v>558</v>
      </c>
      <c r="J1964" s="19" t="n">
        <v>632.8975499999999</v>
      </c>
      <c r="K1964" s="35" t="n">
        <v>0.065</v>
      </c>
    </row>
    <row r="1965">
      <c r="A1965" s="36" t="inlineStr">
        <is>
          <t>AGA SPK-tilskudd</t>
        </is>
      </c>
      <c r="B1965" s="36" t="inlineStr">
        <is>
          <t>Region Vest</t>
        </is>
      </c>
      <c r="C1965" s="36" t="inlineStr">
        <is>
          <t>Region vest - Adferd høy</t>
        </is>
      </c>
      <c r="D1965" s="26" t="n"/>
      <c r="E1965" s="26" t="n"/>
      <c r="F1965" s="26" t="n"/>
      <c r="G1965" s="26" t="n">
        <v>4995</v>
      </c>
      <c r="H1965" s="26" t="n"/>
      <c r="I1965" s="26" t="n"/>
      <c r="J1965" s="19" t="n">
        <v>0</v>
      </c>
      <c r="K1965" s="37" t="n">
        <v>0.065</v>
      </c>
    </row>
    <row r="1966">
      <c r="A1966" s="34" t="inlineStr">
        <is>
          <t>AGA SPK-tilskudd</t>
        </is>
      </c>
      <c r="B1966" s="34" t="inlineStr">
        <is>
          <t>Region Vest</t>
        </is>
      </c>
      <c r="C1966" s="34" t="inlineStr">
        <is>
          <t>Region vest - Adferd høy</t>
        </is>
      </c>
      <c r="D1966" s="18" t="n"/>
      <c r="E1966" s="18" t="n"/>
      <c r="F1966" s="18" t="n">
        <v>6656</v>
      </c>
      <c r="G1966" s="18" t="n">
        <v>4193</v>
      </c>
      <c r="H1966" s="18" t="n">
        <v>3843</v>
      </c>
      <c r="I1966" s="18" t="n"/>
      <c r="J1966" s="19" t="n">
        <v>0</v>
      </c>
      <c r="K1966" s="35" t="n">
        <v>0.065</v>
      </c>
    </row>
    <row r="1967">
      <c r="A1967" s="36" t="inlineStr">
        <is>
          <t>AGA SPK-tilskudd</t>
        </is>
      </c>
      <c r="B1967" s="36" t="inlineStr">
        <is>
          <t>Region Vest</t>
        </is>
      </c>
      <c r="C1967" s="36" t="inlineStr">
        <is>
          <t>Region vest - Adferd høy</t>
        </is>
      </c>
      <c r="D1967" s="26" t="n"/>
      <c r="E1967" s="26" t="n"/>
      <c r="F1967" s="26" t="n"/>
      <c r="G1967" s="26" t="n">
        <v>796</v>
      </c>
      <c r="H1967" s="26" t="n"/>
      <c r="I1967" s="26" t="n"/>
      <c r="J1967" s="19" t="n">
        <v>0</v>
      </c>
      <c r="K1967" s="37" t="n">
        <v>0.065</v>
      </c>
    </row>
    <row r="1968">
      <c r="A1968" s="34" t="inlineStr">
        <is>
          <t>AGA SPK-tilskudd</t>
        </is>
      </c>
      <c r="B1968" s="34" t="inlineStr">
        <is>
          <t>Region Vest</t>
        </is>
      </c>
      <c r="C1968" s="34" t="inlineStr">
        <is>
          <t>Region vest - Adferd høy</t>
        </is>
      </c>
      <c r="D1968" s="18" t="n"/>
      <c r="E1968" s="18" t="n"/>
      <c r="F1968" s="18" t="n"/>
      <c r="G1968" s="18" t="n">
        <v>100</v>
      </c>
      <c r="H1968" s="18" t="n">
        <v>811</v>
      </c>
      <c r="I1968" s="18" t="n"/>
      <c r="J1968" s="19" t="n">
        <v>0</v>
      </c>
      <c r="K1968" s="35" t="n">
        <v>0.065</v>
      </c>
    </row>
    <row r="1969">
      <c r="A1969" s="36" t="inlineStr">
        <is>
          <t>AGA SPK-tilskudd</t>
        </is>
      </c>
      <c r="B1969" s="36" t="inlineStr">
        <is>
          <t>Region Vest</t>
        </is>
      </c>
      <c r="C1969" s="36" t="inlineStr">
        <is>
          <t>Region vest - Adferd høy</t>
        </is>
      </c>
      <c r="D1969" s="26" t="n"/>
      <c r="E1969" s="26" t="n"/>
      <c r="F1969" s="26" t="n"/>
      <c r="G1969" s="26" t="n">
        <v>589</v>
      </c>
      <c r="H1969" s="26" t="n"/>
      <c r="I1969" s="26" t="n"/>
      <c r="J1969" s="19" t="n">
        <v>0</v>
      </c>
      <c r="K1969" s="37" t="n">
        <v>0.065</v>
      </c>
    </row>
    <row r="1970">
      <c r="A1970" s="34" t="inlineStr">
        <is>
          <t>AGA SPK-tilskudd</t>
        </is>
      </c>
      <c r="B1970" s="34" t="inlineStr">
        <is>
          <t>Region Vest</t>
        </is>
      </c>
      <c r="C1970" s="34" t="inlineStr">
        <is>
          <t>Region vest - Adferd høy</t>
        </is>
      </c>
      <c r="D1970" s="18" t="n"/>
      <c r="E1970" s="18" t="n"/>
      <c r="F1970" s="18" t="n"/>
      <c r="G1970" s="18" t="n">
        <v>71</v>
      </c>
      <c r="H1970" s="18" t="n">
        <v>243</v>
      </c>
      <c r="I1970" s="18" t="n"/>
      <c r="J1970" s="19" t="n">
        <v>0</v>
      </c>
      <c r="K1970" s="35" t="n">
        <v>0.065</v>
      </c>
    </row>
    <row r="1971">
      <c r="A1971" s="36" t="inlineStr">
        <is>
          <t>AGA SPK-tilskudd</t>
        </is>
      </c>
      <c r="B1971" s="36" t="inlineStr">
        <is>
          <t>Region Vest</t>
        </is>
      </c>
      <c r="C1971" s="36" t="inlineStr">
        <is>
          <t>Region vest - Adferd høy</t>
        </is>
      </c>
      <c r="D1971" s="26" t="n"/>
      <c r="E1971" s="26" t="n"/>
      <c r="F1971" s="26" t="n"/>
      <c r="G1971" s="26" t="n">
        <v>-251</v>
      </c>
      <c r="H1971" s="26" t="n"/>
      <c r="I1971" s="26" t="n"/>
      <c r="J1971" s="19" t="n">
        <v>0</v>
      </c>
      <c r="K1971" s="37" t="n">
        <v>0.065</v>
      </c>
    </row>
    <row r="1972">
      <c r="A1972" s="34" t="inlineStr">
        <is>
          <t>AGA SPK-tilskudd</t>
        </is>
      </c>
      <c r="B1972" s="34" t="inlineStr">
        <is>
          <t>Region Vest</t>
        </is>
      </c>
      <c r="C1972" s="34" t="inlineStr">
        <is>
          <t>Regionkontor-stab</t>
        </is>
      </c>
      <c r="D1972" s="18" t="n"/>
      <c r="E1972" s="18" t="n"/>
      <c r="F1972" s="18" t="n"/>
      <c r="G1972" s="18" t="n"/>
      <c r="H1972" s="18" t="n"/>
      <c r="I1972" s="18" t="n">
        <v>-34655</v>
      </c>
      <c r="J1972" s="19" t="n">
        <v>-39306.56737499999</v>
      </c>
      <c r="K1972" s="35" t="n">
        <v>0.065</v>
      </c>
    </row>
    <row r="1973">
      <c r="A1973" s="36" t="inlineStr">
        <is>
          <t>AGA SPK-tilskudd</t>
        </is>
      </c>
      <c r="B1973" s="36" t="inlineStr">
        <is>
          <t>Region Vest</t>
        </is>
      </c>
      <c r="C1973" s="36" t="inlineStr">
        <is>
          <t>Regionkontor-stab</t>
        </is>
      </c>
      <c r="D1973" s="26" t="n"/>
      <c r="E1973" s="26" t="n">
        <v>61235</v>
      </c>
      <c r="F1973" s="26" t="n">
        <v>14391</v>
      </c>
      <c r="G1973" s="26" t="n">
        <v>2455</v>
      </c>
      <c r="H1973" s="26" t="n"/>
      <c r="I1973" s="26" t="n"/>
      <c r="J1973" s="19" t="n">
        <v>0</v>
      </c>
      <c r="K1973" s="37" t="n">
        <v>0.065</v>
      </c>
    </row>
    <row r="1974">
      <c r="A1974" s="34" t="inlineStr">
        <is>
          <t>AGA SPK-tilskudd</t>
        </is>
      </c>
      <c r="B1974" s="34" t="inlineStr">
        <is>
          <t>Region Vest</t>
        </is>
      </c>
      <c r="C1974" s="34" t="inlineStr">
        <is>
          <t>Regionkontor-stab</t>
        </is>
      </c>
      <c r="D1974" s="18" t="n"/>
      <c r="E1974" s="18" t="n"/>
      <c r="F1974" s="18" t="n"/>
      <c r="G1974" s="18" t="n"/>
      <c r="H1974" s="18" t="n"/>
      <c r="I1974" s="18" t="n">
        <v>-303936</v>
      </c>
      <c r="J1974" s="19" t="n">
        <v>-344731.8095999999</v>
      </c>
      <c r="K1974" s="35" t="n">
        <v>0.065</v>
      </c>
    </row>
    <row r="1975">
      <c r="A1975" s="36" t="inlineStr">
        <is>
          <t>AGA SPK-tilskudd</t>
        </is>
      </c>
      <c r="B1975" s="36" t="inlineStr">
        <is>
          <t>Region Vest</t>
        </is>
      </c>
      <c r="C1975" s="36" t="inlineStr">
        <is>
          <t>Regionkontor-stab</t>
        </is>
      </c>
      <c r="D1975" s="26" t="n"/>
      <c r="E1975" s="26" t="n">
        <v>29936</v>
      </c>
      <c r="F1975" s="26" t="n">
        <v>347732</v>
      </c>
      <c r="G1975" s="26" t="n">
        <v>388257</v>
      </c>
      <c r="H1975" s="26" t="n">
        <v>420937</v>
      </c>
      <c r="I1975" s="26" t="n">
        <v>315757</v>
      </c>
      <c r="J1975" s="19" t="n">
        <v>493370.3125</v>
      </c>
      <c r="K1975" s="37" t="n">
        <v>0.25</v>
      </c>
    </row>
    <row r="1976">
      <c r="A1976" s="34" t="inlineStr">
        <is>
          <t>AGA SPK-tilskudd</t>
        </is>
      </c>
      <c r="B1976" s="34" t="inlineStr">
        <is>
          <t>Region Vest</t>
        </is>
      </c>
      <c r="C1976" s="34" t="inlineStr">
        <is>
          <t>Regionkontor-stab</t>
        </is>
      </c>
      <c r="D1976" s="18" t="n"/>
      <c r="E1976" s="18" t="n"/>
      <c r="F1976" s="18" t="n"/>
      <c r="G1976" s="18" t="n">
        <v>254064</v>
      </c>
      <c r="H1976" s="18" t="n"/>
      <c r="I1976" s="18" t="n">
        <v>304914</v>
      </c>
      <c r="J1976" s="19" t="n">
        <v>345841.0816499999</v>
      </c>
      <c r="K1976" s="35" t="n">
        <v>0.065</v>
      </c>
    </row>
    <row r="1977">
      <c r="A1977" s="36" t="inlineStr">
        <is>
          <t>AGA SPK-tilskudd</t>
        </is>
      </c>
      <c r="B1977" s="36" t="inlineStr">
        <is>
          <t>Region Vest</t>
        </is>
      </c>
      <c r="C1977" s="36" t="inlineStr">
        <is>
          <t>Regionkontoret-</t>
        </is>
      </c>
      <c r="D1977" s="26" t="n"/>
      <c r="E1977" s="26" t="n"/>
      <c r="F1977" s="26" t="n"/>
      <c r="G1977" s="26" t="n">
        <v>2602</v>
      </c>
      <c r="H1977" s="26" t="n"/>
      <c r="I1977" s="26" t="n"/>
      <c r="J1977" s="19" t="n">
        <v>0</v>
      </c>
      <c r="K1977" s="37" t="n">
        <v>0.065</v>
      </c>
    </row>
    <row r="1978">
      <c r="A1978" s="34" t="inlineStr">
        <is>
          <t>AGA SPK-tilskudd</t>
        </is>
      </c>
      <c r="B1978" s="34" t="inlineStr">
        <is>
          <t>Region Vest</t>
        </is>
      </c>
      <c r="C1978" s="34" t="inlineStr">
        <is>
          <t>Regionkontoret-</t>
        </is>
      </c>
      <c r="D1978" s="18" t="n"/>
      <c r="E1978" s="18" t="n">
        <v>41484</v>
      </c>
      <c r="F1978" s="18" t="n">
        <v>18991</v>
      </c>
      <c r="G1978" s="18" t="n"/>
      <c r="H1978" s="18" t="n"/>
      <c r="I1978" s="18" t="n"/>
      <c r="J1978" s="19" t="n">
        <v>0</v>
      </c>
      <c r="K1978" s="35" t="n">
        <v>0.065</v>
      </c>
    </row>
    <row r="1979">
      <c r="A1979" s="36" t="inlineStr">
        <is>
          <t>AGA SPK-tilskudd</t>
        </is>
      </c>
      <c r="B1979" s="36" t="inlineStr">
        <is>
          <t>Region Vest</t>
        </is>
      </c>
      <c r="C1979" s="36" t="inlineStr">
        <is>
          <t>Regionkontoret-</t>
        </is>
      </c>
      <c r="D1979" s="26" t="n"/>
      <c r="E1979" s="26" t="n">
        <v>1684</v>
      </c>
      <c r="F1979" s="26" t="n"/>
      <c r="G1979" s="26" t="n"/>
      <c r="H1979" s="26" t="n"/>
      <c r="I1979" s="26" t="n"/>
      <c r="J1979" s="19" t="n">
        <v>0</v>
      </c>
      <c r="K1979" s="37" t="n">
        <v>0.065</v>
      </c>
    </row>
    <row r="1980">
      <c r="A1980" s="34" t="inlineStr">
        <is>
          <t>AGA SPK-tilskudd</t>
        </is>
      </c>
      <c r="B1980" s="34" t="inlineStr">
        <is>
          <t>Region Vest</t>
        </is>
      </c>
      <c r="C1980" s="34" t="inlineStr">
        <is>
          <t>SAS - Haugesund beredskapshjem</t>
        </is>
      </c>
      <c r="D1980" s="18" t="n"/>
      <c r="E1980" s="18" t="n"/>
      <c r="F1980" s="18" t="n"/>
      <c r="G1980" s="18" t="n">
        <v>26</v>
      </c>
      <c r="H1980" s="18" t="n"/>
      <c r="I1980" s="18" t="n"/>
      <c r="J1980" s="19" t="n">
        <v>0</v>
      </c>
      <c r="K1980" s="35" t="n">
        <v>0.065</v>
      </c>
    </row>
    <row r="1981">
      <c r="A1981" s="36" t="inlineStr">
        <is>
          <t>AGA SPK-tilskudd</t>
        </is>
      </c>
      <c r="B1981" s="36" t="inlineStr">
        <is>
          <t>Region Vest</t>
        </is>
      </c>
      <c r="C1981" s="36" t="inlineStr">
        <is>
          <t>SAS - Haugesund beredskapshjem</t>
        </is>
      </c>
      <c r="D1981" s="26" t="n"/>
      <c r="E1981" s="26" t="n"/>
      <c r="F1981" s="26" t="n"/>
      <c r="G1981" s="26" t="n">
        <v>13734</v>
      </c>
      <c r="H1981" s="26" t="n"/>
      <c r="I1981" s="26" t="n"/>
      <c r="J1981" s="19" t="n">
        <v>0</v>
      </c>
      <c r="K1981" s="37" t="n">
        <v>0.065</v>
      </c>
    </row>
    <row r="1982">
      <c r="A1982" s="34" t="inlineStr">
        <is>
          <t>AGA SPK-tilskudd</t>
        </is>
      </c>
      <c r="B1982" s="34" t="inlineStr">
        <is>
          <t>Region Vest</t>
        </is>
      </c>
      <c r="C1982" s="34" t="inlineStr">
        <is>
          <t>SAS - Haugesund beredskapshjem</t>
        </is>
      </c>
      <c r="D1982" s="18" t="n"/>
      <c r="E1982" s="18" t="n"/>
      <c r="F1982" s="18" t="n"/>
      <c r="G1982" s="18" t="n">
        <v>567</v>
      </c>
      <c r="H1982" s="18" t="n"/>
      <c r="I1982" s="18" t="n"/>
      <c r="J1982" s="19" t="n">
        <v>0</v>
      </c>
      <c r="K1982" s="35" t="n">
        <v>0.065</v>
      </c>
    </row>
    <row r="1983">
      <c r="A1983" s="36" t="inlineStr">
        <is>
          <t>AGA SPK-tilskudd</t>
        </is>
      </c>
      <c r="B1983" s="36" t="inlineStr">
        <is>
          <t>Region Vest</t>
        </is>
      </c>
      <c r="C1983" s="36" t="inlineStr">
        <is>
          <t>SAS - Haugesund beredskapshjem</t>
        </is>
      </c>
      <c r="D1983" s="26" t="n"/>
      <c r="E1983" s="26" t="n"/>
      <c r="F1983" s="26" t="n"/>
      <c r="G1983" s="26" t="n">
        <v>123</v>
      </c>
      <c r="H1983" s="26" t="n"/>
      <c r="I1983" s="26" t="n"/>
      <c r="J1983" s="19" t="n">
        <v>0</v>
      </c>
      <c r="K1983" s="37" t="n">
        <v>0.065</v>
      </c>
    </row>
    <row r="1984">
      <c r="A1984" s="34" t="inlineStr">
        <is>
          <t>AGA SPK-tilskudd</t>
        </is>
      </c>
      <c r="B1984" s="34" t="inlineStr">
        <is>
          <t>Region Vest</t>
        </is>
      </c>
      <c r="C1984" s="34" t="inlineStr">
        <is>
          <t>SAS - Haugesund beredskapshjem</t>
        </is>
      </c>
      <c r="D1984" s="18" t="n"/>
      <c r="E1984" s="18" t="n"/>
      <c r="F1984" s="18" t="n"/>
      <c r="G1984" s="18" t="n">
        <v>5936</v>
      </c>
      <c r="H1984" s="18" t="n"/>
      <c r="I1984" s="18" t="n"/>
      <c r="J1984" s="19" t="n">
        <v>0</v>
      </c>
      <c r="K1984" s="35" t="n">
        <v>0.065</v>
      </c>
    </row>
    <row r="1985">
      <c r="A1985" s="36" t="inlineStr">
        <is>
          <t>AGA SPK-tilskudd</t>
        </is>
      </c>
      <c r="B1985" s="36" t="inlineStr">
        <is>
          <t>Region Vest</t>
        </is>
      </c>
      <c r="C1985" s="36" t="inlineStr">
        <is>
          <t>SFU avd Bregnetunet</t>
        </is>
      </c>
      <c r="D1985" s="26" t="n">
        <v>116096</v>
      </c>
      <c r="E1985" s="26" t="n">
        <v>94948</v>
      </c>
      <c r="F1985" s="26" t="n">
        <v>101075</v>
      </c>
      <c r="G1985" s="26" t="n">
        <v>154106</v>
      </c>
      <c r="H1985" s="26" t="n">
        <v>144439</v>
      </c>
      <c r="I1985" s="26" t="n">
        <v>1752</v>
      </c>
      <c r="J1985" s="19" t="n">
        <v>985.5</v>
      </c>
      <c r="K1985" s="37" t="n">
        <v>-0.25</v>
      </c>
    </row>
    <row r="1986">
      <c r="A1986" s="34" t="inlineStr">
        <is>
          <t>AGA SPK-tilskudd</t>
        </is>
      </c>
      <c r="B1986" s="34" t="inlineStr">
        <is>
          <t>Region Vest</t>
        </is>
      </c>
      <c r="C1986" s="34" t="inlineStr">
        <is>
          <t>SFU avd Bregnetunet</t>
        </is>
      </c>
      <c r="D1986" s="18" t="n">
        <v>17271</v>
      </c>
      <c r="E1986" s="18" t="n">
        <v>8998</v>
      </c>
      <c r="F1986" s="18" t="n"/>
      <c r="G1986" s="18" t="n"/>
      <c r="H1986" s="18" t="n"/>
      <c r="I1986" s="18" t="n"/>
      <c r="J1986" s="19" t="n">
        <v>0</v>
      </c>
      <c r="K1986" s="35" t="n">
        <v>0.065</v>
      </c>
    </row>
    <row r="1987">
      <c r="A1987" s="36" t="inlineStr">
        <is>
          <t>AGA SPK-tilskudd</t>
        </is>
      </c>
      <c r="B1987" s="36" t="inlineStr">
        <is>
          <t>Region Vest</t>
        </is>
      </c>
      <c r="C1987" s="36" t="inlineStr">
        <is>
          <t>SFU avd Bregnetunet</t>
        </is>
      </c>
      <c r="D1987" s="26" t="n">
        <v>27495</v>
      </c>
      <c r="E1987" s="26" t="n">
        <v>27612</v>
      </c>
      <c r="F1987" s="26" t="n">
        <v>216160</v>
      </c>
      <c r="G1987" s="26" t="n">
        <v>218600</v>
      </c>
      <c r="H1987" s="26" t="n">
        <v>200686</v>
      </c>
      <c r="I1987" s="26" t="n">
        <v>62</v>
      </c>
      <c r="J1987" s="19" t="n">
        <v>34.875</v>
      </c>
      <c r="K1987" s="37" t="n">
        <v>-0.25</v>
      </c>
    </row>
    <row r="1988">
      <c r="A1988" s="34" t="inlineStr">
        <is>
          <t>AGA SPK-tilskudd</t>
        </is>
      </c>
      <c r="B1988" s="34" t="inlineStr">
        <is>
          <t>Region Vest</t>
        </is>
      </c>
      <c r="C1988" s="34" t="inlineStr">
        <is>
          <t>SFU avd Bregnetunet</t>
        </is>
      </c>
      <c r="D1988" s="18" t="n">
        <v>40400</v>
      </c>
      <c r="E1988" s="18" t="n">
        <v>35776</v>
      </c>
      <c r="F1988" s="18" t="n">
        <v>35072</v>
      </c>
      <c r="G1988" s="18" t="n">
        <v>56491</v>
      </c>
      <c r="H1988" s="18" t="n">
        <v>67870</v>
      </c>
      <c r="I1988" s="18" t="n"/>
      <c r="J1988" s="19" t="n">
        <v>0</v>
      </c>
      <c r="K1988" s="35" t="n">
        <v>0.065</v>
      </c>
    </row>
    <row r="1989">
      <c r="A1989" s="36" t="inlineStr">
        <is>
          <t>AGA SPK-tilskudd</t>
        </is>
      </c>
      <c r="B1989" s="36" t="inlineStr">
        <is>
          <t>Region Vest</t>
        </is>
      </c>
      <c r="C1989" s="36" t="inlineStr">
        <is>
          <t>SFU avd Bregnetunet</t>
        </is>
      </c>
      <c r="D1989" s="26" t="n"/>
      <c r="E1989" s="26" t="n"/>
      <c r="F1989" s="26" t="n"/>
      <c r="G1989" s="26" t="n">
        <v>21270</v>
      </c>
      <c r="H1989" s="26" t="n"/>
      <c r="I1989" s="26" t="n"/>
      <c r="J1989" s="19" t="n">
        <v>0</v>
      </c>
      <c r="K1989" s="37" t="n">
        <v>0.065</v>
      </c>
    </row>
    <row r="1990">
      <c r="A1990" s="34" t="inlineStr">
        <is>
          <t>AGA SPK-tilskudd</t>
        </is>
      </c>
      <c r="B1990" s="34" t="inlineStr">
        <is>
          <t>Region Vest</t>
        </is>
      </c>
      <c r="C1990" s="34" t="inlineStr">
        <is>
          <t>SFU avd Bregnetunet</t>
        </is>
      </c>
      <c r="D1990" s="18" t="n">
        <v>150000</v>
      </c>
      <c r="E1990" s="18" t="n"/>
      <c r="F1990" s="18" t="n"/>
      <c r="G1990" s="18" t="n"/>
      <c r="H1990" s="18" t="n"/>
      <c r="I1990" s="18" t="n"/>
      <c r="J1990" s="19" t="n">
        <v>0</v>
      </c>
      <c r="K1990" s="35" t="n">
        <v>0.065</v>
      </c>
    </row>
    <row r="1991">
      <c r="A1991" s="36" t="inlineStr">
        <is>
          <t>AGA SPK-tilskudd</t>
        </is>
      </c>
      <c r="B1991" s="36" t="inlineStr">
        <is>
          <t>Region Vest</t>
        </is>
      </c>
      <c r="C1991" s="36" t="inlineStr">
        <is>
          <t>SFU avd Bregnetunet</t>
        </is>
      </c>
      <c r="D1991" s="26" t="n">
        <v>662</v>
      </c>
      <c r="E1991" s="26" t="n"/>
      <c r="F1991" s="26" t="n">
        <v>18021</v>
      </c>
      <c r="G1991" s="26" t="n">
        <v>13507</v>
      </c>
      <c r="H1991" s="26" t="n">
        <v>6383</v>
      </c>
      <c r="I1991" s="26" t="n"/>
      <c r="J1991" s="19" t="n">
        <v>0</v>
      </c>
      <c r="K1991" s="37" t="n">
        <v>0.065</v>
      </c>
    </row>
    <row r="1992">
      <c r="A1992" s="34" t="inlineStr">
        <is>
          <t>AGA SPK-tilskudd</t>
        </is>
      </c>
      <c r="B1992" s="34" t="inlineStr">
        <is>
          <t>Region Vest</t>
        </is>
      </c>
      <c r="C1992" s="34" t="inlineStr">
        <is>
          <t>SFU avd Bregnetunet</t>
        </is>
      </c>
      <c r="D1992" s="18" t="n">
        <v>400</v>
      </c>
      <c r="E1992" s="18" t="n">
        <v>3406</v>
      </c>
      <c r="F1992" s="18" t="n">
        <v>31421</v>
      </c>
      <c r="G1992" s="18" t="n">
        <v>29770</v>
      </c>
      <c r="H1992" s="18" t="n">
        <v>34632</v>
      </c>
      <c r="I1992" s="18" t="n"/>
      <c r="J1992" s="19" t="n">
        <v>0</v>
      </c>
      <c r="K1992" s="35" t="n">
        <v>0.065</v>
      </c>
    </row>
    <row r="1993">
      <c r="A1993" s="36" t="inlineStr">
        <is>
          <t>AGA SPK-tilskudd</t>
        </is>
      </c>
      <c r="B1993" s="36" t="inlineStr">
        <is>
          <t>Region Vest</t>
        </is>
      </c>
      <c r="C1993" s="36" t="inlineStr">
        <is>
          <t>SFU avd Bregnetunet</t>
        </is>
      </c>
      <c r="D1993" s="26" t="n">
        <v>4089</v>
      </c>
      <c r="E1993" s="26" t="n"/>
      <c r="F1993" s="26" t="n">
        <v>7025</v>
      </c>
      <c r="G1993" s="26" t="n">
        <v>1020</v>
      </c>
      <c r="H1993" s="26" t="n">
        <v>15765</v>
      </c>
      <c r="I1993" s="26" t="n"/>
      <c r="J1993" s="19" t="n">
        <v>0</v>
      </c>
      <c r="K1993" s="37" t="n">
        <v>0.065</v>
      </c>
    </row>
    <row r="1994">
      <c r="A1994" s="34" t="inlineStr">
        <is>
          <t>AGA SPK-tilskudd</t>
        </is>
      </c>
      <c r="B1994" s="34" t="inlineStr">
        <is>
          <t>Region Vest</t>
        </is>
      </c>
      <c r="C1994" s="34" t="inlineStr">
        <is>
          <t>SFU avd Bregnetunet</t>
        </is>
      </c>
      <c r="D1994" s="18" t="n">
        <v>671</v>
      </c>
      <c r="E1994" s="18" t="n">
        <v>1513</v>
      </c>
      <c r="F1994" s="18" t="n">
        <v>2780</v>
      </c>
      <c r="G1994" s="18" t="n">
        <v>5977</v>
      </c>
      <c r="H1994" s="18" t="n">
        <v>6042</v>
      </c>
      <c r="I1994" s="18" t="n">
        <v>688</v>
      </c>
      <c r="J1994" s="19" t="n">
        <v>694.9199911691719</v>
      </c>
      <c r="K1994" s="35" t="n">
        <v>0.005016480809831192</v>
      </c>
    </row>
    <row r="1995">
      <c r="A1995" s="36" t="inlineStr">
        <is>
          <t>AGA SPK-tilskudd</t>
        </is>
      </c>
      <c r="B1995" s="36" t="inlineStr">
        <is>
          <t>Region Vest</t>
        </is>
      </c>
      <c r="C1995" s="36" t="inlineStr">
        <is>
          <t>SFU avd Bregnetunet</t>
        </is>
      </c>
      <c r="D1995" s="26" t="n">
        <v>270</v>
      </c>
      <c r="E1995" s="26" t="n">
        <v>1529</v>
      </c>
      <c r="F1995" s="26" t="n">
        <v>12302</v>
      </c>
      <c r="G1995" s="26" t="n">
        <v>11959</v>
      </c>
      <c r="H1995" s="26" t="n">
        <v>16050</v>
      </c>
      <c r="I1995" s="26" t="n"/>
      <c r="J1995" s="19" t="n">
        <v>0</v>
      </c>
      <c r="K1995" s="37" t="n">
        <v>0.065</v>
      </c>
    </row>
    <row r="1996">
      <c r="A1996" s="34" t="inlineStr">
        <is>
          <t>AGA SPK-tilskudd</t>
        </is>
      </c>
      <c r="B1996" s="34" t="inlineStr">
        <is>
          <t>Region Vest</t>
        </is>
      </c>
      <c r="C1996" s="34" t="inlineStr">
        <is>
          <t>SFU avd Bregnetunet</t>
        </is>
      </c>
      <c r="D1996" s="18" t="n"/>
      <c r="E1996" s="18" t="n">
        <v>52</v>
      </c>
      <c r="F1996" s="18" t="n">
        <v>236</v>
      </c>
      <c r="G1996" s="18" t="n"/>
      <c r="H1996" s="18" t="n"/>
      <c r="I1996" s="18" t="n"/>
      <c r="J1996" s="19" t="n">
        <v>0</v>
      </c>
      <c r="K1996" s="35" t="n">
        <v>0.065</v>
      </c>
    </row>
    <row r="1997">
      <c r="A1997" s="36" t="inlineStr">
        <is>
          <t>AGA SPK-tilskudd</t>
        </is>
      </c>
      <c r="B1997" s="36" t="inlineStr">
        <is>
          <t>Region Vest</t>
        </is>
      </c>
      <c r="C1997" s="36" t="inlineStr">
        <is>
          <t>SFU avd Bregnetunet</t>
        </is>
      </c>
      <c r="D1997" s="26" t="n">
        <v>-5276</v>
      </c>
      <c r="E1997" s="26" t="n">
        <v>4861</v>
      </c>
      <c r="F1997" s="26" t="n">
        <v>8551</v>
      </c>
      <c r="G1997" s="26" t="n">
        <v>8705</v>
      </c>
      <c r="H1997" s="26" t="n">
        <v>16492</v>
      </c>
      <c r="I1997" s="26" t="n">
        <v>5054</v>
      </c>
      <c r="J1997" s="19" t="n">
        <v>5153.354822397708</v>
      </c>
      <c r="K1997" s="37" t="n">
        <v>0.009781486782274529</v>
      </c>
    </row>
    <row r="1998">
      <c r="A1998" s="34" t="inlineStr">
        <is>
          <t>AGA SPK-tilskudd</t>
        </is>
      </c>
      <c r="B1998" s="34" t="inlineStr">
        <is>
          <t>Region Vest</t>
        </is>
      </c>
      <c r="C1998" s="34" t="inlineStr">
        <is>
          <t>SFU avd Bregnetunet</t>
        </is>
      </c>
      <c r="D1998" s="18" t="n">
        <v>-148295</v>
      </c>
      <c r="E1998" s="18" t="n"/>
      <c r="F1998" s="18" t="n">
        <v>-90056</v>
      </c>
      <c r="G1998" s="18" t="n">
        <v>-770604</v>
      </c>
      <c r="H1998" s="18" t="n">
        <v>-842479</v>
      </c>
      <c r="I1998" s="18" t="n">
        <v>-10904</v>
      </c>
      <c r="J1998" s="19" t="n">
        <v>-12367.5894</v>
      </c>
      <c r="K1998" s="35" t="n">
        <v>0.065</v>
      </c>
    </row>
    <row r="1999">
      <c r="A1999" s="36" t="inlineStr">
        <is>
          <t>AGA SPK-tilskudd</t>
        </is>
      </c>
      <c r="B1999" s="36" t="inlineStr">
        <is>
          <t>Region Vest</t>
        </is>
      </c>
      <c r="C1999" s="36" t="inlineStr">
        <is>
          <t>SFU avd Bregnetunet</t>
        </is>
      </c>
      <c r="D1999" s="26" t="n">
        <v>-800377</v>
      </c>
      <c r="E1999" s="26" t="n">
        <v>-432699</v>
      </c>
      <c r="F1999" s="26" t="n">
        <v>-247876</v>
      </c>
      <c r="G1999" s="26" t="n">
        <v>-1289102</v>
      </c>
      <c r="H1999" s="26" t="n">
        <v>-1161037</v>
      </c>
      <c r="I1999" s="26" t="n">
        <v>-2811</v>
      </c>
      <c r="J1999" s="19" t="n">
        <v>-3188.306474999999</v>
      </c>
      <c r="K1999" s="37" t="n">
        <v>0.065</v>
      </c>
    </row>
    <row r="2000">
      <c r="A2000" s="34" t="inlineStr">
        <is>
          <t>AGA SPK-tilskudd</t>
        </is>
      </c>
      <c r="B2000" s="34" t="inlineStr">
        <is>
          <t>Region Vest</t>
        </is>
      </c>
      <c r="C2000" s="34" t="inlineStr">
        <is>
          <t>SFU avd Familiehjem</t>
        </is>
      </c>
      <c r="D2000" s="18" t="n">
        <v>2814</v>
      </c>
      <c r="E2000" s="18" t="n"/>
      <c r="F2000" s="18" t="n"/>
      <c r="G2000" s="18" t="n"/>
      <c r="H2000" s="18" t="n"/>
      <c r="I2000" s="18" t="n"/>
      <c r="J2000" s="19" t="n">
        <v>0</v>
      </c>
      <c r="K2000" s="35" t="n">
        <v>0.065</v>
      </c>
    </row>
    <row r="2001">
      <c r="A2001" s="36" t="inlineStr">
        <is>
          <t>AGA SPK-tilskudd</t>
        </is>
      </c>
      <c r="B2001" s="36" t="inlineStr">
        <is>
          <t>Region Vest</t>
        </is>
      </c>
      <c r="C2001" s="36" t="inlineStr">
        <is>
          <t>SFU avd Familiehjem</t>
        </is>
      </c>
      <c r="D2001" s="26" t="n">
        <v>400</v>
      </c>
      <c r="E2001" s="26" t="n"/>
      <c r="F2001" s="26" t="n"/>
      <c r="G2001" s="26" t="n"/>
      <c r="H2001" s="26" t="n"/>
      <c r="I2001" s="26" t="n"/>
      <c r="J2001" s="19" t="n">
        <v>0</v>
      </c>
      <c r="K2001" s="37" t="n">
        <v>0.065</v>
      </c>
    </row>
    <row r="2002">
      <c r="A2002" s="34" t="inlineStr">
        <is>
          <t>AGA SPK-tilskudd</t>
        </is>
      </c>
      <c r="B2002" s="34" t="inlineStr">
        <is>
          <t>Region Vest</t>
        </is>
      </c>
      <c r="C2002" s="34" t="inlineStr">
        <is>
          <t>SFU avd Familiehjem</t>
        </is>
      </c>
      <c r="D2002" s="18" t="n">
        <v>-600</v>
      </c>
      <c r="E2002" s="18" t="n"/>
      <c r="F2002" s="18" t="n"/>
      <c r="G2002" s="18" t="n"/>
      <c r="H2002" s="18" t="n"/>
      <c r="I2002" s="18" t="n"/>
      <c r="J2002" s="19" t="n">
        <v>0</v>
      </c>
      <c r="K2002" s="35" t="n">
        <v>0.065</v>
      </c>
    </row>
    <row r="2003">
      <c r="A2003" s="36" t="inlineStr">
        <is>
          <t>AGA SPK-tilskudd</t>
        </is>
      </c>
      <c r="B2003" s="36" t="inlineStr">
        <is>
          <t>Region Vest</t>
        </is>
      </c>
      <c r="C2003" s="36" t="inlineStr">
        <is>
          <t>SFU avd.Meltunet</t>
        </is>
      </c>
      <c r="D2003" s="26" t="n">
        <v>95922</v>
      </c>
      <c r="E2003" s="26" t="n">
        <v>84805</v>
      </c>
      <c r="F2003" s="26" t="n">
        <v>91976</v>
      </c>
      <c r="G2003" s="26" t="n">
        <v>108104</v>
      </c>
      <c r="H2003" s="26" t="n">
        <v>121646</v>
      </c>
      <c r="I2003" s="26" t="n">
        <v>133627</v>
      </c>
      <c r="J2003" s="19" t="n">
        <v>152575.434560823</v>
      </c>
      <c r="K2003" s="37" t="n">
        <v>0.06855086104032959</v>
      </c>
    </row>
    <row r="2004">
      <c r="A2004" s="34" t="inlineStr">
        <is>
          <t>AGA SPK-tilskudd</t>
        </is>
      </c>
      <c r="B2004" s="34" t="inlineStr">
        <is>
          <t>Region Vest</t>
        </is>
      </c>
      <c r="C2004" s="34" t="inlineStr">
        <is>
          <t>SFU avd.Meltunet</t>
        </is>
      </c>
      <c r="D2004" s="18" t="n">
        <v>6065</v>
      </c>
      <c r="E2004" s="18" t="n">
        <v>89463</v>
      </c>
      <c r="F2004" s="18" t="n">
        <v>-1459</v>
      </c>
      <c r="G2004" s="18" t="n"/>
      <c r="H2004" s="18" t="n">
        <v>14129</v>
      </c>
      <c r="I2004" s="18" t="n">
        <v>338753</v>
      </c>
      <c r="J2004" s="19" t="n">
        <v>529301.5625</v>
      </c>
      <c r="K2004" s="35" t="n">
        <v>0.25</v>
      </c>
    </row>
    <row r="2005">
      <c r="A2005" s="36" t="inlineStr">
        <is>
          <t>AGA SPK-tilskudd</t>
        </is>
      </c>
      <c r="B2005" s="36" t="inlineStr">
        <is>
          <t>Region Vest</t>
        </is>
      </c>
      <c r="C2005" s="36" t="inlineStr">
        <is>
          <t>SFU avd.Meltunet</t>
        </is>
      </c>
      <c r="D2005" s="26" t="n">
        <v>66583</v>
      </c>
      <c r="E2005" s="26" t="n">
        <v>70893</v>
      </c>
      <c r="F2005" s="26" t="n">
        <v>391873</v>
      </c>
      <c r="G2005" s="26" t="n">
        <v>296853</v>
      </c>
      <c r="H2005" s="26" t="n">
        <v>289623</v>
      </c>
      <c r="I2005" s="26" t="n">
        <v>170024</v>
      </c>
      <c r="J2005" s="19" t="n">
        <v>247382.5018034288</v>
      </c>
      <c r="K2005" s="37" t="n">
        <v>0.2062279126774487</v>
      </c>
    </row>
    <row r="2006">
      <c r="A2006" s="34" t="inlineStr">
        <is>
          <t>AGA SPK-tilskudd</t>
        </is>
      </c>
      <c r="B2006" s="34" t="inlineStr">
        <is>
          <t>Region Vest</t>
        </is>
      </c>
      <c r="C2006" s="34" t="inlineStr">
        <is>
          <t>SFU avd.Meltunet</t>
        </is>
      </c>
      <c r="D2006" s="18" t="n">
        <v>31100</v>
      </c>
      <c r="E2006" s="18" t="n">
        <v>32925</v>
      </c>
      <c r="F2006" s="18" t="n">
        <v>36912</v>
      </c>
      <c r="G2006" s="18" t="n">
        <v>59411</v>
      </c>
      <c r="H2006" s="18" t="n">
        <v>69161</v>
      </c>
      <c r="I2006" s="18" t="n">
        <v>81861</v>
      </c>
      <c r="J2006" s="19" t="n">
        <v>120560.1301763077</v>
      </c>
      <c r="K2006" s="35" t="n">
        <v>0.2135658067002553</v>
      </c>
    </row>
    <row r="2007">
      <c r="A2007" s="36" t="inlineStr">
        <is>
          <t>AGA SPK-tilskudd</t>
        </is>
      </c>
      <c r="B2007" s="36" t="inlineStr">
        <is>
          <t>Region Vest</t>
        </is>
      </c>
      <c r="C2007" s="36" t="inlineStr">
        <is>
          <t>SFU avd.Meltunet</t>
        </is>
      </c>
      <c r="D2007" s="26" t="n"/>
      <c r="E2007" s="26" t="n"/>
      <c r="F2007" s="26" t="n"/>
      <c r="G2007" s="26" t="n">
        <v>20189</v>
      </c>
      <c r="H2007" s="26" t="n">
        <v>1081</v>
      </c>
      <c r="I2007" s="26" t="n"/>
      <c r="J2007" s="19" t="n">
        <v>0</v>
      </c>
      <c r="K2007" s="37" t="n">
        <v>0.065</v>
      </c>
    </row>
    <row r="2008">
      <c r="A2008" s="34" t="inlineStr">
        <is>
          <t>AGA SPK-tilskudd</t>
        </is>
      </c>
      <c r="B2008" s="34" t="inlineStr">
        <is>
          <t>Region Vest</t>
        </is>
      </c>
      <c r="C2008" s="34" t="inlineStr">
        <is>
          <t>SFU avd.Meltunet</t>
        </is>
      </c>
      <c r="D2008" s="18" t="n">
        <v>5201</v>
      </c>
      <c r="E2008" s="18" t="n">
        <v>1557</v>
      </c>
      <c r="F2008" s="18" t="n">
        <v>14904</v>
      </c>
      <c r="G2008" s="18" t="n">
        <v>21530</v>
      </c>
      <c r="H2008" s="18" t="n">
        <v>65824</v>
      </c>
      <c r="I2008" s="18" t="n">
        <v>17258</v>
      </c>
      <c r="J2008" s="19" t="n">
        <v>26965.625</v>
      </c>
      <c r="K2008" s="35" t="n">
        <v>0.25</v>
      </c>
    </row>
    <row r="2009">
      <c r="A2009" s="36" t="inlineStr">
        <is>
          <t>AGA SPK-tilskudd</t>
        </is>
      </c>
      <c r="B2009" s="36" t="inlineStr">
        <is>
          <t>Region Vest</t>
        </is>
      </c>
      <c r="C2009" s="36" t="inlineStr">
        <is>
          <t>SFU avd.Meltunet</t>
        </is>
      </c>
      <c r="D2009" s="26" t="n">
        <v>3561</v>
      </c>
      <c r="E2009" s="26" t="n">
        <v>10074</v>
      </c>
      <c r="F2009" s="26" t="n">
        <v>57710</v>
      </c>
      <c r="G2009" s="26" t="n">
        <v>48684</v>
      </c>
      <c r="H2009" s="26" t="n">
        <v>77237</v>
      </c>
      <c r="I2009" s="26" t="n">
        <v>34952</v>
      </c>
      <c r="J2009" s="19" t="n">
        <v>54612.5</v>
      </c>
      <c r="K2009" s="37" t="n">
        <v>0.25</v>
      </c>
    </row>
    <row r="2010">
      <c r="A2010" s="34" t="inlineStr">
        <is>
          <t>AGA SPK-tilskudd</t>
        </is>
      </c>
      <c r="B2010" s="34" t="inlineStr">
        <is>
          <t>Region Vest</t>
        </is>
      </c>
      <c r="C2010" s="34" t="inlineStr">
        <is>
          <t>SFU avd.Meltunet</t>
        </is>
      </c>
      <c r="D2010" s="18" t="n"/>
      <c r="E2010" s="18" t="n">
        <v>4374</v>
      </c>
      <c r="F2010" s="18" t="n">
        <v>9367</v>
      </c>
      <c r="G2010" s="18" t="n">
        <v>446</v>
      </c>
      <c r="H2010" s="18" t="n"/>
      <c r="I2010" s="18" t="n">
        <v>1239</v>
      </c>
      <c r="J2010" s="19" t="n">
        <v>696.9375</v>
      </c>
      <c r="K2010" s="35" t="n">
        <v>-0.25</v>
      </c>
    </row>
    <row r="2011">
      <c r="A2011" s="36" t="inlineStr">
        <is>
          <t>AGA SPK-tilskudd</t>
        </is>
      </c>
      <c r="B2011" s="36" t="inlineStr">
        <is>
          <t>Region Vest</t>
        </is>
      </c>
      <c r="C2011" s="36" t="inlineStr">
        <is>
          <t>SFU avd.Meltunet</t>
        </is>
      </c>
      <c r="D2011" s="26" t="n">
        <v>2674</v>
      </c>
      <c r="E2011" s="26" t="n">
        <v>4012</v>
      </c>
      <c r="F2011" s="26" t="n">
        <v>8401</v>
      </c>
      <c r="G2011" s="26" t="n">
        <v>1733</v>
      </c>
      <c r="H2011" s="26" t="n">
        <v>5157</v>
      </c>
      <c r="I2011" s="26" t="n">
        <v>12405</v>
      </c>
      <c r="J2011" s="19" t="n">
        <v>19382.8125</v>
      </c>
      <c r="K2011" s="37" t="n">
        <v>0.25</v>
      </c>
    </row>
    <row r="2012">
      <c r="A2012" s="34" t="inlineStr">
        <is>
          <t>AGA SPK-tilskudd</t>
        </is>
      </c>
      <c r="B2012" s="34" t="inlineStr">
        <is>
          <t>Region Vest</t>
        </is>
      </c>
      <c r="C2012" s="34" t="inlineStr">
        <is>
          <t>SFU avd.Meltunet</t>
        </is>
      </c>
      <c r="D2012" s="18" t="n">
        <v>2035</v>
      </c>
      <c r="E2012" s="18" t="n">
        <v>3566</v>
      </c>
      <c r="F2012" s="18" t="n">
        <v>23735</v>
      </c>
      <c r="G2012" s="18" t="n">
        <v>17931</v>
      </c>
      <c r="H2012" s="18" t="n">
        <v>60572</v>
      </c>
      <c r="I2012" s="18" t="n">
        <v>19831</v>
      </c>
      <c r="J2012" s="19" t="n">
        <v>30985.9375</v>
      </c>
      <c r="K2012" s="35" t="n">
        <v>0.25</v>
      </c>
    </row>
    <row r="2013">
      <c r="A2013" s="36" t="inlineStr">
        <is>
          <t>AGA SPK-tilskudd</t>
        </is>
      </c>
      <c r="B2013" s="36" t="inlineStr">
        <is>
          <t>Region Vest</t>
        </is>
      </c>
      <c r="C2013" s="36" t="inlineStr">
        <is>
          <t>SFU avd.Meltunet</t>
        </is>
      </c>
      <c r="D2013" s="26" t="n"/>
      <c r="E2013" s="26" t="n">
        <v>1000</v>
      </c>
      <c r="F2013" s="26" t="n">
        <v>750</v>
      </c>
      <c r="G2013" s="26" t="n"/>
      <c r="H2013" s="26" t="n"/>
      <c r="I2013" s="26" t="n"/>
      <c r="J2013" s="19" t="n">
        <v>0</v>
      </c>
      <c r="K2013" s="37" t="n">
        <v>0.065</v>
      </c>
    </row>
    <row r="2014">
      <c r="A2014" s="34" t="inlineStr">
        <is>
          <t>AGA SPK-tilskudd</t>
        </is>
      </c>
      <c r="B2014" s="34" t="inlineStr">
        <is>
          <t>Region Vest</t>
        </is>
      </c>
      <c r="C2014" s="34" t="inlineStr">
        <is>
          <t>SFU avd.Meltunet</t>
        </is>
      </c>
      <c r="D2014" s="18" t="n"/>
      <c r="E2014" s="18" t="n"/>
      <c r="F2014" s="18" t="n">
        <v>6720</v>
      </c>
      <c r="G2014" s="18" t="n"/>
      <c r="H2014" s="18" t="n"/>
      <c r="I2014" s="18" t="n"/>
      <c r="J2014" s="19" t="n">
        <v>0</v>
      </c>
      <c r="K2014" s="35" t="n">
        <v>0.065</v>
      </c>
    </row>
    <row r="2015">
      <c r="A2015" s="36" t="inlineStr">
        <is>
          <t>AGA SPK-tilskudd</t>
        </is>
      </c>
      <c r="B2015" s="36" t="inlineStr">
        <is>
          <t>Region Vest</t>
        </is>
      </c>
      <c r="C2015" s="36" t="inlineStr">
        <is>
          <t>SFU avd.Meltunet</t>
        </is>
      </c>
      <c r="D2015" s="26" t="n"/>
      <c r="E2015" s="26" t="n">
        <v>130</v>
      </c>
      <c r="F2015" s="26" t="n"/>
      <c r="G2015" s="26" t="n"/>
      <c r="H2015" s="26" t="n"/>
      <c r="I2015" s="26" t="n"/>
      <c r="J2015" s="19" t="n">
        <v>0</v>
      </c>
      <c r="K2015" s="37" t="n">
        <v>0.065</v>
      </c>
    </row>
    <row r="2016">
      <c r="A2016" s="34" t="inlineStr">
        <is>
          <t>AGA SPK-tilskudd</t>
        </is>
      </c>
      <c r="B2016" s="34" t="inlineStr">
        <is>
          <t>Region Vest</t>
        </is>
      </c>
      <c r="C2016" s="34" t="inlineStr">
        <is>
          <t>SFU avd.Meltunet</t>
        </is>
      </c>
      <c r="D2016" s="18" t="n">
        <v>-4423</v>
      </c>
      <c r="E2016" s="18" t="n">
        <v>8101</v>
      </c>
      <c r="F2016" s="18" t="n">
        <v>7687</v>
      </c>
      <c r="G2016" s="18" t="n">
        <v>38112</v>
      </c>
      <c r="H2016" s="18" t="n">
        <v>13587</v>
      </c>
      <c r="I2016" s="18" t="n">
        <v>15850</v>
      </c>
      <c r="J2016" s="19" t="n">
        <v>22170.45385630488</v>
      </c>
      <c r="K2016" s="35" t="n">
        <v>0.1826947217326151</v>
      </c>
    </row>
    <row r="2017">
      <c r="A2017" s="36" t="inlineStr">
        <is>
          <t>AGA SPK-tilskudd</t>
        </is>
      </c>
      <c r="B2017" s="36" t="inlineStr">
        <is>
          <t>Region Vest</t>
        </is>
      </c>
      <c r="C2017" s="36" t="inlineStr">
        <is>
          <t>SFU avd.Meltunet</t>
        </is>
      </c>
      <c r="D2017" s="26" t="n"/>
      <c r="E2017" s="26" t="n"/>
      <c r="F2017" s="26" t="n"/>
      <c r="G2017" s="26" t="n"/>
      <c r="H2017" s="26" t="n"/>
      <c r="I2017" s="26" t="n">
        <v>-18800</v>
      </c>
      <c r="J2017" s="19" t="n">
        <v>-21323.43</v>
      </c>
      <c r="K2017" s="37" t="n">
        <v>0.065</v>
      </c>
    </row>
    <row r="2018">
      <c r="A2018" s="34" t="inlineStr">
        <is>
          <t>AGA SPK-tilskudd</t>
        </is>
      </c>
      <c r="B2018" s="34" t="inlineStr">
        <is>
          <t>Region Vest</t>
        </is>
      </c>
      <c r="C2018" s="34" t="inlineStr">
        <is>
          <t>SFU avd.Meltunet</t>
        </is>
      </c>
      <c r="D2018" s="18" t="n"/>
      <c r="E2018" s="18" t="n">
        <v>-201351</v>
      </c>
      <c r="F2018" s="18" t="n">
        <v>-129014</v>
      </c>
      <c r="G2018" s="18" t="n"/>
      <c r="H2018" s="18" t="n"/>
      <c r="I2018" s="18" t="n">
        <v>-322865</v>
      </c>
      <c r="J2018" s="19" t="n">
        <v>-366201.5546249999</v>
      </c>
      <c r="K2018" s="35" t="n">
        <v>0.065</v>
      </c>
    </row>
    <row r="2019">
      <c r="A2019" s="36" t="inlineStr">
        <is>
          <t>AGA SPK-tilskudd</t>
        </is>
      </c>
      <c r="B2019" s="36" t="inlineStr">
        <is>
          <t>Region Vest</t>
        </is>
      </c>
      <c r="C2019" s="36" t="inlineStr">
        <is>
          <t>SFU avd.Meltunet</t>
        </is>
      </c>
      <c r="D2019" s="26" t="n">
        <v>-112408</v>
      </c>
      <c r="E2019" s="26" t="n">
        <v>-426040</v>
      </c>
      <c r="F2019" s="26" t="n">
        <v>-618688</v>
      </c>
      <c r="G2019" s="26" t="n">
        <v>-522449</v>
      </c>
      <c r="H2019" s="26" t="n">
        <v>-1160639</v>
      </c>
      <c r="I2019" s="26" t="n">
        <v>-1617651</v>
      </c>
      <c r="J2019" s="19" t="n">
        <v>-1834780.205475</v>
      </c>
      <c r="K2019" s="37" t="n">
        <v>0.065</v>
      </c>
    </row>
    <row r="2020">
      <c r="A2020" s="34" t="inlineStr">
        <is>
          <t>AGA SPK-tilskudd</t>
        </is>
      </c>
      <c r="B2020" s="34" t="inlineStr">
        <is>
          <t>Region Vest</t>
        </is>
      </c>
      <c r="C2020" s="34" t="inlineStr">
        <is>
          <t>SKM Sped og småbarn</t>
        </is>
      </c>
      <c r="D2020" s="18" t="n"/>
      <c r="E2020" s="18" t="n"/>
      <c r="F2020" s="18" t="n">
        <v>1625</v>
      </c>
      <c r="G2020" s="18" t="n"/>
      <c r="H2020" s="18" t="n"/>
      <c r="I2020" s="18" t="n"/>
      <c r="J2020" s="19" t="n">
        <v>0</v>
      </c>
      <c r="K2020" s="35" t="n">
        <v>0.065</v>
      </c>
    </row>
    <row r="2021">
      <c r="A2021" s="36" t="inlineStr">
        <is>
          <t>AGA SPK-tilskudd</t>
        </is>
      </c>
      <c r="B2021" s="36" t="inlineStr">
        <is>
          <t>Region Vest</t>
        </is>
      </c>
      <c r="C2021" s="36" t="inlineStr">
        <is>
          <t>SKM Sped og småbarn</t>
        </is>
      </c>
      <c r="D2021" s="26" t="n">
        <v>-54000</v>
      </c>
      <c r="E2021" s="26" t="n"/>
      <c r="F2021" s="26" t="n"/>
      <c r="G2021" s="26" t="n"/>
      <c r="H2021" s="26" t="n"/>
      <c r="I2021" s="26" t="n"/>
      <c r="J2021" s="19" t="n">
        <v>0</v>
      </c>
      <c r="K2021" s="37" t="n">
        <v>0.065</v>
      </c>
    </row>
    <row r="2022">
      <c r="A2022" s="34" t="inlineStr">
        <is>
          <t>AGA SPK-tilskudd</t>
        </is>
      </c>
      <c r="B2022" s="34" t="inlineStr">
        <is>
          <t>Region Vest</t>
        </is>
      </c>
      <c r="C2022" s="34" t="inlineStr">
        <is>
          <t>Sandnes ungdomssenter - Minde 2</t>
        </is>
      </c>
      <c r="D2022" s="18" t="n">
        <v>136063</v>
      </c>
      <c r="E2022" s="18" t="n">
        <v>153847</v>
      </c>
      <c r="F2022" s="18" t="n">
        <v>135482</v>
      </c>
      <c r="G2022" s="18" t="n">
        <v>161643</v>
      </c>
      <c r="H2022" s="18" t="n">
        <v>173791</v>
      </c>
      <c r="I2022" s="18" t="n">
        <v>160643</v>
      </c>
      <c r="J2022" s="19" t="n">
        <v>171676.365897096</v>
      </c>
      <c r="K2022" s="35" t="n">
        <v>0.03377101864179011</v>
      </c>
    </row>
    <row r="2023">
      <c r="A2023" s="36" t="inlineStr">
        <is>
          <t>AGA SPK-tilskudd</t>
        </is>
      </c>
      <c r="B2023" s="36" t="inlineStr">
        <is>
          <t>Region Vest</t>
        </is>
      </c>
      <c r="C2023" s="36" t="inlineStr">
        <is>
          <t>Sandnes ungdomssenter - Minde 2</t>
        </is>
      </c>
      <c r="D2023" s="26" t="n">
        <v>17844</v>
      </c>
      <c r="E2023" s="26" t="n">
        <v>1639</v>
      </c>
      <c r="F2023" s="26" t="n"/>
      <c r="G2023" s="26" t="n"/>
      <c r="H2023" s="26" t="n">
        <v>27738</v>
      </c>
      <c r="I2023" s="26" t="n">
        <v>26546</v>
      </c>
      <c r="J2023" s="19" t="n">
        <v>31117.29522531247</v>
      </c>
      <c r="K2023" s="37" t="n">
        <v>0.08268314319910131</v>
      </c>
    </row>
    <row r="2024">
      <c r="A2024" s="34" t="inlineStr">
        <is>
          <t>AGA SPK-tilskudd</t>
        </is>
      </c>
      <c r="B2024" s="34" t="inlineStr">
        <is>
          <t>Region Vest</t>
        </is>
      </c>
      <c r="C2024" s="34" t="inlineStr">
        <is>
          <t>Sandnes ungdomssenter - Minde 2</t>
        </is>
      </c>
      <c r="D2024" s="18" t="n">
        <v>14471</v>
      </c>
      <c r="E2024" s="18" t="n">
        <v>10914</v>
      </c>
      <c r="F2024" s="18" t="n">
        <v>181884</v>
      </c>
      <c r="G2024" s="18" t="n">
        <v>157058</v>
      </c>
      <c r="H2024" s="18" t="n">
        <v>37222</v>
      </c>
      <c r="I2024" s="18" t="n">
        <v>98291</v>
      </c>
      <c r="J2024" s="19" t="n">
        <v>153579.6875</v>
      </c>
      <c r="K2024" s="35" t="n">
        <v>0.25</v>
      </c>
    </row>
    <row r="2025">
      <c r="A2025" s="36" t="inlineStr">
        <is>
          <t>AGA SPK-tilskudd</t>
        </is>
      </c>
      <c r="B2025" s="36" t="inlineStr">
        <is>
          <t>Region Vest</t>
        </is>
      </c>
      <c r="C2025" s="36" t="inlineStr">
        <is>
          <t>Sandnes ungdomssenter - Minde 2</t>
        </is>
      </c>
      <c r="D2025" s="26" t="n">
        <v>37100</v>
      </c>
      <c r="E2025" s="26" t="n">
        <v>51325</v>
      </c>
      <c r="F2025" s="26" t="n">
        <v>62475</v>
      </c>
      <c r="G2025" s="26" t="n">
        <v>81580</v>
      </c>
      <c r="H2025" s="26" t="n">
        <v>84638</v>
      </c>
      <c r="I2025" s="26" t="n">
        <v>92658</v>
      </c>
      <c r="J2025" s="19" t="n">
        <v>133624.6333957617</v>
      </c>
      <c r="K2025" s="37" t="n">
        <v>0.2008860570154072</v>
      </c>
    </row>
    <row r="2026">
      <c r="A2026" s="34" t="inlineStr">
        <is>
          <t>AGA SPK-tilskudd</t>
        </is>
      </c>
      <c r="B2026" s="34" t="inlineStr">
        <is>
          <t>Region Vest</t>
        </is>
      </c>
      <c r="C2026" s="34" t="inlineStr">
        <is>
          <t>Sandnes ungdomssenter - Minde 2</t>
        </is>
      </c>
      <c r="D2026" s="18" t="n">
        <v>1958</v>
      </c>
      <c r="E2026" s="18" t="n">
        <v>737</v>
      </c>
      <c r="F2026" s="18" t="n">
        <v>3856</v>
      </c>
      <c r="G2026" s="18" t="n">
        <v>6327</v>
      </c>
      <c r="H2026" s="18" t="n">
        <v>1008</v>
      </c>
      <c r="I2026" s="18" t="n">
        <v>4036</v>
      </c>
      <c r="J2026" s="19" t="n">
        <v>5390.220676095916</v>
      </c>
      <c r="K2026" s="35" t="n">
        <v>0.1556536465854219</v>
      </c>
    </row>
    <row r="2027">
      <c r="A2027" s="36" t="inlineStr">
        <is>
          <t>AGA SPK-tilskudd</t>
        </is>
      </c>
      <c r="B2027" s="36" t="inlineStr">
        <is>
          <t>Region Vest</t>
        </is>
      </c>
      <c r="C2027" s="36" t="inlineStr">
        <is>
          <t>Sandnes ungdomssenter - Minde 2</t>
        </is>
      </c>
      <c r="D2027" s="26" t="n">
        <v>412</v>
      </c>
      <c r="E2027" s="26" t="n"/>
      <c r="F2027" s="26" t="n">
        <v>25377</v>
      </c>
      <c r="G2027" s="26" t="n">
        <v>26904</v>
      </c>
      <c r="H2027" s="26" t="n">
        <v>2513</v>
      </c>
      <c r="I2027" s="26" t="n">
        <v>12541</v>
      </c>
      <c r="J2027" s="19" t="n">
        <v>19595.3125</v>
      </c>
      <c r="K2027" s="37" t="n">
        <v>0.25</v>
      </c>
    </row>
    <row r="2028">
      <c r="A2028" s="34" t="inlineStr">
        <is>
          <t>AGA SPK-tilskudd</t>
        </is>
      </c>
      <c r="B2028" s="34" t="inlineStr">
        <is>
          <t>Region Vest</t>
        </is>
      </c>
      <c r="C2028" s="34" t="inlineStr">
        <is>
          <t>Sandnes ungdomssenter - Minde 2</t>
        </is>
      </c>
      <c r="D2028" s="18" t="n"/>
      <c r="E2028" s="18" t="n">
        <v>1645</v>
      </c>
      <c r="F2028" s="18" t="n">
        <v>14675</v>
      </c>
      <c r="G2028" s="18" t="n">
        <v>7500</v>
      </c>
      <c r="H2028" s="18" t="n">
        <v>24175</v>
      </c>
      <c r="I2028" s="18" t="n">
        <v>14774</v>
      </c>
      <c r="J2028" s="19" t="n">
        <v>23084.375</v>
      </c>
      <c r="K2028" s="35" t="n">
        <v>0.25</v>
      </c>
    </row>
    <row r="2029">
      <c r="A2029" s="36" t="inlineStr">
        <is>
          <t>AGA SPK-tilskudd</t>
        </is>
      </c>
      <c r="B2029" s="36" t="inlineStr">
        <is>
          <t>Region Vest</t>
        </is>
      </c>
      <c r="C2029" s="36" t="inlineStr">
        <is>
          <t>Sandnes ungdomssenter - Minde 2</t>
        </is>
      </c>
      <c r="D2029" s="26" t="n">
        <v>277</v>
      </c>
      <c r="E2029" s="26" t="n">
        <v>868</v>
      </c>
      <c r="F2029" s="26" t="n">
        <v>260</v>
      </c>
      <c r="G2029" s="26" t="n">
        <v>7132</v>
      </c>
      <c r="H2029" s="26" t="n">
        <v>6213</v>
      </c>
      <c r="I2029" s="26" t="n">
        <v>3604</v>
      </c>
      <c r="J2029" s="19" t="n">
        <v>5631.25</v>
      </c>
      <c r="K2029" s="37" t="n">
        <v>0.25</v>
      </c>
    </row>
    <row r="2030">
      <c r="A2030" s="34" t="inlineStr">
        <is>
          <t>AGA SPK-tilskudd</t>
        </is>
      </c>
      <c r="B2030" s="34" t="inlineStr">
        <is>
          <t>Region Vest</t>
        </is>
      </c>
      <c r="C2030" s="34" t="inlineStr">
        <is>
          <t>Sandnes ungdomssenter - Minde 2</t>
        </is>
      </c>
      <c r="D2030" s="18" t="n">
        <v>604</v>
      </c>
      <c r="E2030" s="18" t="n">
        <v>100</v>
      </c>
      <c r="F2030" s="18" t="n">
        <v>7000</v>
      </c>
      <c r="G2030" s="18" t="n">
        <v>19498</v>
      </c>
      <c r="H2030" s="18" t="n">
        <v>1027</v>
      </c>
      <c r="I2030" s="18" t="n">
        <v>5793</v>
      </c>
      <c r="J2030" s="19" t="n">
        <v>9051.5625</v>
      </c>
      <c r="K2030" s="35" t="n">
        <v>0.25</v>
      </c>
    </row>
    <row r="2031">
      <c r="A2031" s="36" t="inlineStr">
        <is>
          <t>AGA SPK-tilskudd</t>
        </is>
      </c>
      <c r="B2031" s="36" t="inlineStr">
        <is>
          <t>Region Vest</t>
        </is>
      </c>
      <c r="C2031" s="36" t="inlineStr">
        <is>
          <t>Sandnes ungdomssenter - Minde 2</t>
        </is>
      </c>
      <c r="D2031" s="26" t="n">
        <v>4250</v>
      </c>
      <c r="E2031" s="26" t="n"/>
      <c r="F2031" s="26" t="n"/>
      <c r="G2031" s="26" t="n"/>
      <c r="H2031" s="26" t="n"/>
      <c r="I2031" s="26" t="n"/>
      <c r="J2031" s="19" t="n">
        <v>0</v>
      </c>
      <c r="K2031" s="37" t="n">
        <v>0.065</v>
      </c>
    </row>
    <row r="2032">
      <c r="A2032" s="34" t="inlineStr">
        <is>
          <t>AGA SPK-tilskudd</t>
        </is>
      </c>
      <c r="B2032" s="34" t="inlineStr">
        <is>
          <t>Region Vest</t>
        </is>
      </c>
      <c r="C2032" s="34" t="inlineStr">
        <is>
          <t>Sandnes ungdomssenter - Minde 2</t>
        </is>
      </c>
      <c r="D2032" s="18" t="n">
        <v>630</v>
      </c>
      <c r="E2032" s="18" t="n">
        <v>1180</v>
      </c>
      <c r="F2032" s="18" t="n">
        <v>9698</v>
      </c>
      <c r="G2032" s="18" t="n">
        <v>11849</v>
      </c>
      <c r="H2032" s="18" t="n">
        <v>9172</v>
      </c>
      <c r="I2032" s="18" t="n">
        <v>13185</v>
      </c>
      <c r="J2032" s="19" t="n">
        <v>20601.5625</v>
      </c>
      <c r="K2032" s="35" t="n">
        <v>0.25</v>
      </c>
    </row>
    <row r="2033">
      <c r="A2033" s="36" t="inlineStr">
        <is>
          <t>AGA SPK-tilskudd</t>
        </is>
      </c>
      <c r="B2033" s="36" t="inlineStr">
        <is>
          <t>Region Vest</t>
        </is>
      </c>
      <c r="C2033" s="36" t="inlineStr">
        <is>
          <t>Sandnes ungdomssenter - Minde 2</t>
        </is>
      </c>
      <c r="D2033" s="26" t="n">
        <v>-24257</v>
      </c>
      <c r="E2033" s="26" t="n"/>
      <c r="F2033" s="26" t="n"/>
      <c r="G2033" s="26" t="n"/>
      <c r="H2033" s="26" t="n">
        <v>-178125</v>
      </c>
      <c r="I2033" s="26" t="n">
        <v>-247639</v>
      </c>
      <c r="J2033" s="19" t="n">
        <v>-280878.3447749999</v>
      </c>
      <c r="K2033" s="37" t="n">
        <v>0.065</v>
      </c>
    </row>
    <row r="2034">
      <c r="A2034" s="34" t="inlineStr">
        <is>
          <t>AGA SPK-tilskudd</t>
        </is>
      </c>
      <c r="B2034" s="34" t="inlineStr">
        <is>
          <t>Region Vest</t>
        </is>
      </c>
      <c r="C2034" s="34" t="inlineStr">
        <is>
          <t>Sandnes ungdomssenter - Minde 2</t>
        </is>
      </c>
      <c r="D2034" s="18" t="n">
        <v>-273733</v>
      </c>
      <c r="E2034" s="18" t="n">
        <v>-1428143</v>
      </c>
      <c r="F2034" s="18" t="n">
        <v>-693372</v>
      </c>
      <c r="G2034" s="18" t="n">
        <v>-718207</v>
      </c>
      <c r="H2034" s="18" t="n">
        <v>-495671</v>
      </c>
      <c r="I2034" s="18" t="n">
        <v>-468281</v>
      </c>
      <c r="J2034" s="19" t="n">
        <v>-531136.017225</v>
      </c>
      <c r="K2034" s="35" t="n">
        <v>0.065</v>
      </c>
    </row>
    <row r="2035">
      <c r="A2035" s="36" t="inlineStr">
        <is>
          <t>AGA SPK-tilskudd</t>
        </is>
      </c>
      <c r="B2035" s="36" t="inlineStr">
        <is>
          <t>Region Vest</t>
        </is>
      </c>
      <c r="C2035" s="36" t="inlineStr">
        <is>
          <t>Sandnes ungdomssenter - Minde1</t>
        </is>
      </c>
      <c r="D2035" s="26" t="n">
        <v>152434</v>
      </c>
      <c r="E2035" s="26" t="n">
        <v>140471</v>
      </c>
      <c r="F2035" s="26" t="n">
        <v>131774</v>
      </c>
      <c r="G2035" s="26" t="n">
        <v>161230</v>
      </c>
      <c r="H2035" s="26" t="n">
        <v>148717</v>
      </c>
      <c r="I2035" s="26" t="n">
        <v>152674</v>
      </c>
      <c r="J2035" s="19" t="n">
        <v>152770.1057698719</v>
      </c>
      <c r="K2035" s="37" t="n">
        <v>0.0003146922540189223</v>
      </c>
    </row>
    <row r="2036">
      <c r="A2036" s="34" t="inlineStr">
        <is>
          <t>AGA SPK-tilskudd</t>
        </is>
      </c>
      <c r="B2036" s="34" t="inlineStr">
        <is>
          <t>Region Vest</t>
        </is>
      </c>
      <c r="C2036" s="34" t="inlineStr">
        <is>
          <t>Sandnes ungdomssenter - Minde1</t>
        </is>
      </c>
      <c r="D2036" s="18" t="n"/>
      <c r="E2036" s="18" t="n">
        <v>11680</v>
      </c>
      <c r="F2036" s="18" t="n">
        <v>66777</v>
      </c>
      <c r="G2036" s="18" t="n">
        <v>41624</v>
      </c>
      <c r="H2036" s="18" t="n">
        <v>85758</v>
      </c>
      <c r="I2036" s="18" t="n">
        <v>94951</v>
      </c>
      <c r="J2036" s="19" t="n">
        <v>148360.9375</v>
      </c>
      <c r="K2036" s="35" t="n">
        <v>0.25</v>
      </c>
    </row>
    <row r="2037">
      <c r="A2037" s="36" t="inlineStr">
        <is>
          <t>AGA SPK-tilskudd</t>
        </is>
      </c>
      <c r="B2037" s="36" t="inlineStr">
        <is>
          <t>Region Vest</t>
        </is>
      </c>
      <c r="C2037" s="36" t="inlineStr">
        <is>
          <t>Sandnes ungdomssenter - Minde1</t>
        </is>
      </c>
      <c r="D2037" s="26" t="n">
        <v>6212</v>
      </c>
      <c r="E2037" s="26" t="n">
        <v>8877</v>
      </c>
      <c r="F2037" s="26" t="n">
        <v>128720</v>
      </c>
      <c r="G2037" s="26" t="n">
        <v>82144</v>
      </c>
      <c r="H2037" s="26" t="n">
        <v>60451</v>
      </c>
      <c r="I2037" s="26" t="n">
        <v>43534</v>
      </c>
      <c r="J2037" s="19" t="n">
        <v>68021.875</v>
      </c>
      <c r="K2037" s="37" t="n">
        <v>0.25</v>
      </c>
    </row>
    <row r="2038">
      <c r="A2038" s="34" t="inlineStr">
        <is>
          <t>AGA SPK-tilskudd</t>
        </is>
      </c>
      <c r="B2038" s="34" t="inlineStr">
        <is>
          <t>Region Vest</t>
        </is>
      </c>
      <c r="C2038" s="34" t="inlineStr">
        <is>
          <t>Sandnes ungdomssenter - Minde1</t>
        </is>
      </c>
      <c r="D2038" s="18" t="n">
        <v>42200</v>
      </c>
      <c r="E2038" s="18" t="n">
        <v>43763</v>
      </c>
      <c r="F2038" s="18" t="n">
        <v>51023</v>
      </c>
      <c r="G2038" s="18" t="n">
        <v>79089</v>
      </c>
      <c r="H2038" s="18" t="n">
        <v>96015</v>
      </c>
      <c r="I2038" s="18" t="n">
        <v>80490</v>
      </c>
      <c r="J2038" s="19" t="n">
        <v>104211.03709545</v>
      </c>
      <c r="K2038" s="35" t="n">
        <v>0.1378523093709207</v>
      </c>
    </row>
    <row r="2039">
      <c r="A2039" s="36" t="inlineStr">
        <is>
          <t>AGA SPK-tilskudd</t>
        </is>
      </c>
      <c r="B2039" s="36" t="inlineStr">
        <is>
          <t>Region Vest</t>
        </is>
      </c>
      <c r="C2039" s="36" t="inlineStr">
        <is>
          <t>Sandnes ungdomssenter - Minde1</t>
        </is>
      </c>
      <c r="D2039" s="26" t="n">
        <v>483</v>
      </c>
      <c r="E2039" s="26" t="n">
        <v>1001</v>
      </c>
      <c r="F2039" s="26" t="n">
        <v>3857</v>
      </c>
      <c r="G2039" s="26" t="n">
        <v>4247</v>
      </c>
      <c r="H2039" s="26" t="n">
        <v>2382</v>
      </c>
      <c r="I2039" s="26" t="n">
        <v>2260</v>
      </c>
      <c r="J2039" s="19" t="n">
        <v>3531.25</v>
      </c>
      <c r="K2039" s="37" t="n">
        <v>0.25</v>
      </c>
    </row>
    <row r="2040">
      <c r="A2040" s="34" t="inlineStr">
        <is>
          <t>AGA SPK-tilskudd</t>
        </is>
      </c>
      <c r="B2040" s="34" t="inlineStr">
        <is>
          <t>Region Vest</t>
        </is>
      </c>
      <c r="C2040" s="34" t="inlineStr">
        <is>
          <t>Sandnes ungdomssenter - Minde1</t>
        </is>
      </c>
      <c r="D2040" s="18" t="n">
        <v>412</v>
      </c>
      <c r="E2040" s="18" t="n"/>
      <c r="F2040" s="18" t="n">
        <v>25159</v>
      </c>
      <c r="G2040" s="18" t="n">
        <v>17286</v>
      </c>
      <c r="H2040" s="18" t="n">
        <v>6063</v>
      </c>
      <c r="I2040" s="18" t="n">
        <v>3845</v>
      </c>
      <c r="J2040" s="19" t="n">
        <v>6007.8125</v>
      </c>
      <c r="K2040" s="35" t="n">
        <v>0.25</v>
      </c>
    </row>
    <row r="2041">
      <c r="A2041" s="36" t="inlineStr">
        <is>
          <t>AGA SPK-tilskudd</t>
        </is>
      </c>
      <c r="B2041" s="36" t="inlineStr">
        <is>
          <t>Region Vest</t>
        </is>
      </c>
      <c r="C2041" s="36" t="inlineStr">
        <is>
          <t>Sandnes ungdomssenter - Minde1</t>
        </is>
      </c>
      <c r="D2041" s="26" t="n"/>
      <c r="E2041" s="26" t="n">
        <v>1645</v>
      </c>
      <c r="F2041" s="26" t="n">
        <v>3104</v>
      </c>
      <c r="G2041" s="26" t="n"/>
      <c r="H2041" s="26" t="n">
        <v>16975</v>
      </c>
      <c r="I2041" s="26" t="n">
        <v>15582</v>
      </c>
      <c r="J2041" s="19" t="n">
        <v>24346.875</v>
      </c>
      <c r="K2041" s="37" t="n">
        <v>0.25</v>
      </c>
    </row>
    <row r="2042">
      <c r="A2042" s="34" t="inlineStr">
        <is>
          <t>AGA SPK-tilskudd</t>
        </is>
      </c>
      <c r="B2042" s="34" t="inlineStr">
        <is>
          <t>Region Vest</t>
        </is>
      </c>
      <c r="C2042" s="34" t="inlineStr">
        <is>
          <t>Sandnes ungdomssenter - Minde1</t>
        </is>
      </c>
      <c r="D2042" s="18" t="n">
        <v>277</v>
      </c>
      <c r="E2042" s="18" t="n">
        <v>1428</v>
      </c>
      <c r="F2042" s="18" t="n">
        <v>2160</v>
      </c>
      <c r="G2042" s="18" t="n">
        <v>5311</v>
      </c>
      <c r="H2042" s="18" t="n">
        <v>9726</v>
      </c>
      <c r="I2042" s="18" t="n">
        <v>9093</v>
      </c>
      <c r="J2042" s="19" t="n">
        <v>14207.8125</v>
      </c>
      <c r="K2042" s="35" t="n">
        <v>0.25</v>
      </c>
    </row>
    <row r="2043">
      <c r="A2043" s="36" t="inlineStr">
        <is>
          <t>AGA SPK-tilskudd</t>
        </is>
      </c>
      <c r="B2043" s="36" t="inlineStr">
        <is>
          <t>Region Vest</t>
        </is>
      </c>
      <c r="C2043" s="36" t="inlineStr">
        <is>
          <t>Sandnes ungdomssenter - Minde1</t>
        </is>
      </c>
      <c r="D2043" s="26" t="n">
        <v>207</v>
      </c>
      <c r="E2043" s="26" t="n">
        <v>148</v>
      </c>
      <c r="F2043" s="26" t="n">
        <v>7717</v>
      </c>
      <c r="G2043" s="26" t="n">
        <v>6262</v>
      </c>
      <c r="H2043" s="26" t="n">
        <v>2863</v>
      </c>
      <c r="I2043" s="26" t="n">
        <v>2756</v>
      </c>
      <c r="J2043" s="19" t="n">
        <v>4306.25</v>
      </c>
      <c r="K2043" s="37" t="n">
        <v>0.25</v>
      </c>
    </row>
    <row r="2044">
      <c r="A2044" s="34" t="inlineStr">
        <is>
          <t>AGA SPK-tilskudd</t>
        </is>
      </c>
      <c r="B2044" s="34" t="inlineStr">
        <is>
          <t>Region Vest</t>
        </is>
      </c>
      <c r="C2044" s="34" t="inlineStr">
        <is>
          <t>Sandnes ungdomssenter - Minde1</t>
        </is>
      </c>
      <c r="D2044" s="18" t="n"/>
      <c r="E2044" s="18" t="n"/>
      <c r="F2044" s="18" t="n">
        <v>2988</v>
      </c>
      <c r="G2044" s="18" t="n"/>
      <c r="H2044" s="18" t="n"/>
      <c r="I2044" s="18" t="n"/>
      <c r="J2044" s="19" t="n">
        <v>0</v>
      </c>
      <c r="K2044" s="35" t="n">
        <v>0.065</v>
      </c>
    </row>
    <row r="2045">
      <c r="A2045" s="36" t="inlineStr">
        <is>
          <t>AGA SPK-tilskudd</t>
        </is>
      </c>
      <c r="B2045" s="36" t="inlineStr">
        <is>
          <t>Region Vest</t>
        </is>
      </c>
      <c r="C2045" s="36" t="inlineStr">
        <is>
          <t>Sandnes ungdomssenter - Minde1</t>
        </is>
      </c>
      <c r="D2045" s="26" t="n">
        <v>4250</v>
      </c>
      <c r="E2045" s="26" t="n"/>
      <c r="F2045" s="26" t="n"/>
      <c r="G2045" s="26" t="n"/>
      <c r="H2045" s="26" t="n"/>
      <c r="I2045" s="26" t="n"/>
      <c r="J2045" s="19" t="n">
        <v>0</v>
      </c>
      <c r="K2045" s="37" t="n">
        <v>0.065</v>
      </c>
    </row>
    <row r="2046">
      <c r="A2046" s="34" t="inlineStr">
        <is>
          <t>AGA SPK-tilskudd</t>
        </is>
      </c>
      <c r="B2046" s="34" t="inlineStr">
        <is>
          <t>Region Vest</t>
        </is>
      </c>
      <c r="C2046" s="34" t="inlineStr">
        <is>
          <t>Sandnes ungdomssenter - Minde1</t>
        </is>
      </c>
      <c r="D2046" s="18" t="n">
        <v>872</v>
      </c>
      <c r="E2046" s="18" t="n"/>
      <c r="F2046" s="18" t="n">
        <v>8032</v>
      </c>
      <c r="G2046" s="18" t="n">
        <v>4720</v>
      </c>
      <c r="H2046" s="18" t="n">
        <v>6814</v>
      </c>
      <c r="I2046" s="18" t="n">
        <v>5832</v>
      </c>
      <c r="J2046" s="19" t="n">
        <v>9112.5</v>
      </c>
      <c r="K2046" s="35" t="n">
        <v>0.25</v>
      </c>
    </row>
    <row r="2047">
      <c r="A2047" s="36" t="inlineStr">
        <is>
          <t>AGA SPK-tilskudd</t>
        </is>
      </c>
      <c r="B2047" s="36" t="inlineStr">
        <is>
          <t>Region Vest</t>
        </is>
      </c>
      <c r="C2047" s="36" t="inlineStr">
        <is>
          <t>Sandnes ungdomssenter - Minde1</t>
        </is>
      </c>
      <c r="D2047" s="26" t="n"/>
      <c r="E2047" s="26" t="n">
        <v>-375683</v>
      </c>
      <c r="F2047" s="26" t="n">
        <v>-251042</v>
      </c>
      <c r="G2047" s="26" t="n">
        <v>-34090</v>
      </c>
      <c r="H2047" s="26" t="n">
        <v>-46108</v>
      </c>
      <c r="I2047" s="26" t="n">
        <v>-440474</v>
      </c>
      <c r="J2047" s="19" t="n">
        <v>-499596.6226499999</v>
      </c>
      <c r="K2047" s="37" t="n">
        <v>0.065</v>
      </c>
    </row>
    <row r="2048">
      <c r="A2048" s="34" t="inlineStr">
        <is>
          <t>AGA SPK-tilskudd</t>
        </is>
      </c>
      <c r="B2048" s="34" t="inlineStr">
        <is>
          <t>Region Vest</t>
        </is>
      </c>
      <c r="C2048" s="34" t="inlineStr">
        <is>
          <t>Sandnes ungdomssenter - Minde1</t>
        </is>
      </c>
      <c r="D2048" s="18" t="n">
        <v>-91963</v>
      </c>
      <c r="E2048" s="18" t="n">
        <v>-297658</v>
      </c>
      <c r="F2048" s="18" t="n">
        <v>-506426</v>
      </c>
      <c r="G2048" s="18" t="n">
        <v>-514303</v>
      </c>
      <c r="H2048" s="18" t="n">
        <v>-555012</v>
      </c>
      <c r="I2048" s="18" t="n">
        <v>-402527</v>
      </c>
      <c r="J2048" s="19" t="n">
        <v>-456556.1865749999</v>
      </c>
      <c r="K2048" s="35" t="n">
        <v>0.065</v>
      </c>
    </row>
    <row r="2049">
      <c r="A2049" s="36" t="inlineStr">
        <is>
          <t>AGA SPK-tilskudd</t>
        </is>
      </c>
      <c r="B2049" s="36" t="inlineStr">
        <is>
          <t>Region Vest</t>
        </is>
      </c>
      <c r="C2049" s="36" t="inlineStr">
        <is>
          <t>Sandnes ungdomssenter - adm</t>
        </is>
      </c>
      <c r="D2049" s="26" t="n">
        <v>15145</v>
      </c>
      <c r="E2049" s="26" t="n">
        <v>11010</v>
      </c>
      <c r="F2049" s="26" t="n">
        <v>9970</v>
      </c>
      <c r="G2049" s="26" t="n">
        <v>5774</v>
      </c>
      <c r="H2049" s="26" t="n">
        <v>1315</v>
      </c>
      <c r="I2049" s="26" t="n">
        <v>5259</v>
      </c>
      <c r="J2049" s="19" t="n">
        <v>3444.742220959053</v>
      </c>
      <c r="K2049" s="37" t="n">
        <v>-0.1906678762172952</v>
      </c>
    </row>
    <row r="2050">
      <c r="A2050" s="34" t="inlineStr">
        <is>
          <t>AGA SPK-tilskudd</t>
        </is>
      </c>
      <c r="B2050" s="34" t="inlineStr">
        <is>
          <t>Region Vest</t>
        </is>
      </c>
      <c r="C2050" s="34" t="inlineStr">
        <is>
          <t>Sandnes ungdomssenter - adm</t>
        </is>
      </c>
      <c r="D2050" s="18" t="n">
        <v>4468</v>
      </c>
      <c r="E2050" s="18" t="n">
        <v>7358</v>
      </c>
      <c r="F2050" s="18" t="n">
        <v>25730</v>
      </c>
      <c r="G2050" s="18" t="n">
        <v>10693</v>
      </c>
      <c r="H2050" s="18" t="n">
        <v>24176</v>
      </c>
      <c r="I2050" s="18" t="n">
        <v>35308</v>
      </c>
      <c r="J2050" s="19" t="n">
        <v>55168.75</v>
      </c>
      <c r="K2050" s="35" t="n">
        <v>0.25</v>
      </c>
    </row>
    <row r="2051">
      <c r="A2051" s="36" t="inlineStr">
        <is>
          <t>AGA SPK-tilskudd</t>
        </is>
      </c>
      <c r="B2051" s="36" t="inlineStr">
        <is>
          <t>Region Vest</t>
        </is>
      </c>
      <c r="C2051" s="36" t="inlineStr">
        <is>
          <t>Sandnes ungdomssenter - adm</t>
        </is>
      </c>
      <c r="D2051" s="26" t="n">
        <v>1400</v>
      </c>
      <c r="E2051" s="26" t="n">
        <v>1227</v>
      </c>
      <c r="F2051" s="26" t="n">
        <v>1227</v>
      </c>
      <c r="G2051" s="26" t="n">
        <v>931</v>
      </c>
      <c r="H2051" s="26" t="n">
        <v>221</v>
      </c>
      <c r="I2051" s="26" t="n">
        <v>865</v>
      </c>
      <c r="J2051" s="19" t="n">
        <v>713.4628037504493</v>
      </c>
      <c r="K2051" s="37" t="n">
        <v>-0.09180812055771359</v>
      </c>
    </row>
    <row r="2052">
      <c r="A2052" s="34" t="inlineStr">
        <is>
          <t>AGA SPK-tilskudd</t>
        </is>
      </c>
      <c r="B2052" s="34" t="inlineStr">
        <is>
          <t>Region Vest</t>
        </is>
      </c>
      <c r="C2052" s="34" t="inlineStr">
        <is>
          <t>Sandnes ungdomssenter - adm</t>
        </is>
      </c>
      <c r="D2052" s="18" t="n">
        <v>1138</v>
      </c>
      <c r="E2052" s="18" t="n">
        <v>231</v>
      </c>
      <c r="F2052" s="18" t="n">
        <v>175</v>
      </c>
      <c r="G2052" s="18" t="n">
        <v>49</v>
      </c>
      <c r="H2052" s="18" t="n">
        <v>12188</v>
      </c>
      <c r="I2052" s="18" t="n">
        <v>5372</v>
      </c>
      <c r="J2052" s="19" t="n">
        <v>8393.75</v>
      </c>
      <c r="K2052" s="35" t="n">
        <v>0.25</v>
      </c>
    </row>
    <row r="2053">
      <c r="A2053" s="36" t="inlineStr">
        <is>
          <t>AGA SPK-tilskudd</t>
        </is>
      </c>
      <c r="B2053" s="36" t="inlineStr">
        <is>
          <t>Region Vest</t>
        </is>
      </c>
      <c r="C2053" s="36" t="inlineStr">
        <is>
          <t>Sandnes ungdomssenter - adm</t>
        </is>
      </c>
      <c r="D2053" s="26" t="n">
        <v>588</v>
      </c>
      <c r="E2053" s="26" t="n"/>
      <c r="F2053" s="26" t="n"/>
      <c r="G2053" s="26" t="n">
        <v>803</v>
      </c>
      <c r="H2053" s="26" t="n">
        <v>3085</v>
      </c>
      <c r="I2053" s="26" t="n">
        <v>2660</v>
      </c>
      <c r="J2053" s="19" t="n">
        <v>4156.25</v>
      </c>
      <c r="K2053" s="37" t="n">
        <v>0.25</v>
      </c>
    </row>
    <row r="2054">
      <c r="A2054" s="34" t="inlineStr">
        <is>
          <t>AGA SPK-tilskudd</t>
        </is>
      </c>
      <c r="B2054" s="34" t="inlineStr">
        <is>
          <t>Region Vest</t>
        </is>
      </c>
      <c r="C2054" s="34" t="inlineStr">
        <is>
          <t>Sandnes ungdomssenter - adm</t>
        </is>
      </c>
      <c r="D2054" s="18" t="n"/>
      <c r="E2054" s="18" t="n"/>
      <c r="F2054" s="18" t="n"/>
      <c r="G2054" s="18" t="n">
        <v>560</v>
      </c>
      <c r="H2054" s="18" t="n"/>
      <c r="I2054" s="18" t="n"/>
      <c r="J2054" s="19" t="n">
        <v>0</v>
      </c>
      <c r="K2054" s="35" t="n">
        <v>0.065</v>
      </c>
    </row>
    <row r="2055">
      <c r="A2055" s="36" t="inlineStr">
        <is>
          <t>AGA SPK-tilskudd</t>
        </is>
      </c>
      <c r="B2055" s="36" t="inlineStr">
        <is>
          <t>Region Vest</t>
        </is>
      </c>
      <c r="C2055" s="36" t="inlineStr">
        <is>
          <t>Sandnes ungdomssenter - adm</t>
        </is>
      </c>
      <c r="D2055" s="26" t="n">
        <v>5117</v>
      </c>
      <c r="E2055" s="26" t="n">
        <v>1613</v>
      </c>
      <c r="F2055" s="26" t="n">
        <v>320</v>
      </c>
      <c r="G2055" s="26" t="n"/>
      <c r="H2055" s="26" t="n">
        <v>1975</v>
      </c>
      <c r="I2055" s="26" t="n">
        <v>1724</v>
      </c>
      <c r="J2055" s="19" t="n">
        <v>1115.696316625089</v>
      </c>
      <c r="K2055" s="37" t="n">
        <v>-0.1955401588062715</v>
      </c>
    </row>
    <row r="2056">
      <c r="A2056" s="34" t="inlineStr">
        <is>
          <t>AGA SPK-tilskudd</t>
        </is>
      </c>
      <c r="B2056" s="34" t="inlineStr">
        <is>
          <t>Region Vest</t>
        </is>
      </c>
      <c r="C2056" s="34" t="inlineStr">
        <is>
          <t>Sandnes ungdomssenter - adm</t>
        </is>
      </c>
      <c r="D2056" s="18" t="n">
        <v>386</v>
      </c>
      <c r="E2056" s="18" t="n">
        <v>35</v>
      </c>
      <c r="F2056" s="18" t="n">
        <v>27</v>
      </c>
      <c r="G2056" s="18" t="n">
        <v>283</v>
      </c>
      <c r="H2056" s="18" t="n">
        <v>5969</v>
      </c>
      <c r="I2056" s="18" t="n">
        <v>3342</v>
      </c>
      <c r="J2056" s="19" t="n">
        <v>5221.875</v>
      </c>
      <c r="K2056" s="35" t="n">
        <v>0.25</v>
      </c>
    </row>
    <row r="2057">
      <c r="A2057" s="36" t="inlineStr">
        <is>
          <t>AGA SPK-tilskudd</t>
        </is>
      </c>
      <c r="B2057" s="36" t="inlineStr">
        <is>
          <t>Region Vest</t>
        </is>
      </c>
      <c r="C2057" s="36" t="inlineStr">
        <is>
          <t>Sandnes ungdomssenter - adm</t>
        </is>
      </c>
      <c r="D2057" s="26" t="n"/>
      <c r="E2057" s="26" t="n">
        <v>2612</v>
      </c>
      <c r="F2057" s="26" t="n"/>
      <c r="G2057" s="26" t="n"/>
      <c r="H2057" s="26" t="n">
        <v>800</v>
      </c>
      <c r="I2057" s="26" t="n">
        <v>2254</v>
      </c>
      <c r="J2057" s="19" t="n">
        <v>2093.843804463102</v>
      </c>
      <c r="K2057" s="37" t="n">
        <v>-0.03618166273373358</v>
      </c>
    </row>
    <row r="2058">
      <c r="A2058" s="34" t="inlineStr">
        <is>
          <t>AGA SPK-tilskudd</t>
        </is>
      </c>
      <c r="B2058" s="34" t="inlineStr">
        <is>
          <t>Region Vest</t>
        </is>
      </c>
      <c r="C2058" s="34" t="inlineStr">
        <is>
          <t>Sandnes ungdomssenter - adm</t>
        </is>
      </c>
      <c r="D2058" s="18" t="n"/>
      <c r="E2058" s="18" t="n"/>
      <c r="F2058" s="18" t="n"/>
      <c r="G2058" s="18" t="n"/>
      <c r="H2058" s="18" t="n"/>
      <c r="I2058" s="18" t="n">
        <v>-15741</v>
      </c>
      <c r="J2058" s="19" t="n">
        <v>-17853.835725</v>
      </c>
      <c r="K2058" s="35" t="n">
        <v>0.065</v>
      </c>
    </row>
    <row r="2059">
      <c r="A2059" s="36" t="inlineStr">
        <is>
          <t>AGA SPK-tilskudd</t>
        </is>
      </c>
      <c r="B2059" s="36" t="inlineStr">
        <is>
          <t>Region Vest</t>
        </is>
      </c>
      <c r="C2059" s="36" t="inlineStr">
        <is>
          <t>Seksjon HR</t>
        </is>
      </c>
      <c r="D2059" s="26" t="n"/>
      <c r="E2059" s="26" t="n"/>
      <c r="F2059" s="26" t="n"/>
      <c r="G2059" s="26" t="n"/>
      <c r="H2059" s="26" t="n"/>
      <c r="I2059" s="26" t="n">
        <v>5153</v>
      </c>
      <c r="J2059" s="19" t="n">
        <v>5844.661424999999</v>
      </c>
      <c r="K2059" s="37" t="n">
        <v>0.065</v>
      </c>
    </row>
    <row r="2060">
      <c r="A2060" s="34" t="inlineStr">
        <is>
          <t>AGA SPK-tilskudd</t>
        </is>
      </c>
      <c r="B2060" s="34" t="inlineStr">
        <is>
          <t>Region Vest</t>
        </is>
      </c>
      <c r="C2060" s="34" t="inlineStr">
        <is>
          <t>Seksjon HR</t>
        </is>
      </c>
      <c r="D2060" s="18" t="n"/>
      <c r="E2060" s="18" t="n">
        <v>7591</v>
      </c>
      <c r="F2060" s="18" t="n"/>
      <c r="G2060" s="18" t="n"/>
      <c r="H2060" s="18" t="n"/>
      <c r="I2060" s="18" t="n">
        <v>7505</v>
      </c>
      <c r="J2060" s="19" t="n">
        <v>7462.366059715586</v>
      </c>
      <c r="K2060" s="35" t="n">
        <v>-0.002844414453013755</v>
      </c>
    </row>
    <row r="2061">
      <c r="A2061" s="36" t="inlineStr">
        <is>
          <t>AGA SPK-tilskudd</t>
        </is>
      </c>
      <c r="B2061" s="36" t="inlineStr">
        <is>
          <t>Region Vest</t>
        </is>
      </c>
      <c r="C2061" s="36" t="inlineStr">
        <is>
          <t>Seksjon HR</t>
        </is>
      </c>
      <c r="D2061" s="26" t="n"/>
      <c r="E2061" s="26" t="n"/>
      <c r="F2061" s="26" t="n"/>
      <c r="G2061" s="26" t="n"/>
      <c r="H2061" s="26" t="n"/>
      <c r="I2061" s="26" t="n">
        <v>865</v>
      </c>
      <c r="J2061" s="19" t="n">
        <v>981.1046249999998</v>
      </c>
      <c r="K2061" s="37" t="n">
        <v>0.065</v>
      </c>
    </row>
    <row r="2062">
      <c r="A2062" s="34" t="inlineStr">
        <is>
          <t>AGA SPK-tilskudd</t>
        </is>
      </c>
      <c r="B2062" s="34" t="inlineStr">
        <is>
          <t>Region Vest</t>
        </is>
      </c>
      <c r="C2062" s="34" t="inlineStr">
        <is>
          <t>Seksjon HR</t>
        </is>
      </c>
      <c r="D2062" s="18" t="n"/>
      <c r="E2062" s="18" t="n"/>
      <c r="F2062" s="18" t="n"/>
      <c r="G2062" s="18" t="n"/>
      <c r="H2062" s="18" t="n"/>
      <c r="I2062" s="18" t="n">
        <v>562</v>
      </c>
      <c r="J2062" s="19" t="n">
        <v>637.4344499999999</v>
      </c>
      <c r="K2062" s="35" t="n">
        <v>0.065</v>
      </c>
    </row>
    <row r="2063">
      <c r="A2063" s="36" t="inlineStr">
        <is>
          <t>AGA SPK-tilskudd</t>
        </is>
      </c>
      <c r="B2063" s="36" t="inlineStr">
        <is>
          <t>Region Vest</t>
        </is>
      </c>
      <c r="C2063" s="36" t="inlineStr">
        <is>
          <t>Seksjon faglig støtte</t>
        </is>
      </c>
      <c r="D2063" s="26" t="n"/>
      <c r="E2063" s="26" t="n"/>
      <c r="F2063" s="26" t="n"/>
      <c r="G2063" s="26" t="n"/>
      <c r="H2063" s="26" t="n"/>
      <c r="I2063" s="26" t="n">
        <v>11098</v>
      </c>
      <c r="J2063" s="19" t="n">
        <v>12587.62905</v>
      </c>
      <c r="K2063" s="37" t="n">
        <v>0.065</v>
      </c>
    </row>
    <row r="2064">
      <c r="A2064" s="34" t="inlineStr">
        <is>
          <t>AGA SPK-tilskudd</t>
        </is>
      </c>
      <c r="B2064" s="34" t="inlineStr">
        <is>
          <t>Region Vest</t>
        </is>
      </c>
      <c r="C2064" s="34" t="inlineStr">
        <is>
          <t>Seksjon faglig støtte</t>
        </is>
      </c>
      <c r="D2064" s="18" t="n"/>
      <c r="E2064" s="18" t="n"/>
      <c r="F2064" s="18" t="n">
        <v>5901</v>
      </c>
      <c r="G2064" s="18" t="n"/>
      <c r="H2064" s="18" t="n">
        <v>47163</v>
      </c>
      <c r="I2064" s="18" t="n">
        <v>29774</v>
      </c>
      <c r="J2064" s="19" t="n">
        <v>33770.41514999999</v>
      </c>
      <c r="K2064" s="35" t="n">
        <v>0.065</v>
      </c>
    </row>
    <row r="2065">
      <c r="A2065" s="36" t="inlineStr">
        <is>
          <t>AGA SPK-tilskudd</t>
        </is>
      </c>
      <c r="B2065" s="36" t="inlineStr">
        <is>
          <t>Region Vest</t>
        </is>
      </c>
      <c r="C2065" s="36" t="inlineStr">
        <is>
          <t>Seksjon faglig støtte</t>
        </is>
      </c>
      <c r="D2065" s="26" t="n"/>
      <c r="E2065" s="26" t="n"/>
      <c r="F2065" s="26" t="n"/>
      <c r="G2065" s="26" t="n"/>
      <c r="H2065" s="26" t="n"/>
      <c r="I2065" s="26" t="n">
        <v>2163</v>
      </c>
      <c r="J2065" s="19" t="n">
        <v>2453.328675</v>
      </c>
      <c r="K2065" s="37" t="n">
        <v>0.065</v>
      </c>
    </row>
    <row r="2066">
      <c r="A2066" s="34" t="inlineStr">
        <is>
          <t>AGA SPK-tilskudd</t>
        </is>
      </c>
      <c r="B2066" s="34" t="inlineStr">
        <is>
          <t>Region Vest</t>
        </is>
      </c>
      <c r="C2066" s="34" t="inlineStr">
        <is>
          <t>Seksjon faglig støtte</t>
        </is>
      </c>
      <c r="D2066" s="18" t="n"/>
      <c r="E2066" s="18" t="n"/>
      <c r="F2066" s="18" t="n"/>
      <c r="G2066" s="18" t="n"/>
      <c r="H2066" s="18" t="n">
        <v>1282</v>
      </c>
      <c r="I2066" s="18" t="n"/>
      <c r="J2066" s="19" t="n">
        <v>0</v>
      </c>
      <c r="K2066" s="35" t="n">
        <v>0.065</v>
      </c>
    </row>
    <row r="2067">
      <c r="A2067" s="36" t="inlineStr">
        <is>
          <t>AGA SPK-tilskudd</t>
        </is>
      </c>
      <c r="B2067" s="36" t="inlineStr">
        <is>
          <t>Region Vest</t>
        </is>
      </c>
      <c r="C2067" s="36" t="inlineStr">
        <is>
          <t>Seksjon faglig støtte</t>
        </is>
      </c>
      <c r="D2067" s="26" t="n"/>
      <c r="E2067" s="26" t="n"/>
      <c r="F2067" s="26" t="n"/>
      <c r="G2067" s="26" t="n"/>
      <c r="H2067" s="26" t="n">
        <v>423</v>
      </c>
      <c r="I2067" s="26" t="n"/>
      <c r="J2067" s="19" t="n">
        <v>0</v>
      </c>
      <c r="K2067" s="37" t="n">
        <v>0.065</v>
      </c>
    </row>
    <row r="2068">
      <c r="A2068" s="34" t="inlineStr">
        <is>
          <t>AGA SPK-tilskudd</t>
        </is>
      </c>
      <c r="B2068" s="34" t="inlineStr">
        <is>
          <t>Region Vest</t>
        </is>
      </c>
      <c r="C2068" s="34" t="inlineStr">
        <is>
          <t>Seksjon virksomhetsstyring</t>
        </is>
      </c>
      <c r="D2068" s="18" t="n"/>
      <c r="E2068" s="18" t="n"/>
      <c r="F2068" s="18" t="n"/>
      <c r="G2068" s="18" t="n"/>
      <c r="H2068" s="18" t="n"/>
      <c r="I2068" s="18" t="n">
        <v>1832</v>
      </c>
      <c r="J2068" s="19" t="n">
        <v>2077.9002</v>
      </c>
      <c r="K2068" s="35" t="n">
        <v>0.065</v>
      </c>
    </row>
    <row r="2069">
      <c r="A2069" s="36" t="inlineStr">
        <is>
          <t>AGA SPK-tilskudd</t>
        </is>
      </c>
      <c r="B2069" s="36" t="inlineStr">
        <is>
          <t>Region Vest</t>
        </is>
      </c>
      <c r="C2069" s="36" t="inlineStr">
        <is>
          <t>Seksjon virksomhetsstyring</t>
        </is>
      </c>
      <c r="D2069" s="26" t="n"/>
      <c r="E2069" s="26" t="n">
        <v>10096</v>
      </c>
      <c r="F2069" s="26" t="n">
        <v>16017</v>
      </c>
      <c r="G2069" s="26" t="n">
        <v>24551</v>
      </c>
      <c r="H2069" s="26" t="n">
        <v>5633</v>
      </c>
      <c r="I2069" s="26" t="n">
        <v>22964</v>
      </c>
      <c r="J2069" s="19" t="n">
        <v>34633.52021951513</v>
      </c>
      <c r="K2069" s="37" t="n">
        <v>0.2280740345469006</v>
      </c>
    </row>
    <row r="2070">
      <c r="A2070" s="34" t="inlineStr">
        <is>
          <t>AGA SPK-tilskudd</t>
        </is>
      </c>
      <c r="B2070" s="34" t="inlineStr">
        <is>
          <t>Region Vest</t>
        </is>
      </c>
      <c r="C2070" s="34" t="inlineStr">
        <is>
          <t>Seksjon virksomhetsstyring</t>
        </is>
      </c>
      <c r="D2070" s="18" t="n"/>
      <c r="E2070" s="18" t="n"/>
      <c r="F2070" s="18" t="n"/>
      <c r="G2070" s="18" t="n"/>
      <c r="H2070" s="18" t="n"/>
      <c r="I2070" s="18" t="n">
        <v>288</v>
      </c>
      <c r="J2070" s="19" t="n">
        <v>326.6568</v>
      </c>
      <c r="K2070" s="35" t="n">
        <v>0.065</v>
      </c>
    </row>
    <row r="2071">
      <c r="A2071" s="36" t="inlineStr">
        <is>
          <t>AGA SPK-tilskudd</t>
        </is>
      </c>
      <c r="B2071" s="36" t="inlineStr">
        <is>
          <t>Region Vest</t>
        </is>
      </c>
      <c r="C2071" s="36" t="inlineStr">
        <is>
          <t>Seksjon virksomhetsstyring</t>
        </is>
      </c>
      <c r="D2071" s="26" t="n"/>
      <c r="E2071" s="26" t="n"/>
      <c r="F2071" s="26" t="n"/>
      <c r="G2071" s="26" t="n"/>
      <c r="H2071" s="26" t="n"/>
      <c r="I2071" s="26" t="n">
        <v>32500</v>
      </c>
      <c r="J2071" s="19" t="n">
        <v>36862.31249999999</v>
      </c>
      <c r="K2071" s="37" t="n">
        <v>0.065</v>
      </c>
    </row>
    <row r="2072">
      <c r="A2072" s="34" t="inlineStr">
        <is>
          <t>AGA SPK-tilskudd</t>
        </is>
      </c>
      <c r="B2072" s="34" t="inlineStr">
        <is>
          <t>Region Vest</t>
        </is>
      </c>
      <c r="C2072" s="34" t="inlineStr">
        <is>
          <t>Skjoldvegen Enetiltak Dyrhaugen</t>
        </is>
      </c>
      <c r="D2072" s="18" t="n">
        <v>-2008</v>
      </c>
      <c r="E2072" s="18" t="n"/>
      <c r="F2072" s="18" t="n"/>
      <c r="G2072" s="18" t="n"/>
      <c r="H2072" s="18" t="n"/>
      <c r="I2072" s="18" t="n"/>
      <c r="J2072" s="19" t="n">
        <v>0</v>
      </c>
      <c r="K2072" s="35" t="n">
        <v>0.065</v>
      </c>
    </row>
    <row r="2073">
      <c r="A2073" s="36" t="inlineStr">
        <is>
          <t>AGA SPK-tilskudd</t>
        </is>
      </c>
      <c r="B2073" s="36" t="inlineStr">
        <is>
          <t>Region Vest</t>
        </is>
      </c>
      <c r="C2073" s="36" t="inlineStr">
        <is>
          <t>Skjoldvegen Skjold</t>
        </is>
      </c>
      <c r="D2073" s="26" t="n">
        <v>165613</v>
      </c>
      <c r="E2073" s="26" t="n">
        <v>161262</v>
      </c>
      <c r="F2073" s="26" t="n">
        <v>145204</v>
      </c>
      <c r="G2073" s="26" t="n">
        <v>162746</v>
      </c>
      <c r="H2073" s="26" t="n">
        <v>203008</v>
      </c>
      <c r="I2073" s="26" t="n">
        <v>198045</v>
      </c>
      <c r="J2073" s="19" t="n">
        <v>212731.4329840551</v>
      </c>
      <c r="K2073" s="37" t="n">
        <v>0.03641548139964357</v>
      </c>
    </row>
    <row r="2074">
      <c r="A2074" s="34" t="inlineStr">
        <is>
          <t>AGA SPK-tilskudd</t>
        </is>
      </c>
      <c r="B2074" s="34" t="inlineStr">
        <is>
          <t>Region Vest</t>
        </is>
      </c>
      <c r="C2074" s="34" t="inlineStr">
        <is>
          <t>Skjoldvegen Skjold</t>
        </is>
      </c>
      <c r="D2074" s="18" t="n">
        <v>20349</v>
      </c>
      <c r="E2074" s="18" t="n">
        <v>16049</v>
      </c>
      <c r="F2074" s="18" t="n"/>
      <c r="G2074" s="18" t="n">
        <v>35734</v>
      </c>
      <c r="H2074" s="18" t="n">
        <v>243287</v>
      </c>
      <c r="I2074" s="18" t="n">
        <v>69332</v>
      </c>
      <c r="J2074" s="19" t="n">
        <v>108331.25</v>
      </c>
      <c r="K2074" s="35" t="n">
        <v>0.25</v>
      </c>
    </row>
    <row r="2075">
      <c r="A2075" s="36" t="inlineStr">
        <is>
          <t>AGA SPK-tilskudd</t>
        </is>
      </c>
      <c r="B2075" s="36" t="inlineStr">
        <is>
          <t>Region Vest</t>
        </is>
      </c>
      <c r="C2075" s="36" t="inlineStr">
        <is>
          <t>Skjoldvegen Skjold</t>
        </is>
      </c>
      <c r="D2075" s="26" t="n">
        <v>10193</v>
      </c>
      <c r="E2075" s="26" t="n">
        <v>8344</v>
      </c>
      <c r="F2075" s="26" t="n">
        <v>31821</v>
      </c>
      <c r="G2075" s="26" t="n">
        <v>74405</v>
      </c>
      <c r="H2075" s="26" t="n">
        <v>73124</v>
      </c>
      <c r="I2075" s="26" t="n">
        <v>59482</v>
      </c>
      <c r="J2075" s="19" t="n">
        <v>92940.625</v>
      </c>
      <c r="K2075" s="37" t="n">
        <v>0.25</v>
      </c>
    </row>
    <row r="2076">
      <c r="A2076" s="34" t="inlineStr">
        <is>
          <t>AGA SPK-tilskudd</t>
        </is>
      </c>
      <c r="B2076" s="34" t="inlineStr">
        <is>
          <t>Region Vest</t>
        </is>
      </c>
      <c r="C2076" s="34" t="inlineStr">
        <is>
          <t>Skjoldvegen Skjold</t>
        </is>
      </c>
      <c r="D2076" s="18" t="n">
        <v>41300</v>
      </c>
      <c r="E2076" s="18" t="n">
        <v>57190</v>
      </c>
      <c r="F2076" s="18" t="n">
        <v>59510</v>
      </c>
      <c r="G2076" s="18" t="n">
        <v>79025</v>
      </c>
      <c r="H2076" s="18" t="n">
        <v>100733</v>
      </c>
      <c r="I2076" s="18" t="n">
        <v>100914</v>
      </c>
      <c r="J2076" s="19" t="n">
        <v>144262.0065984787</v>
      </c>
      <c r="K2076" s="35" t="n">
        <v>0.1956395539401741</v>
      </c>
    </row>
    <row r="2077">
      <c r="A2077" s="36" t="inlineStr">
        <is>
          <t>AGA SPK-tilskudd</t>
        </is>
      </c>
      <c r="B2077" s="36" t="inlineStr">
        <is>
          <t>Region Vest</t>
        </is>
      </c>
      <c r="C2077" s="36" t="inlineStr">
        <is>
          <t>Skjoldvegen Skjold</t>
        </is>
      </c>
      <c r="D2077" s="26" t="n">
        <v>116</v>
      </c>
      <c r="E2077" s="26" t="n"/>
      <c r="F2077" s="26" t="n"/>
      <c r="G2077" s="26" t="n">
        <v>497</v>
      </c>
      <c r="H2077" s="26" t="n">
        <v>214</v>
      </c>
      <c r="I2077" s="26" t="n"/>
      <c r="J2077" s="19" t="n">
        <v>0</v>
      </c>
      <c r="K2077" s="37" t="n">
        <v>0.065</v>
      </c>
    </row>
    <row r="2078">
      <c r="A2078" s="34" t="inlineStr">
        <is>
          <t>AGA SPK-tilskudd</t>
        </is>
      </c>
      <c r="B2078" s="34" t="inlineStr">
        <is>
          <t>Region Vest</t>
        </is>
      </c>
      <c r="C2078" s="34" t="inlineStr">
        <is>
          <t>Skjoldvegen Skjold</t>
        </is>
      </c>
      <c r="D2078" s="18" t="n">
        <v>694</v>
      </c>
      <c r="E2078" s="18" t="n"/>
      <c r="F2078" s="18" t="n">
        <v>5180</v>
      </c>
      <c r="G2078" s="18" t="n">
        <v>8565</v>
      </c>
      <c r="H2078" s="18" t="n">
        <v>8215</v>
      </c>
      <c r="I2078" s="18" t="n">
        <v>7139</v>
      </c>
      <c r="J2078" s="19" t="n">
        <v>11154.6875</v>
      </c>
      <c r="K2078" s="35" t="n">
        <v>0.25</v>
      </c>
    </row>
    <row r="2079">
      <c r="A2079" s="36" t="inlineStr">
        <is>
          <t>AGA SPK-tilskudd</t>
        </is>
      </c>
      <c r="B2079" s="36" t="inlineStr">
        <is>
          <t>Region Vest</t>
        </is>
      </c>
      <c r="C2079" s="36" t="inlineStr">
        <is>
          <t>Skjoldvegen Skjold</t>
        </is>
      </c>
      <c r="D2079" s="26" t="n"/>
      <c r="E2079" s="26" t="n"/>
      <c r="F2079" s="26" t="n">
        <v>7422</v>
      </c>
      <c r="G2079" s="26" t="n">
        <v>2390</v>
      </c>
      <c r="H2079" s="26" t="n">
        <v>4860</v>
      </c>
      <c r="I2079" s="26" t="n">
        <v>15048</v>
      </c>
      <c r="J2079" s="19" t="n">
        <v>17067.8178</v>
      </c>
      <c r="K2079" s="37" t="n">
        <v>0.065</v>
      </c>
    </row>
    <row r="2080">
      <c r="A2080" s="34" t="inlineStr">
        <is>
          <t>AGA SPK-tilskudd</t>
        </is>
      </c>
      <c r="B2080" s="34" t="inlineStr">
        <is>
          <t>Region Vest</t>
        </is>
      </c>
      <c r="C2080" s="34" t="inlineStr">
        <is>
          <t>Skjoldvegen Skjold</t>
        </is>
      </c>
      <c r="D2080" s="18" t="n">
        <v>5479</v>
      </c>
      <c r="E2080" s="18" t="n">
        <v>2539</v>
      </c>
      <c r="F2080" s="18" t="n">
        <v>4202</v>
      </c>
      <c r="G2080" s="18" t="n">
        <v>7500</v>
      </c>
      <c r="H2080" s="18" t="n">
        <v>1966</v>
      </c>
      <c r="I2080" s="18" t="n">
        <v>13628</v>
      </c>
      <c r="J2080" s="19" t="n">
        <v>19621.14985513042</v>
      </c>
      <c r="K2080" s="35" t="n">
        <v>0.1999030711003227</v>
      </c>
    </row>
    <row r="2081">
      <c r="A2081" s="36" t="inlineStr">
        <is>
          <t>AGA SPK-tilskudd</t>
        </is>
      </c>
      <c r="B2081" s="36" t="inlineStr">
        <is>
          <t>Region Vest</t>
        </is>
      </c>
      <c r="C2081" s="36" t="inlineStr">
        <is>
          <t>Skjoldvegen Skjold</t>
        </is>
      </c>
      <c r="D2081" s="26" t="n">
        <v>259</v>
      </c>
      <c r="E2081" s="26" t="n"/>
      <c r="F2081" s="26" t="n">
        <v>1587</v>
      </c>
      <c r="G2081" s="26" t="n">
        <v>3759</v>
      </c>
      <c r="H2081" s="26" t="n">
        <v>2723</v>
      </c>
      <c r="I2081" s="26" t="n">
        <v>2328</v>
      </c>
      <c r="J2081" s="19" t="n">
        <v>3637.5</v>
      </c>
      <c r="K2081" s="37" t="n">
        <v>0.25</v>
      </c>
    </row>
    <row r="2082">
      <c r="A2082" s="34" t="inlineStr">
        <is>
          <t>AGA SPK-tilskudd</t>
        </is>
      </c>
      <c r="B2082" s="34" t="inlineStr">
        <is>
          <t>Region Vest</t>
        </is>
      </c>
      <c r="C2082" s="34" t="inlineStr">
        <is>
          <t>Skjoldvegen Skjold</t>
        </is>
      </c>
      <c r="D2082" s="18" t="n"/>
      <c r="E2082" s="18" t="n">
        <v>2895</v>
      </c>
      <c r="F2082" s="18" t="n"/>
      <c r="G2082" s="18" t="n">
        <v>8625</v>
      </c>
      <c r="H2082" s="18" t="n">
        <v>3410</v>
      </c>
      <c r="I2082" s="18" t="n"/>
      <c r="J2082" s="19" t="n">
        <v>0</v>
      </c>
      <c r="K2082" s="35" t="n">
        <v>0.065</v>
      </c>
    </row>
    <row r="2083">
      <c r="A2083" s="36" t="inlineStr">
        <is>
          <t>AGA SPK-tilskudd</t>
        </is>
      </c>
      <c r="B2083" s="36" t="inlineStr">
        <is>
          <t>Region Vest</t>
        </is>
      </c>
      <c r="C2083" s="36" t="inlineStr">
        <is>
          <t>Skjoldvegen Skjold</t>
        </is>
      </c>
      <c r="D2083" s="26" t="n"/>
      <c r="E2083" s="26" t="n">
        <v>9120</v>
      </c>
      <c r="F2083" s="26" t="n"/>
      <c r="G2083" s="26" t="n"/>
      <c r="H2083" s="26" t="n"/>
      <c r="I2083" s="26" t="n"/>
      <c r="J2083" s="19" t="n">
        <v>0</v>
      </c>
      <c r="K2083" s="37" t="n">
        <v>0.065</v>
      </c>
    </row>
    <row r="2084">
      <c r="A2084" s="34" t="inlineStr">
        <is>
          <t>AGA SPK-tilskudd</t>
        </is>
      </c>
      <c r="B2084" s="34" t="inlineStr">
        <is>
          <t>Region Vest</t>
        </is>
      </c>
      <c r="C2084" s="34" t="inlineStr">
        <is>
          <t>Skjoldvegen Skjold</t>
        </is>
      </c>
      <c r="D2084" s="18" t="n">
        <v>964</v>
      </c>
      <c r="E2084" s="18" t="n">
        <v>17433</v>
      </c>
      <c r="F2084" s="18" t="n">
        <v>15695</v>
      </c>
      <c r="G2084" s="18" t="n">
        <v>6399</v>
      </c>
      <c r="H2084" s="18" t="n">
        <v>12900</v>
      </c>
      <c r="I2084" s="18" t="n">
        <v>12363</v>
      </c>
      <c r="J2084" s="19" t="n">
        <v>19317.1875</v>
      </c>
      <c r="K2084" s="35" t="n">
        <v>0.25</v>
      </c>
    </row>
    <row r="2085">
      <c r="A2085" s="36" t="inlineStr">
        <is>
          <t>AGA SPK-tilskudd</t>
        </is>
      </c>
      <c r="B2085" s="36" t="inlineStr">
        <is>
          <t>Region Vest</t>
        </is>
      </c>
      <c r="C2085" s="36" t="inlineStr">
        <is>
          <t>Skjoldvegen Skjold</t>
        </is>
      </c>
      <c r="D2085" s="26" t="n">
        <v>-74728</v>
      </c>
      <c r="E2085" s="26" t="n">
        <v>-143322</v>
      </c>
      <c r="F2085" s="26" t="n"/>
      <c r="G2085" s="26" t="n"/>
      <c r="H2085" s="26" t="n">
        <v>-1238357</v>
      </c>
      <c r="I2085" s="26" t="n">
        <v>-989595</v>
      </c>
      <c r="J2085" s="19" t="n">
        <v>-1122423.388875</v>
      </c>
      <c r="K2085" s="37" t="n">
        <v>0.065</v>
      </c>
    </row>
    <row r="2086">
      <c r="A2086" s="34" t="inlineStr">
        <is>
          <t>AGA SPK-tilskudd</t>
        </is>
      </c>
      <c r="B2086" s="34" t="inlineStr">
        <is>
          <t>Region Vest</t>
        </is>
      </c>
      <c r="C2086" s="34" t="inlineStr">
        <is>
          <t>Skjoldvegen Skjold</t>
        </is>
      </c>
      <c r="D2086" s="18" t="n">
        <v>-807531</v>
      </c>
      <c r="E2086" s="18" t="n">
        <v>-307374</v>
      </c>
      <c r="F2086" s="18" t="n">
        <v>-54543</v>
      </c>
      <c r="G2086" s="18" t="n">
        <v>-346282</v>
      </c>
      <c r="H2086" s="18" t="n">
        <v>-1135445</v>
      </c>
      <c r="I2086" s="18" t="n">
        <v>-645878</v>
      </c>
      <c r="J2086" s="19" t="n">
        <v>-732570.9745499999</v>
      </c>
      <c r="K2086" s="35" t="n">
        <v>0.065</v>
      </c>
    </row>
    <row r="2087">
      <c r="A2087" s="36" t="inlineStr">
        <is>
          <t>AGA SPK-tilskudd</t>
        </is>
      </c>
      <c r="B2087" s="36" t="inlineStr">
        <is>
          <t>Region Vest</t>
        </is>
      </c>
      <c r="C2087" s="36" t="inlineStr">
        <is>
          <t>Skjoldvegen Søfteland</t>
        </is>
      </c>
      <c r="D2087" s="26" t="n">
        <v>62014</v>
      </c>
      <c r="E2087" s="26" t="n">
        <v>52952</v>
      </c>
      <c r="F2087" s="26" t="n">
        <v>43219</v>
      </c>
      <c r="G2087" s="26" t="n">
        <v>62519</v>
      </c>
      <c r="H2087" s="26" t="n">
        <v>82089</v>
      </c>
      <c r="I2087" s="26" t="n">
        <v>144937</v>
      </c>
      <c r="J2087" s="19" t="n">
        <v>203542.4871069841</v>
      </c>
      <c r="K2087" s="37" t="n">
        <v>0.1850533561355183</v>
      </c>
    </row>
    <row r="2088">
      <c r="A2088" s="34" t="inlineStr">
        <is>
          <t>AGA SPK-tilskudd</t>
        </is>
      </c>
      <c r="B2088" s="34" t="inlineStr">
        <is>
          <t>Region Vest</t>
        </is>
      </c>
      <c r="C2088" s="34" t="inlineStr">
        <is>
          <t>Skjoldvegen Søfteland</t>
        </is>
      </c>
      <c r="D2088" s="18" t="n"/>
      <c r="E2088" s="18" t="n">
        <v>48464</v>
      </c>
      <c r="F2088" s="18" t="n">
        <v>30962</v>
      </c>
      <c r="G2088" s="18" t="n">
        <v>75446</v>
      </c>
      <c r="H2088" s="18" t="n">
        <v>83367</v>
      </c>
      <c r="I2088" s="18" t="n">
        <v>149759</v>
      </c>
      <c r="J2088" s="19" t="n">
        <v>233998.4375</v>
      </c>
      <c r="K2088" s="35" t="n">
        <v>0.25</v>
      </c>
    </row>
    <row r="2089">
      <c r="A2089" s="36" t="inlineStr">
        <is>
          <t>AGA SPK-tilskudd</t>
        </is>
      </c>
      <c r="B2089" s="36" t="inlineStr">
        <is>
          <t>Region Vest</t>
        </is>
      </c>
      <c r="C2089" s="36" t="inlineStr">
        <is>
          <t>Skjoldvegen Søfteland</t>
        </is>
      </c>
      <c r="D2089" s="26" t="n">
        <v>15666</v>
      </c>
      <c r="E2089" s="26" t="n">
        <v>3015</v>
      </c>
      <c r="F2089" s="26" t="n">
        <v>4659</v>
      </c>
      <c r="G2089" s="26" t="n">
        <v>149585</v>
      </c>
      <c r="H2089" s="26" t="n">
        <v>120545</v>
      </c>
      <c r="I2089" s="26" t="n">
        <v>37846</v>
      </c>
      <c r="J2089" s="19" t="n">
        <v>53857.31894895431</v>
      </c>
      <c r="K2089" s="37" t="n">
        <v>0.1929228916146788</v>
      </c>
    </row>
    <row r="2090">
      <c r="A2090" s="34" t="inlineStr">
        <is>
          <t>AGA SPK-tilskudd</t>
        </is>
      </c>
      <c r="B2090" s="34" t="inlineStr">
        <is>
          <t>Region Vest</t>
        </is>
      </c>
      <c r="C2090" s="34" t="inlineStr">
        <is>
          <t>Skjoldvegen Søfteland</t>
        </is>
      </c>
      <c r="D2090" s="18" t="n">
        <v>20500</v>
      </c>
      <c r="E2090" s="18" t="n">
        <v>24704</v>
      </c>
      <c r="F2090" s="18" t="n">
        <v>36912</v>
      </c>
      <c r="G2090" s="18" t="n">
        <v>55755</v>
      </c>
      <c r="H2090" s="18" t="n">
        <v>67686</v>
      </c>
      <c r="I2090" s="18" t="n">
        <v>76554</v>
      </c>
      <c r="J2090" s="19" t="n">
        <v>119615.625</v>
      </c>
      <c r="K2090" s="35" t="n">
        <v>0.25</v>
      </c>
    </row>
    <row r="2091">
      <c r="A2091" s="36" t="inlineStr">
        <is>
          <t>AGA SPK-tilskudd</t>
        </is>
      </c>
      <c r="B2091" s="36" t="inlineStr">
        <is>
          <t>Region Vest</t>
        </is>
      </c>
      <c r="C2091" s="36" t="inlineStr">
        <is>
          <t>Skjoldvegen Søfteland</t>
        </is>
      </c>
      <c r="D2091" s="26" t="n">
        <v>7377</v>
      </c>
      <c r="E2091" s="26" t="n">
        <v>329</v>
      </c>
      <c r="F2091" s="26" t="n">
        <v>270</v>
      </c>
      <c r="G2091" s="26" t="n">
        <v>777</v>
      </c>
      <c r="H2091" s="26" t="n">
        <v>2076</v>
      </c>
      <c r="I2091" s="26" t="n">
        <v>518</v>
      </c>
      <c r="J2091" s="19" t="n">
        <v>291.375</v>
      </c>
      <c r="K2091" s="37" t="n">
        <v>-0.25</v>
      </c>
    </row>
    <row r="2092">
      <c r="A2092" s="34" t="inlineStr">
        <is>
          <t>AGA SPK-tilskudd</t>
        </is>
      </c>
      <c r="B2092" s="34" t="inlineStr">
        <is>
          <t>Region Vest</t>
        </is>
      </c>
      <c r="C2092" s="34" t="inlineStr">
        <is>
          <t>Skjoldvegen Søfteland</t>
        </is>
      </c>
      <c r="D2092" s="18" t="n">
        <v>4034</v>
      </c>
      <c r="E2092" s="18" t="n">
        <v>75</v>
      </c>
      <c r="F2092" s="18" t="n">
        <v>2026</v>
      </c>
      <c r="G2092" s="18" t="n">
        <v>13361</v>
      </c>
      <c r="H2092" s="18" t="n">
        <v>8676</v>
      </c>
      <c r="I2092" s="18" t="n">
        <v>4271</v>
      </c>
      <c r="J2092" s="19" t="n">
        <v>4369.653925797719</v>
      </c>
      <c r="K2092" s="35" t="n">
        <v>0.01148334360459868</v>
      </c>
    </row>
    <row r="2093">
      <c r="A2093" s="36" t="inlineStr">
        <is>
          <t>AGA SPK-tilskudd</t>
        </is>
      </c>
      <c r="B2093" s="36" t="inlineStr">
        <is>
          <t>Region Vest</t>
        </is>
      </c>
      <c r="C2093" s="36" t="inlineStr">
        <is>
          <t>Skjoldvegen Søfteland</t>
        </is>
      </c>
      <c r="D2093" s="26" t="n"/>
      <c r="E2093" s="26" t="n"/>
      <c r="F2093" s="26" t="n">
        <v>6235</v>
      </c>
      <c r="G2093" s="26" t="n">
        <v>400</v>
      </c>
      <c r="H2093" s="26" t="n">
        <v>1105</v>
      </c>
      <c r="I2093" s="26" t="n">
        <v>11865</v>
      </c>
      <c r="J2093" s="19" t="n">
        <v>13457.579625</v>
      </c>
      <c r="K2093" s="37" t="n">
        <v>0.065</v>
      </c>
    </row>
    <row r="2094">
      <c r="A2094" s="34" t="inlineStr">
        <is>
          <t>AGA SPK-tilskudd</t>
        </is>
      </c>
      <c r="B2094" s="34" t="inlineStr">
        <is>
          <t>Region Vest</t>
        </is>
      </c>
      <c r="C2094" s="34" t="inlineStr">
        <is>
          <t>Skjoldvegen Søfteland</t>
        </is>
      </c>
      <c r="D2094" s="18" t="n">
        <v>8632</v>
      </c>
      <c r="E2094" s="18" t="n">
        <v>8031</v>
      </c>
      <c r="F2094" s="18" t="n">
        <v>6054</v>
      </c>
      <c r="G2094" s="18" t="n">
        <v>3182</v>
      </c>
      <c r="H2094" s="18" t="n">
        <v>4969</v>
      </c>
      <c r="I2094" s="18" t="n">
        <v>10682</v>
      </c>
      <c r="J2094" s="19" t="n">
        <v>11632.39203654198</v>
      </c>
      <c r="K2094" s="35" t="n">
        <v>0.0435379040073145</v>
      </c>
    </row>
    <row r="2095">
      <c r="A2095" s="36" t="inlineStr">
        <is>
          <t>AGA SPK-tilskudd</t>
        </is>
      </c>
      <c r="B2095" s="36" t="inlineStr">
        <is>
          <t>Region Vest</t>
        </is>
      </c>
      <c r="C2095" s="36" t="inlineStr">
        <is>
          <t>Skjoldvegen Søfteland</t>
        </is>
      </c>
      <c r="D2095" s="26" t="n">
        <v>2165</v>
      </c>
      <c r="E2095" s="26" t="n">
        <v>50</v>
      </c>
      <c r="F2095" s="26" t="n">
        <v>615</v>
      </c>
      <c r="G2095" s="26" t="n">
        <v>4741</v>
      </c>
      <c r="H2095" s="26" t="n">
        <v>3475</v>
      </c>
      <c r="I2095" s="26" t="n">
        <v>1396</v>
      </c>
      <c r="J2095" s="19" t="n">
        <v>1171.268396879187</v>
      </c>
      <c r="K2095" s="37" t="n">
        <v>-0.08402102847582305</v>
      </c>
    </row>
    <row r="2096">
      <c r="A2096" s="34" t="inlineStr">
        <is>
          <t>AGA SPK-tilskudd</t>
        </is>
      </c>
      <c r="B2096" s="34" t="inlineStr">
        <is>
          <t>Region Vest</t>
        </is>
      </c>
      <c r="C2096" s="34" t="inlineStr">
        <is>
          <t>Skjoldvegen Søfteland</t>
        </is>
      </c>
      <c r="D2096" s="18" t="n"/>
      <c r="E2096" s="18" t="n">
        <v>2895</v>
      </c>
      <c r="F2096" s="18" t="n"/>
      <c r="G2096" s="18" t="n">
        <v>2270</v>
      </c>
      <c r="H2096" s="18" t="n"/>
      <c r="I2096" s="18" t="n">
        <v>3240</v>
      </c>
      <c r="J2096" s="19" t="n">
        <v>3427.624443608849</v>
      </c>
      <c r="K2096" s="35" t="n">
        <v>0.02854692595506791</v>
      </c>
    </row>
    <row r="2097">
      <c r="A2097" s="36" t="inlineStr">
        <is>
          <t>AGA SPK-tilskudd</t>
        </is>
      </c>
      <c r="B2097" s="36" t="inlineStr">
        <is>
          <t>Region Vest</t>
        </is>
      </c>
      <c r="C2097" s="36" t="inlineStr">
        <is>
          <t>Skjoldvegen Søfteland</t>
        </is>
      </c>
      <c r="D2097" s="26" t="n">
        <v>76</v>
      </c>
      <c r="E2097" s="26" t="n"/>
      <c r="F2097" s="26" t="n"/>
      <c r="G2097" s="26" t="n"/>
      <c r="H2097" s="26" t="n"/>
      <c r="I2097" s="26" t="n"/>
      <c r="J2097" s="19" t="n">
        <v>0</v>
      </c>
      <c r="K2097" s="37" t="n">
        <v>0.065</v>
      </c>
    </row>
    <row r="2098">
      <c r="A2098" s="34" t="inlineStr">
        <is>
          <t>AGA SPK-tilskudd</t>
        </is>
      </c>
      <c r="B2098" s="34" t="inlineStr">
        <is>
          <t>Region Vest</t>
        </is>
      </c>
      <c r="C2098" s="34" t="inlineStr">
        <is>
          <t>Skjoldvegen Søfteland</t>
        </is>
      </c>
      <c r="D2098" s="18" t="n"/>
      <c r="E2098" s="18" t="n">
        <v>5200</v>
      </c>
      <c r="F2098" s="18" t="n"/>
      <c r="G2098" s="18" t="n"/>
      <c r="H2098" s="18" t="n"/>
      <c r="I2098" s="18" t="n"/>
      <c r="J2098" s="19" t="n">
        <v>0</v>
      </c>
      <c r="K2098" s="35" t="n">
        <v>0.065</v>
      </c>
    </row>
    <row r="2099">
      <c r="A2099" s="36" t="inlineStr">
        <is>
          <t>AGA SPK-tilskudd</t>
        </is>
      </c>
      <c r="B2099" s="36" t="inlineStr">
        <is>
          <t>Region Vest</t>
        </is>
      </c>
      <c r="C2099" s="36" t="inlineStr">
        <is>
          <t>Skjoldvegen Søfteland</t>
        </is>
      </c>
      <c r="D2099" s="26" t="n"/>
      <c r="E2099" s="26" t="n">
        <v>3977</v>
      </c>
      <c r="F2099" s="26" t="n">
        <v>-200</v>
      </c>
      <c r="G2099" s="26" t="n">
        <v>7713</v>
      </c>
      <c r="H2099" s="26" t="n">
        <v>5690</v>
      </c>
      <c r="I2099" s="26" t="n">
        <v>6101</v>
      </c>
      <c r="J2099" s="19" t="n">
        <v>7556.55316102411</v>
      </c>
      <c r="K2099" s="37" t="n">
        <v>0.1129133665532527</v>
      </c>
    </row>
    <row r="2100">
      <c r="A2100" s="34" t="inlineStr">
        <is>
          <t>AGA SPK-tilskudd</t>
        </is>
      </c>
      <c r="B2100" s="34" t="inlineStr">
        <is>
          <t>Region Vest</t>
        </is>
      </c>
      <c r="C2100" s="34" t="inlineStr">
        <is>
          <t>Skjoldvegen Søfteland</t>
        </is>
      </c>
      <c r="D2100" s="18" t="n">
        <v>-78506</v>
      </c>
      <c r="E2100" s="18" t="n">
        <v>-45616</v>
      </c>
      <c r="F2100" s="18" t="n">
        <v>-216768</v>
      </c>
      <c r="G2100" s="18" t="n">
        <v>-408865</v>
      </c>
      <c r="H2100" s="18" t="n">
        <v>-889013</v>
      </c>
      <c r="I2100" s="18" t="n">
        <v>-575641</v>
      </c>
      <c r="J2100" s="19" t="n">
        <v>-652906.4132249999</v>
      </c>
      <c r="K2100" s="35" t="n">
        <v>0.065</v>
      </c>
    </row>
    <row r="2101">
      <c r="A2101" s="36" t="inlineStr">
        <is>
          <t>AGA SPK-tilskudd</t>
        </is>
      </c>
      <c r="B2101" s="36" t="inlineStr">
        <is>
          <t>Region Vest</t>
        </is>
      </c>
      <c r="C2101" s="36" t="inlineStr">
        <is>
          <t>Skjoldvegen Søfteland</t>
        </is>
      </c>
      <c r="D2101" s="26" t="n">
        <v>-704006</v>
      </c>
      <c r="E2101" s="26" t="n">
        <v>-1135309</v>
      </c>
      <c r="F2101" s="26" t="n">
        <v>-558763</v>
      </c>
      <c r="G2101" s="26" t="n">
        <v>-1336153</v>
      </c>
      <c r="H2101" s="26" t="n">
        <v>-868799</v>
      </c>
      <c r="I2101" s="26" t="n">
        <v>-2139028</v>
      </c>
      <c r="J2101" s="19" t="n">
        <v>-2426139.0333</v>
      </c>
      <c r="K2101" s="37" t="n">
        <v>0.065</v>
      </c>
    </row>
    <row r="2102">
      <c r="A2102" s="34" t="inlineStr">
        <is>
          <t>AGA SPK-tilskudd</t>
        </is>
      </c>
      <c r="B2102" s="34" t="inlineStr">
        <is>
          <t>Region Vest</t>
        </is>
      </c>
      <c r="C2102" s="34" t="inlineStr">
        <is>
          <t>Skjoldvegen barnevernsenter</t>
        </is>
      </c>
      <c r="D2102" s="18" t="n">
        <v>13338</v>
      </c>
      <c r="E2102" s="18" t="n">
        <v>11187</v>
      </c>
      <c r="F2102" s="18" t="n">
        <v>10283</v>
      </c>
      <c r="G2102" s="18" t="n">
        <v>10295</v>
      </c>
      <c r="H2102" s="18" t="n">
        <v>10204</v>
      </c>
      <c r="I2102" s="18" t="n">
        <v>10338</v>
      </c>
      <c r="J2102" s="19" t="n">
        <v>9336.301191827963</v>
      </c>
      <c r="K2102" s="35" t="n">
        <v>-0.04968154568129912</v>
      </c>
    </row>
    <row r="2103">
      <c r="A2103" s="36" t="inlineStr">
        <is>
          <t>AGA SPK-tilskudd</t>
        </is>
      </c>
      <c r="B2103" s="36" t="inlineStr">
        <is>
          <t>Region Vest</t>
        </is>
      </c>
      <c r="C2103" s="36" t="inlineStr">
        <is>
          <t>Skjoldvegen barnevernsenter</t>
        </is>
      </c>
      <c r="D2103" s="26" t="n">
        <v>19820</v>
      </c>
      <c r="E2103" s="26" t="n">
        <v>9017</v>
      </c>
      <c r="F2103" s="26" t="n">
        <v>12571</v>
      </c>
      <c r="G2103" s="26" t="n">
        <v>13255</v>
      </c>
      <c r="H2103" s="26" t="n">
        <v>70355</v>
      </c>
      <c r="I2103" s="26" t="n">
        <v>17129</v>
      </c>
      <c r="J2103" s="19" t="n">
        <v>16157.84185118091</v>
      </c>
      <c r="K2103" s="37" t="n">
        <v>-0.02876198687686271</v>
      </c>
    </row>
    <row r="2104">
      <c r="A2104" s="34" t="inlineStr">
        <is>
          <t>AGA SPK-tilskudd</t>
        </is>
      </c>
      <c r="B2104" s="34" t="inlineStr">
        <is>
          <t>Region Vest</t>
        </is>
      </c>
      <c r="C2104" s="34" t="inlineStr">
        <is>
          <t>Skjoldvegen barnevernsenter</t>
        </is>
      </c>
      <c r="D2104" s="18" t="n">
        <v>1300</v>
      </c>
      <c r="E2104" s="18" t="n">
        <v>1227</v>
      </c>
      <c r="F2104" s="18" t="n">
        <v>1227</v>
      </c>
      <c r="G2104" s="18" t="n">
        <v>1593</v>
      </c>
      <c r="H2104" s="18" t="n">
        <v>1665</v>
      </c>
      <c r="I2104" s="18" t="n">
        <v>1730</v>
      </c>
      <c r="J2104" s="19" t="n">
        <v>1939.488475968765</v>
      </c>
      <c r="K2104" s="35" t="n">
        <v>0.05881613352187931</v>
      </c>
    </row>
    <row r="2105">
      <c r="A2105" s="36" t="inlineStr">
        <is>
          <t>AGA SPK-tilskudd</t>
        </is>
      </c>
      <c r="B2105" s="36" t="inlineStr">
        <is>
          <t>Region Vest</t>
        </is>
      </c>
      <c r="C2105" s="36" t="inlineStr">
        <is>
          <t>Skjoldvegen barnevernsenter</t>
        </is>
      </c>
      <c r="D2105" s="26" t="n">
        <v>4400</v>
      </c>
      <c r="E2105" s="26" t="n">
        <v>4676</v>
      </c>
      <c r="F2105" s="26" t="n">
        <v>8262</v>
      </c>
      <c r="G2105" s="26" t="n">
        <v>9340</v>
      </c>
      <c r="H2105" s="26" t="n">
        <v>7931</v>
      </c>
      <c r="I2105" s="26" t="n">
        <v>2751</v>
      </c>
      <c r="J2105" s="19" t="n">
        <v>2279.847280189096</v>
      </c>
      <c r="K2105" s="37" t="n">
        <v>-0.08965170577963444</v>
      </c>
    </row>
    <row r="2106">
      <c r="A2106" s="34" t="inlineStr">
        <is>
          <t>AGA SPK-tilskudd</t>
        </is>
      </c>
      <c r="B2106" s="34" t="inlineStr">
        <is>
          <t>Region Vest</t>
        </is>
      </c>
      <c r="C2106" s="34" t="inlineStr">
        <is>
          <t>Skjoldvegen barnevernsenter</t>
        </is>
      </c>
      <c r="D2106" s="18" t="n">
        <v>1106</v>
      </c>
      <c r="E2106" s="18" t="n"/>
      <c r="F2106" s="18" t="n">
        <v>1957</v>
      </c>
      <c r="G2106" s="18" t="n">
        <v>1011</v>
      </c>
      <c r="H2106" s="18" t="n">
        <v>7404</v>
      </c>
      <c r="I2106" s="18" t="n">
        <v>6909</v>
      </c>
      <c r="J2106" s="19" t="n">
        <v>10795.3125</v>
      </c>
      <c r="K2106" s="35" t="n">
        <v>0.25</v>
      </c>
    </row>
    <row r="2107">
      <c r="A2107" s="36" t="inlineStr">
        <is>
          <t>AGA SPK-tilskudd</t>
        </is>
      </c>
      <c r="B2107" s="36" t="inlineStr">
        <is>
          <t>Region Vest</t>
        </is>
      </c>
      <c r="C2107" s="36" t="inlineStr">
        <is>
          <t>Skjoldvegen barnevernsenter</t>
        </is>
      </c>
      <c r="D2107" s="26" t="n">
        <v>299</v>
      </c>
      <c r="E2107" s="26" t="n">
        <v>24528</v>
      </c>
      <c r="F2107" s="26" t="n">
        <v>15264</v>
      </c>
      <c r="G2107" s="26" t="n">
        <v>10758</v>
      </c>
      <c r="H2107" s="26" t="n">
        <v>1003</v>
      </c>
      <c r="I2107" s="26" t="n">
        <v>175</v>
      </c>
      <c r="J2107" s="19" t="n">
        <v>141.2488084355768</v>
      </c>
      <c r="K2107" s="37" t="n">
        <v>-0.101592493239679</v>
      </c>
    </row>
    <row r="2108">
      <c r="A2108" s="34" t="inlineStr">
        <is>
          <t>AGA SPK-tilskudd</t>
        </is>
      </c>
      <c r="B2108" s="34" t="inlineStr">
        <is>
          <t>Region Vest</t>
        </is>
      </c>
      <c r="C2108" s="34" t="inlineStr">
        <is>
          <t>Skjoldvegen barnevernsenter</t>
        </is>
      </c>
      <c r="D2108" s="18" t="n">
        <v>590</v>
      </c>
      <c r="E2108" s="18" t="n">
        <v>3567</v>
      </c>
      <c r="F2108" s="18" t="n">
        <v>490</v>
      </c>
      <c r="G2108" s="18" t="n">
        <v>3541</v>
      </c>
      <c r="H2108" s="18" t="n">
        <v>5001</v>
      </c>
      <c r="I2108" s="18" t="n">
        <v>2372</v>
      </c>
      <c r="J2108" s="19" t="n">
        <v>3706.25</v>
      </c>
      <c r="K2108" s="35" t="n">
        <v>0.25</v>
      </c>
    </row>
    <row r="2109">
      <c r="A2109" s="36" t="inlineStr">
        <is>
          <t>AGA SPK-tilskudd</t>
        </is>
      </c>
      <c r="B2109" s="36" t="inlineStr">
        <is>
          <t>Region Vest</t>
        </is>
      </c>
      <c r="C2109" s="36" t="inlineStr">
        <is>
          <t>Skjoldvegen barnevernsenter</t>
        </is>
      </c>
      <c r="D2109" s="26" t="n">
        <v>992</v>
      </c>
      <c r="E2109" s="26" t="n">
        <v>708</v>
      </c>
      <c r="F2109" s="26" t="n">
        <v>1782</v>
      </c>
      <c r="G2109" s="26" t="n">
        <v>2442</v>
      </c>
      <c r="H2109" s="26" t="n">
        <v>6018</v>
      </c>
      <c r="I2109" s="26" t="n">
        <v>3950</v>
      </c>
      <c r="J2109" s="19" t="n">
        <v>6171.875</v>
      </c>
      <c r="K2109" s="37" t="n">
        <v>0.25</v>
      </c>
    </row>
    <row r="2110">
      <c r="A2110" s="34" t="inlineStr">
        <is>
          <t>AGA SPK-tilskudd</t>
        </is>
      </c>
      <c r="B2110" s="34" t="inlineStr">
        <is>
          <t>Region Vest</t>
        </is>
      </c>
      <c r="C2110" s="34" t="inlineStr">
        <is>
          <t>Skjoldvegen barnevernsenter</t>
        </is>
      </c>
      <c r="D2110" s="18" t="n"/>
      <c r="E2110" s="18" t="n"/>
      <c r="F2110" s="18" t="n">
        <v>5074</v>
      </c>
      <c r="G2110" s="18" t="n"/>
      <c r="H2110" s="18" t="n">
        <v>4090</v>
      </c>
      <c r="I2110" s="18" t="n">
        <v>4090</v>
      </c>
      <c r="J2110" s="19" t="n">
        <v>4638.98025</v>
      </c>
      <c r="K2110" s="35" t="n">
        <v>0.065</v>
      </c>
    </row>
    <row r="2111">
      <c r="A2111" s="36" t="inlineStr">
        <is>
          <t>AGA SPK-tilskudd</t>
        </is>
      </c>
      <c r="B2111" s="36" t="inlineStr">
        <is>
          <t>Region Vest</t>
        </is>
      </c>
      <c r="C2111" s="36" t="inlineStr">
        <is>
          <t>Skjoldvegen barnevernsenter</t>
        </is>
      </c>
      <c r="D2111" s="26" t="n">
        <v>177</v>
      </c>
      <c r="E2111" s="26" t="n"/>
      <c r="F2111" s="26" t="n"/>
      <c r="G2111" s="26" t="n"/>
      <c r="H2111" s="26" t="n"/>
      <c r="I2111" s="26" t="n"/>
      <c r="J2111" s="19" t="n">
        <v>0</v>
      </c>
      <c r="K2111" s="37" t="n">
        <v>0.065</v>
      </c>
    </row>
    <row r="2112">
      <c r="A2112" s="34" t="inlineStr">
        <is>
          <t>AGA SPK-tilskudd</t>
        </is>
      </c>
      <c r="B2112" s="34" t="inlineStr">
        <is>
          <t>Region Vest</t>
        </is>
      </c>
      <c r="C2112" s="34" t="inlineStr">
        <is>
          <t>Skjoldvegen barnevernsenter</t>
        </is>
      </c>
      <c r="D2112" s="18" t="n">
        <v>-1140</v>
      </c>
      <c r="E2112" s="18" t="n">
        <v>-143958</v>
      </c>
      <c r="F2112" s="18" t="n">
        <v>-247251</v>
      </c>
      <c r="G2112" s="18" t="n">
        <v>-11784</v>
      </c>
      <c r="H2112" s="18" t="n"/>
      <c r="I2112" s="18" t="n"/>
      <c r="J2112" s="19" t="n">
        <v>0</v>
      </c>
      <c r="K2112" s="35" t="n">
        <v>0.065</v>
      </c>
    </row>
    <row r="2113">
      <c r="A2113" s="36" t="inlineStr">
        <is>
          <t>AGA SPK-tilskudd</t>
        </is>
      </c>
      <c r="B2113" s="36" t="inlineStr">
        <is>
          <t>Region Vest</t>
        </is>
      </c>
      <c r="C2113" s="36" t="inlineStr">
        <is>
          <t>Skjoldvegen barnevernsenter Enetiltak</t>
        </is>
      </c>
      <c r="D2113" s="26" t="n">
        <v>6893</v>
      </c>
      <c r="E2113" s="26" t="n"/>
      <c r="F2113" s="26" t="n"/>
      <c r="G2113" s="26" t="n">
        <v>3099</v>
      </c>
      <c r="H2113" s="26" t="n"/>
      <c r="I2113" s="26" t="n"/>
      <c r="J2113" s="19" t="n">
        <v>0</v>
      </c>
      <c r="K2113" s="37" t="n">
        <v>0.065</v>
      </c>
    </row>
    <row r="2114">
      <c r="A2114" s="34" t="inlineStr">
        <is>
          <t>AGA SPK-tilskudd</t>
        </is>
      </c>
      <c r="B2114" s="34" t="inlineStr">
        <is>
          <t>Region Vest</t>
        </is>
      </c>
      <c r="C2114" s="34" t="inlineStr">
        <is>
          <t>Skjoldvegen barnevernsenter Enetiltak</t>
        </is>
      </c>
      <c r="D2114" s="18" t="n">
        <v>5300</v>
      </c>
      <c r="E2114" s="18" t="n">
        <v>1125</v>
      </c>
      <c r="F2114" s="18" t="n"/>
      <c r="G2114" s="18" t="n">
        <v>1195</v>
      </c>
      <c r="H2114" s="18" t="n">
        <v>839</v>
      </c>
      <c r="I2114" s="18" t="n"/>
      <c r="J2114" s="19" t="n">
        <v>0</v>
      </c>
      <c r="K2114" s="35" t="n">
        <v>0.065</v>
      </c>
    </row>
    <row r="2115">
      <c r="A2115" s="36" t="inlineStr">
        <is>
          <t>AGA SPK-tilskudd</t>
        </is>
      </c>
      <c r="B2115" s="36" t="inlineStr">
        <is>
          <t>Region Vest</t>
        </is>
      </c>
      <c r="C2115" s="36" t="inlineStr">
        <is>
          <t>Skjoldvegen barnevernsenter Enetiltak</t>
        </is>
      </c>
      <c r="D2115" s="26" t="n">
        <v>1513</v>
      </c>
      <c r="E2115" s="26" t="n"/>
      <c r="F2115" s="26" t="n"/>
      <c r="G2115" s="26" t="n"/>
      <c r="H2115" s="26" t="n"/>
      <c r="I2115" s="26" t="n"/>
      <c r="J2115" s="19" t="n">
        <v>0</v>
      </c>
      <c r="K2115" s="37" t="n">
        <v>0.065</v>
      </c>
    </row>
    <row r="2116">
      <c r="A2116" s="34" t="inlineStr">
        <is>
          <t>AGA SPK-tilskudd</t>
        </is>
      </c>
      <c r="B2116" s="34" t="inlineStr">
        <is>
          <t>Region Vest</t>
        </is>
      </c>
      <c r="C2116" s="34" t="inlineStr">
        <is>
          <t>Skjoldvegen barnevernsenter Enetiltak</t>
        </is>
      </c>
      <c r="D2116" s="18" t="n">
        <v>-56005</v>
      </c>
      <c r="E2116" s="18" t="n"/>
      <c r="F2116" s="18" t="n"/>
      <c r="G2116" s="18" t="n"/>
      <c r="H2116" s="18" t="n"/>
      <c r="I2116" s="18" t="n"/>
      <c r="J2116" s="19" t="n">
        <v>0</v>
      </c>
      <c r="K2116" s="35" t="n">
        <v>0.065</v>
      </c>
    </row>
    <row r="2117">
      <c r="A2117" s="36" t="inlineStr">
        <is>
          <t>AGA SPK-tilskudd</t>
        </is>
      </c>
      <c r="B2117" s="36" t="inlineStr">
        <is>
          <t>Region Vest</t>
        </is>
      </c>
      <c r="C2117" s="36" t="inlineStr">
        <is>
          <t>Skjoldvegen barnevernsenter avd. Fyllingsdalen</t>
        </is>
      </c>
      <c r="D2117" s="26" t="n">
        <v>118116</v>
      </c>
      <c r="E2117" s="26" t="n">
        <v>90298</v>
      </c>
      <c r="F2117" s="26" t="n">
        <v>84639</v>
      </c>
      <c r="G2117" s="26" t="n">
        <v>93934</v>
      </c>
      <c r="H2117" s="26" t="n">
        <v>113395</v>
      </c>
      <c r="I2117" s="26" t="n">
        <v>115147</v>
      </c>
      <c r="J2117" s="19" t="n">
        <v>113980.402435962</v>
      </c>
      <c r="K2117" s="37" t="n">
        <v>-0.005078584059113767</v>
      </c>
    </row>
    <row r="2118">
      <c r="A2118" s="34" t="inlineStr">
        <is>
          <t>AGA SPK-tilskudd</t>
        </is>
      </c>
      <c r="B2118" s="34" t="inlineStr">
        <is>
          <t>Region Vest</t>
        </is>
      </c>
      <c r="C2118" s="34" t="inlineStr">
        <is>
          <t>Skjoldvegen barnevernsenter avd. Fyllingsdalen</t>
        </is>
      </c>
      <c r="D2118" s="18" t="n"/>
      <c r="E2118" s="18" t="n">
        <v>8807</v>
      </c>
      <c r="F2118" s="18" t="n">
        <v>123372</v>
      </c>
      <c r="G2118" s="18" t="n">
        <v>24323</v>
      </c>
      <c r="H2118" s="18" t="n">
        <v>14209</v>
      </c>
      <c r="I2118" s="18" t="n">
        <v>64603</v>
      </c>
      <c r="J2118" s="19" t="n">
        <v>100942.1875</v>
      </c>
      <c r="K2118" s="35" t="n">
        <v>0.25</v>
      </c>
    </row>
    <row r="2119">
      <c r="A2119" s="36" t="inlineStr">
        <is>
          <t>AGA SPK-tilskudd</t>
        </is>
      </c>
      <c r="B2119" s="36" t="inlineStr">
        <is>
          <t>Region Vest</t>
        </is>
      </c>
      <c r="C2119" s="36" t="inlineStr">
        <is>
          <t>Skjoldvegen barnevernsenter avd. Fyllingsdalen</t>
        </is>
      </c>
      <c r="D2119" s="26" t="n">
        <v>3023</v>
      </c>
      <c r="E2119" s="26" t="n">
        <v>6135</v>
      </c>
      <c r="F2119" s="26" t="n">
        <v>3097</v>
      </c>
      <c r="G2119" s="26" t="n">
        <v>9041</v>
      </c>
      <c r="H2119" s="26" t="n">
        <v>2991</v>
      </c>
      <c r="I2119" s="26" t="n">
        <v>487</v>
      </c>
      <c r="J2119" s="19" t="n">
        <v>273.9375</v>
      </c>
      <c r="K2119" s="37" t="n">
        <v>-0.25</v>
      </c>
    </row>
    <row r="2120">
      <c r="A2120" s="34" t="inlineStr">
        <is>
          <t>AGA SPK-tilskudd</t>
        </is>
      </c>
      <c r="B2120" s="34" t="inlineStr">
        <is>
          <t>Region Vest</t>
        </is>
      </c>
      <c r="C2120" s="34" t="inlineStr">
        <is>
          <t>Skjoldvegen barnevernsenter avd. Fyllingsdalen</t>
        </is>
      </c>
      <c r="D2120" s="18" t="n">
        <v>22000</v>
      </c>
      <c r="E2120" s="18" t="n">
        <v>21366</v>
      </c>
      <c r="F2120" s="18" t="n">
        <v>23211</v>
      </c>
      <c r="G2120" s="18" t="n">
        <v>33157</v>
      </c>
      <c r="H2120" s="18" t="n">
        <v>38989</v>
      </c>
      <c r="I2120" s="18" t="n">
        <v>41948</v>
      </c>
      <c r="J2120" s="19" t="n">
        <v>54303.3585630875</v>
      </c>
      <c r="K2120" s="35" t="n">
        <v>0.1377784812064056</v>
      </c>
    </row>
    <row r="2121">
      <c r="A2121" s="36" t="inlineStr">
        <is>
          <t>AGA SPK-tilskudd</t>
        </is>
      </c>
      <c r="B2121" s="36" t="inlineStr">
        <is>
          <t>Region Vest</t>
        </is>
      </c>
      <c r="C2121" s="36" t="inlineStr">
        <is>
          <t>Skjoldvegen barnevernsenter avd. Fyllingsdalen</t>
        </is>
      </c>
      <c r="D2121" s="26" t="n">
        <v>2639</v>
      </c>
      <c r="E2121" s="26" t="n"/>
      <c r="F2121" s="26" t="n">
        <v>2867</v>
      </c>
      <c r="G2121" s="26" t="n">
        <v>7551</v>
      </c>
      <c r="H2121" s="26" t="n"/>
      <c r="I2121" s="26" t="n">
        <v>558</v>
      </c>
      <c r="J2121" s="19" t="n">
        <v>313.875</v>
      </c>
      <c r="K2121" s="37" t="n">
        <v>-0.25</v>
      </c>
    </row>
    <row r="2122">
      <c r="A2122" s="34" t="inlineStr">
        <is>
          <t>AGA SPK-tilskudd</t>
        </is>
      </c>
      <c r="B2122" s="34" t="inlineStr">
        <is>
          <t>Region Vest</t>
        </is>
      </c>
      <c r="C2122" s="34" t="inlineStr">
        <is>
          <t>Skjoldvegen barnevernsenter avd. Fyllingsdalen</t>
        </is>
      </c>
      <c r="D2122" s="18" t="n">
        <v>2808</v>
      </c>
      <c r="E2122" s="18" t="n"/>
      <c r="F2122" s="18" t="n">
        <v>1050</v>
      </c>
      <c r="G2122" s="18" t="n">
        <v>1492</v>
      </c>
      <c r="H2122" s="18" t="n"/>
      <c r="I2122" s="18" t="n"/>
      <c r="J2122" s="19" t="n">
        <v>0</v>
      </c>
      <c r="K2122" s="35" t="n">
        <v>0.065</v>
      </c>
    </row>
    <row r="2123">
      <c r="A2123" s="36" t="inlineStr">
        <is>
          <t>AGA SPK-tilskudd</t>
        </is>
      </c>
      <c r="B2123" s="36" t="inlineStr">
        <is>
          <t>Region Vest</t>
        </is>
      </c>
      <c r="C2123" s="36" t="inlineStr">
        <is>
          <t>Skjoldvegen barnevernsenter avd. Fyllingsdalen</t>
        </is>
      </c>
      <c r="D2123" s="26" t="n"/>
      <c r="E2123" s="26" t="n"/>
      <c r="F2123" s="26" t="n">
        <v>5895</v>
      </c>
      <c r="G2123" s="26" t="n"/>
      <c r="H2123" s="26" t="n">
        <v>1768</v>
      </c>
      <c r="I2123" s="26" t="n">
        <v>8858</v>
      </c>
      <c r="J2123" s="19" t="n">
        <v>10046.96505</v>
      </c>
      <c r="K2123" s="37" t="n">
        <v>0.065</v>
      </c>
    </row>
    <row r="2124">
      <c r="A2124" s="34" t="inlineStr">
        <is>
          <t>AGA SPK-tilskudd</t>
        </is>
      </c>
      <c r="B2124" s="34" t="inlineStr">
        <is>
          <t>Region Vest</t>
        </is>
      </c>
      <c r="C2124" s="34" t="inlineStr">
        <is>
          <t>Skjoldvegen barnevernsenter avd. Fyllingsdalen</t>
        </is>
      </c>
      <c r="D2124" s="18" t="n">
        <v>2013</v>
      </c>
      <c r="E2124" s="18" t="n">
        <v>3526</v>
      </c>
      <c r="F2124" s="18" t="n"/>
      <c r="G2124" s="18" t="n"/>
      <c r="H2124" s="18" t="n">
        <v>2611</v>
      </c>
      <c r="I2124" s="18" t="n">
        <v>2451</v>
      </c>
      <c r="J2124" s="19" t="n">
        <v>2651.814407276023</v>
      </c>
      <c r="K2124" s="35" t="n">
        <v>0.04015942177900578</v>
      </c>
    </row>
    <row r="2125">
      <c r="A2125" s="36" t="inlineStr">
        <is>
          <t>AGA SPK-tilskudd</t>
        </is>
      </c>
      <c r="B2125" s="36" t="inlineStr">
        <is>
          <t>Region Vest</t>
        </is>
      </c>
      <c r="C2125" s="36" t="inlineStr">
        <is>
          <t>Skjoldvegen barnevernsenter avd. Fyllingsdalen</t>
        </is>
      </c>
      <c r="D2125" s="26" t="n">
        <v>1263</v>
      </c>
      <c r="E2125" s="26" t="n"/>
      <c r="F2125" s="26" t="n">
        <v>785</v>
      </c>
      <c r="G2125" s="26" t="n">
        <v>2110</v>
      </c>
      <c r="H2125" s="26" t="n"/>
      <c r="I2125" s="26" t="n">
        <v>186</v>
      </c>
      <c r="J2125" s="19" t="n">
        <v>104.625</v>
      </c>
      <c r="K2125" s="37" t="n">
        <v>-0.25</v>
      </c>
    </row>
    <row r="2126">
      <c r="A2126" s="34" t="inlineStr">
        <is>
          <t>AGA SPK-tilskudd</t>
        </is>
      </c>
      <c r="B2126" s="34" t="inlineStr">
        <is>
          <t>Region Vest</t>
        </is>
      </c>
      <c r="C2126" s="34" t="inlineStr">
        <is>
          <t>Skjoldvegen barnevernsenter avd. Fyllingsdalen</t>
        </is>
      </c>
      <c r="D2126" s="18" t="n"/>
      <c r="E2126" s="18" t="n">
        <v>2699</v>
      </c>
      <c r="F2126" s="18" t="n">
        <v>4990</v>
      </c>
      <c r="G2126" s="18" t="n"/>
      <c r="H2126" s="18" t="n"/>
      <c r="I2126" s="18" t="n">
        <v>6140</v>
      </c>
      <c r="J2126" s="19" t="n">
        <v>9260.85564095822</v>
      </c>
      <c r="K2126" s="35" t="n">
        <v>0.2281216054123028</v>
      </c>
    </row>
    <row r="2127">
      <c r="A2127" s="36" t="inlineStr">
        <is>
          <t>AGA SPK-tilskudd</t>
        </is>
      </c>
      <c r="B2127" s="36" t="inlineStr">
        <is>
          <t>Region Vest</t>
        </is>
      </c>
      <c r="C2127" s="36" t="inlineStr">
        <is>
          <t>Skjoldvegen barnevernsenter avd. Fyllingsdalen</t>
        </is>
      </c>
      <c r="D2127" s="26" t="n"/>
      <c r="E2127" s="26" t="n">
        <v>5545</v>
      </c>
      <c r="F2127" s="26" t="n"/>
      <c r="G2127" s="26" t="n"/>
      <c r="H2127" s="26" t="n"/>
      <c r="I2127" s="26" t="n"/>
      <c r="J2127" s="19" t="n">
        <v>0</v>
      </c>
      <c r="K2127" s="37" t="n">
        <v>0.065</v>
      </c>
    </row>
    <row r="2128">
      <c r="A2128" s="34" t="inlineStr">
        <is>
          <t>AGA SPK-tilskudd</t>
        </is>
      </c>
      <c r="B2128" s="34" t="inlineStr">
        <is>
          <t>Region Vest</t>
        </is>
      </c>
      <c r="C2128" s="34" t="inlineStr">
        <is>
          <t>Skjoldvegen barnevernsenter avd. Fyllingsdalen</t>
        </is>
      </c>
      <c r="D2128" s="18" t="n"/>
      <c r="E2128" s="18" t="n">
        <v>2056</v>
      </c>
      <c r="F2128" s="18" t="n"/>
      <c r="G2128" s="18" t="n">
        <v>4405</v>
      </c>
      <c r="H2128" s="18" t="n">
        <v>3156</v>
      </c>
      <c r="I2128" s="18" t="n">
        <v>868</v>
      </c>
      <c r="J2128" s="19" t="n">
        <v>563.9856222468507</v>
      </c>
      <c r="K2128" s="35" t="n">
        <v>-0.1939274095829102</v>
      </c>
    </row>
    <row r="2129">
      <c r="A2129" s="36" t="inlineStr">
        <is>
          <t>AGA SPK-tilskudd</t>
        </is>
      </c>
      <c r="B2129" s="36" t="inlineStr">
        <is>
          <t>Region Vest</t>
        </is>
      </c>
      <c r="C2129" s="36" t="inlineStr">
        <is>
          <t>Skjoldvegen barnevernsenter avd. Fyllingsdalen</t>
        </is>
      </c>
      <c r="D2129" s="26" t="n">
        <v>-454322</v>
      </c>
      <c r="E2129" s="26" t="n">
        <v>-350642</v>
      </c>
      <c r="F2129" s="26" t="n">
        <v>-55025</v>
      </c>
      <c r="G2129" s="26" t="n"/>
      <c r="H2129" s="26" t="n">
        <v>-1423</v>
      </c>
      <c r="I2129" s="26" t="n">
        <v>-233855</v>
      </c>
      <c r="J2129" s="19" t="n">
        <v>-265244.187375</v>
      </c>
      <c r="K2129" s="37" t="n">
        <v>0.065</v>
      </c>
    </row>
    <row r="2130">
      <c r="A2130" s="34" t="inlineStr">
        <is>
          <t>AGA SPK-tilskudd</t>
        </is>
      </c>
      <c r="B2130" s="34" t="inlineStr">
        <is>
          <t>Region Vest</t>
        </is>
      </c>
      <c r="C2130" s="34" t="inlineStr">
        <is>
          <t>Skjoldvegen barnevernsenter avd. Fyllingsdalen</t>
        </is>
      </c>
      <c r="D2130" s="18" t="n">
        <v>-537409</v>
      </c>
      <c r="E2130" s="18" t="n">
        <v>-230934</v>
      </c>
      <c r="F2130" s="18" t="n">
        <v>-394243</v>
      </c>
      <c r="G2130" s="18" t="n">
        <v>-112219</v>
      </c>
      <c r="H2130" s="18" t="n">
        <v>-822087</v>
      </c>
      <c r="I2130" s="18" t="n">
        <v>-953576</v>
      </c>
      <c r="J2130" s="19" t="n">
        <v>-1081569.7386</v>
      </c>
      <c r="K2130" s="35" t="n">
        <v>0.065</v>
      </c>
    </row>
    <row r="2131">
      <c r="A2131" s="36" t="inlineStr">
        <is>
          <t>AGA SPK-tilskudd</t>
        </is>
      </c>
      <c r="B2131" s="36" t="inlineStr">
        <is>
          <t>Region Vest</t>
        </is>
      </c>
      <c r="C2131" s="36" t="inlineStr">
        <is>
          <t>Sogn og Fjordane ungdomsenter</t>
        </is>
      </c>
      <c r="D2131" s="26" t="n">
        <v>12301</v>
      </c>
      <c r="E2131" s="26" t="n">
        <v>12994</v>
      </c>
      <c r="F2131" s="26" t="n">
        <v>8712</v>
      </c>
      <c r="G2131" s="26" t="n">
        <v>14072</v>
      </c>
      <c r="H2131" s="26" t="n">
        <v>10713</v>
      </c>
      <c r="I2131" s="26" t="n">
        <v>4234</v>
      </c>
      <c r="J2131" s="19" t="n">
        <v>2763.59900568614</v>
      </c>
      <c r="K2131" s="37" t="n">
        <v>-0.1920916680345054</v>
      </c>
    </row>
    <row r="2132">
      <c r="A2132" s="34" t="inlineStr">
        <is>
          <t>AGA SPK-tilskudd</t>
        </is>
      </c>
      <c r="B2132" s="34" t="inlineStr">
        <is>
          <t>Region Vest</t>
        </is>
      </c>
      <c r="C2132" s="34" t="inlineStr">
        <is>
          <t>Sogn og Fjordane ungdomsenter</t>
        </is>
      </c>
      <c r="D2132" s="18" t="n">
        <v>21196</v>
      </c>
      <c r="E2132" s="18" t="n">
        <v>68509</v>
      </c>
      <c r="F2132" s="18" t="n">
        <v>82500</v>
      </c>
      <c r="G2132" s="18" t="n">
        <v>121323</v>
      </c>
      <c r="H2132" s="18" t="n">
        <v>119058</v>
      </c>
      <c r="I2132" s="18" t="n">
        <v>46613</v>
      </c>
      <c r="J2132" s="19" t="n">
        <v>63886.38473272033</v>
      </c>
      <c r="K2132" s="35" t="n">
        <v>0.1707135064522023</v>
      </c>
    </row>
    <row r="2133">
      <c r="A2133" s="36" t="inlineStr">
        <is>
          <t>AGA SPK-tilskudd</t>
        </is>
      </c>
      <c r="B2133" s="36" t="inlineStr">
        <is>
          <t>Region Vest</t>
        </is>
      </c>
      <c r="C2133" s="36" t="inlineStr">
        <is>
          <t>Sogn og Fjordane ungdomsenter</t>
        </is>
      </c>
      <c r="D2133" s="26" t="n">
        <v>1667</v>
      </c>
      <c r="E2133" s="26" t="n">
        <v>2284</v>
      </c>
      <c r="F2133" s="26" t="n">
        <v>2454</v>
      </c>
      <c r="G2133" s="26" t="n">
        <v>3186</v>
      </c>
      <c r="H2133" s="26" t="n">
        <v>1804</v>
      </c>
      <c r="I2133" s="26" t="n">
        <v>657</v>
      </c>
      <c r="J2133" s="19" t="n">
        <v>452.7070704760231</v>
      </c>
      <c r="K2133" s="37" t="n">
        <v>-0.1699085245287969</v>
      </c>
    </row>
    <row r="2134">
      <c r="A2134" s="34" t="inlineStr">
        <is>
          <t>AGA SPK-tilskudd</t>
        </is>
      </c>
      <c r="B2134" s="34" t="inlineStr">
        <is>
          <t>Region Vest</t>
        </is>
      </c>
      <c r="C2134" s="34" t="inlineStr">
        <is>
          <t>Sogn og Fjordane ungdomsenter</t>
        </is>
      </c>
      <c r="D2134" s="18" t="n">
        <v>2268</v>
      </c>
      <c r="E2134" s="18" t="n">
        <v>13688</v>
      </c>
      <c r="F2134" s="18" t="n">
        <v>17108</v>
      </c>
      <c r="G2134" s="18" t="n">
        <v>35822</v>
      </c>
      <c r="H2134" s="18" t="n">
        <v>22023</v>
      </c>
      <c r="I2134" s="18" t="n">
        <v>15922</v>
      </c>
      <c r="J2134" s="19" t="n">
        <v>24878.125</v>
      </c>
      <c r="K2134" s="35" t="n">
        <v>0.25</v>
      </c>
    </row>
    <row r="2135">
      <c r="A2135" s="36" t="inlineStr">
        <is>
          <t>AGA SPK-tilskudd</t>
        </is>
      </c>
      <c r="B2135" s="36" t="inlineStr">
        <is>
          <t>Region Vest</t>
        </is>
      </c>
      <c r="C2135" s="36" t="inlineStr">
        <is>
          <t>Sogn og Fjordane ungdomsenter</t>
        </is>
      </c>
      <c r="D2135" s="26" t="n">
        <v>6932</v>
      </c>
      <c r="E2135" s="26" t="n">
        <v>5482</v>
      </c>
      <c r="F2135" s="26" t="n">
        <v>15182</v>
      </c>
      <c r="G2135" s="26" t="n">
        <v>28876</v>
      </c>
      <c r="H2135" s="26" t="n">
        <v>25768</v>
      </c>
      <c r="I2135" s="26" t="n">
        <v>22058</v>
      </c>
      <c r="J2135" s="19" t="n">
        <v>34465.625</v>
      </c>
      <c r="K2135" s="37" t="n">
        <v>0.25</v>
      </c>
    </row>
    <row r="2136">
      <c r="A2136" s="34" t="inlineStr">
        <is>
          <t>AGA SPK-tilskudd</t>
        </is>
      </c>
      <c r="B2136" s="34" t="inlineStr">
        <is>
          <t>Region Vest</t>
        </is>
      </c>
      <c r="C2136" s="34" t="inlineStr">
        <is>
          <t>Sogn og Fjordane ungdomsenter</t>
        </is>
      </c>
      <c r="D2136" s="18" t="n"/>
      <c r="E2136" s="18" t="n"/>
      <c r="F2136" s="18" t="n">
        <v>410</v>
      </c>
      <c r="G2136" s="18" t="n"/>
      <c r="H2136" s="18" t="n"/>
      <c r="I2136" s="18" t="n">
        <v>1674</v>
      </c>
      <c r="J2136" s="19" t="n">
        <v>1898.69265</v>
      </c>
      <c r="K2136" s="35" t="n">
        <v>0.065</v>
      </c>
    </row>
    <row r="2137">
      <c r="A2137" s="36" t="inlineStr">
        <is>
          <t>AGA SPK-tilskudd</t>
        </is>
      </c>
      <c r="B2137" s="36" t="inlineStr">
        <is>
          <t>Region Vest</t>
        </is>
      </c>
      <c r="C2137" s="36" t="inlineStr">
        <is>
          <t>Sogn og Fjordane ungdomsenter</t>
        </is>
      </c>
      <c r="D2137" s="26" t="n">
        <v>577</v>
      </c>
      <c r="E2137" s="26" t="n">
        <v>1104</v>
      </c>
      <c r="F2137" s="26" t="n">
        <v>3740</v>
      </c>
      <c r="G2137" s="26" t="n"/>
      <c r="H2137" s="26" t="n"/>
      <c r="I2137" s="26" t="n">
        <v>1963</v>
      </c>
      <c r="J2137" s="19" t="n">
        <v>3067.1875</v>
      </c>
      <c r="K2137" s="37" t="n">
        <v>0.25</v>
      </c>
    </row>
    <row r="2138">
      <c r="A2138" s="34" t="inlineStr">
        <is>
          <t>AGA SPK-tilskudd</t>
        </is>
      </c>
      <c r="B2138" s="34" t="inlineStr">
        <is>
          <t>Region Vest</t>
        </is>
      </c>
      <c r="C2138" s="34" t="inlineStr">
        <is>
          <t>Sogn og Fjordane ungdomsenter</t>
        </is>
      </c>
      <c r="D2138" s="18" t="n">
        <v>2002</v>
      </c>
      <c r="E2138" s="18" t="n">
        <v>3755</v>
      </c>
      <c r="F2138" s="18" t="n">
        <v>10532</v>
      </c>
      <c r="G2138" s="18" t="n">
        <v>19732</v>
      </c>
      <c r="H2138" s="18" t="n">
        <v>18011</v>
      </c>
      <c r="I2138" s="18" t="n">
        <v>14363</v>
      </c>
      <c r="J2138" s="19" t="n">
        <v>22442.1875</v>
      </c>
      <c r="K2138" s="35" t="n">
        <v>0.25</v>
      </c>
    </row>
    <row r="2139">
      <c r="A2139" s="36" t="inlineStr">
        <is>
          <t>AGA SPK-tilskudd</t>
        </is>
      </c>
      <c r="B2139" s="36" t="inlineStr">
        <is>
          <t>Region Vest</t>
        </is>
      </c>
      <c r="C2139" s="36" t="inlineStr">
        <is>
          <t>Sogn og Fjordane ungdomsenter</t>
        </is>
      </c>
      <c r="D2139" s="26" t="n">
        <v>5240</v>
      </c>
      <c r="E2139" s="26" t="n"/>
      <c r="F2139" s="26" t="n"/>
      <c r="G2139" s="26" t="n"/>
      <c r="H2139" s="26" t="n"/>
      <c r="I2139" s="26" t="n"/>
      <c r="J2139" s="19" t="n">
        <v>0</v>
      </c>
      <c r="K2139" s="37" t="n">
        <v>0.065</v>
      </c>
    </row>
    <row r="2140">
      <c r="A2140" s="34" t="inlineStr">
        <is>
          <t>AGA SPK-tilskudd</t>
        </is>
      </c>
      <c r="B2140" s="34" t="inlineStr">
        <is>
          <t>Region Vest</t>
        </is>
      </c>
      <c r="C2140" s="34" t="inlineStr">
        <is>
          <t>Sogn og Fjordane ungdomsenter</t>
        </is>
      </c>
      <c r="D2140" s="18" t="n">
        <v>659</v>
      </c>
      <c r="E2140" s="18" t="n">
        <v>392</v>
      </c>
      <c r="F2140" s="18" t="n"/>
      <c r="G2140" s="18" t="n"/>
      <c r="H2140" s="18" t="n"/>
      <c r="I2140" s="18" t="n"/>
      <c r="J2140" s="19" t="n">
        <v>0</v>
      </c>
      <c r="K2140" s="35" t="n">
        <v>0.065</v>
      </c>
    </row>
    <row r="2141">
      <c r="A2141" s="36" t="inlineStr">
        <is>
          <t>AGA SPK-tilskudd</t>
        </is>
      </c>
      <c r="B2141" s="36" t="inlineStr">
        <is>
          <t>Region Vest</t>
        </is>
      </c>
      <c r="C2141" s="36" t="inlineStr">
        <is>
          <t>Sogn og Fjordane ungdomsenter</t>
        </is>
      </c>
      <c r="D2141" s="26" t="n">
        <v>-1000</v>
      </c>
      <c r="E2141" s="26" t="n">
        <v>1347</v>
      </c>
      <c r="F2141" s="26" t="n"/>
      <c r="G2141" s="26" t="n">
        <v>278</v>
      </c>
      <c r="H2141" s="26" t="n"/>
      <c r="I2141" s="26" t="n">
        <v>481</v>
      </c>
      <c r="J2141" s="19" t="n">
        <v>287.4311395537237</v>
      </c>
      <c r="K2141" s="37" t="n">
        <v>-0.2269735213447548</v>
      </c>
    </row>
    <row r="2142">
      <c r="A2142" s="34" t="inlineStr">
        <is>
          <t>AGA SPK-tilskudd</t>
        </is>
      </c>
      <c r="B2142" s="34" t="inlineStr">
        <is>
          <t>Region Vest</t>
        </is>
      </c>
      <c r="C2142" s="34" t="inlineStr">
        <is>
          <t>Sogn og Fjordane ungdomsenter</t>
        </is>
      </c>
      <c r="D2142" s="18" t="n"/>
      <c r="E2142" s="18" t="n"/>
      <c r="F2142" s="18" t="n"/>
      <c r="G2142" s="18" t="n"/>
      <c r="H2142" s="18" t="n">
        <v>-40000</v>
      </c>
      <c r="I2142" s="18" t="n"/>
      <c r="J2142" s="19" t="n">
        <v>0</v>
      </c>
      <c r="K2142" s="35" t="n">
        <v>0.065</v>
      </c>
    </row>
    <row r="2143">
      <c r="A2143" s="36" t="inlineStr">
        <is>
          <t>AGA SPK-tilskudd</t>
        </is>
      </c>
      <c r="B2143" s="36" t="inlineStr">
        <is>
          <t>Region Vest</t>
        </is>
      </c>
      <c r="C2143" s="36" t="inlineStr">
        <is>
          <t>Sogn og Fjordane ungdomsenter</t>
        </is>
      </c>
      <c r="D2143" s="26" t="n"/>
      <c r="E2143" s="26" t="n"/>
      <c r="F2143" s="26" t="n"/>
      <c r="G2143" s="26" t="n"/>
      <c r="H2143" s="26" t="n">
        <v>-70907</v>
      </c>
      <c r="I2143" s="26" t="n">
        <v>-2779</v>
      </c>
      <c r="J2143" s="19" t="n">
        <v>-3152.011274999999</v>
      </c>
      <c r="K2143" s="37" t="n">
        <v>0.065</v>
      </c>
    </row>
    <row r="2144">
      <c r="A2144" s="34" t="inlineStr">
        <is>
          <t>AGA SPK-tilskudd</t>
        </is>
      </c>
      <c r="B2144" s="34" t="inlineStr">
        <is>
          <t>Region Vest</t>
        </is>
      </c>
      <c r="C2144" s="34" t="inlineStr">
        <is>
          <t>Sogn og fjordane ungdomssenter avdeling Bregnetunet behandling høy</t>
        </is>
      </c>
      <c r="D2144" s="18" t="n"/>
      <c r="E2144" s="18" t="n"/>
      <c r="F2144" s="18" t="n"/>
      <c r="G2144" s="18" t="n"/>
      <c r="H2144" s="18" t="n">
        <v>27553</v>
      </c>
      <c r="I2144" s="18" t="n">
        <v>163059</v>
      </c>
      <c r="J2144" s="19" t="n">
        <v>184945.594275</v>
      </c>
      <c r="K2144" s="35" t="n">
        <v>0.065</v>
      </c>
    </row>
    <row r="2145">
      <c r="A2145" s="36" t="inlineStr">
        <is>
          <t>AGA SPK-tilskudd</t>
        </is>
      </c>
      <c r="B2145" s="36" t="inlineStr">
        <is>
          <t>Region Vest</t>
        </is>
      </c>
      <c r="C2145" s="36" t="inlineStr">
        <is>
          <t>Sogn og fjordane ungdomssenter avdeling Bregnetunet behandling høy</t>
        </is>
      </c>
      <c r="D2145" s="26" t="n"/>
      <c r="E2145" s="26" t="n"/>
      <c r="F2145" s="26" t="n"/>
      <c r="G2145" s="26" t="n"/>
      <c r="H2145" s="26" t="n"/>
      <c r="I2145" s="26" t="n">
        <v>1478</v>
      </c>
      <c r="J2145" s="19" t="n">
        <v>1676.38455</v>
      </c>
      <c r="K2145" s="37" t="n">
        <v>0.065</v>
      </c>
    </row>
    <row r="2146">
      <c r="A2146" s="34" t="inlineStr">
        <is>
          <t>AGA SPK-tilskudd</t>
        </is>
      </c>
      <c r="B2146" s="34" t="inlineStr">
        <is>
          <t>Region Vest</t>
        </is>
      </c>
      <c r="C2146" s="34" t="inlineStr">
        <is>
          <t>Sogn og fjordane ungdomssenter avdeling Bregnetunet behandling høy</t>
        </is>
      </c>
      <c r="D2146" s="18" t="n"/>
      <c r="E2146" s="18" t="n"/>
      <c r="F2146" s="18" t="n"/>
      <c r="G2146" s="18" t="n"/>
      <c r="H2146" s="18" t="n">
        <v>9651</v>
      </c>
      <c r="I2146" s="18" t="n">
        <v>92263</v>
      </c>
      <c r="J2146" s="19" t="n">
        <v>104647.001175</v>
      </c>
      <c r="K2146" s="35" t="n">
        <v>0.065</v>
      </c>
    </row>
    <row r="2147">
      <c r="A2147" s="36" t="inlineStr">
        <is>
          <t>AGA SPK-tilskudd</t>
        </is>
      </c>
      <c r="B2147" s="36" t="inlineStr">
        <is>
          <t>Region Vest</t>
        </is>
      </c>
      <c r="C2147" s="36" t="inlineStr">
        <is>
          <t>Sogn og fjordane ungdomssenter avdeling Bregnetunet behandling høy</t>
        </is>
      </c>
      <c r="D2147" s="26" t="n"/>
      <c r="E2147" s="26" t="n"/>
      <c r="F2147" s="26" t="n"/>
      <c r="G2147" s="26" t="n"/>
      <c r="H2147" s="26" t="n">
        <v>13320</v>
      </c>
      <c r="I2147" s="26" t="n">
        <v>89530</v>
      </c>
      <c r="J2147" s="19" t="n">
        <v>101547.16425</v>
      </c>
      <c r="K2147" s="37" t="n">
        <v>0.065</v>
      </c>
    </row>
    <row r="2148">
      <c r="A2148" s="34" t="inlineStr">
        <is>
          <t>AGA SPK-tilskudd</t>
        </is>
      </c>
      <c r="B2148" s="34" t="inlineStr">
        <is>
          <t>Region Vest</t>
        </is>
      </c>
      <c r="C2148" s="34" t="inlineStr">
        <is>
          <t>Sogn og fjordane ungdomssenter avdeling Bregnetunet behandling høy</t>
        </is>
      </c>
      <c r="D2148" s="18" t="n"/>
      <c r="E2148" s="18" t="n"/>
      <c r="F2148" s="18" t="n"/>
      <c r="G2148" s="18" t="n"/>
      <c r="H2148" s="18" t="n">
        <v>2378</v>
      </c>
      <c r="I2148" s="18" t="n">
        <v>6192</v>
      </c>
      <c r="J2148" s="19" t="n">
        <v>7023.121199999999</v>
      </c>
      <c r="K2148" s="35" t="n">
        <v>0.065</v>
      </c>
    </row>
    <row r="2149">
      <c r="A2149" s="36" t="inlineStr">
        <is>
          <t>AGA SPK-tilskudd</t>
        </is>
      </c>
      <c r="B2149" s="36" t="inlineStr">
        <is>
          <t>Region Vest</t>
        </is>
      </c>
      <c r="C2149" s="36" t="inlineStr">
        <is>
          <t>Sogn og fjordane ungdomssenter avdeling Bregnetunet behandling høy</t>
        </is>
      </c>
      <c r="D2149" s="26" t="n"/>
      <c r="E2149" s="26" t="n"/>
      <c r="F2149" s="26" t="n"/>
      <c r="G2149" s="26" t="n"/>
      <c r="H2149" s="26" t="n">
        <v>2079</v>
      </c>
      <c r="I2149" s="26" t="n">
        <v>9584</v>
      </c>
      <c r="J2149" s="19" t="n">
        <v>10870.4124</v>
      </c>
      <c r="K2149" s="37" t="n">
        <v>0.065</v>
      </c>
    </row>
    <row r="2150">
      <c r="A2150" s="34" t="inlineStr">
        <is>
          <t>AGA SPK-tilskudd</t>
        </is>
      </c>
      <c r="B2150" s="34" t="inlineStr">
        <is>
          <t>Region Vest</t>
        </is>
      </c>
      <c r="C2150" s="34" t="inlineStr">
        <is>
          <t>Sogn og fjordane ungdomssenter avdeling Bregnetunet behandling høy</t>
        </is>
      </c>
      <c r="D2150" s="18" t="n"/>
      <c r="E2150" s="18" t="n"/>
      <c r="F2150" s="18" t="n"/>
      <c r="G2150" s="18" t="n"/>
      <c r="H2150" s="18" t="n"/>
      <c r="I2150" s="18" t="n">
        <v>7895</v>
      </c>
      <c r="J2150" s="19" t="n">
        <v>8954.706374999998</v>
      </c>
      <c r="K2150" s="35" t="n">
        <v>0.065</v>
      </c>
    </row>
    <row r="2151">
      <c r="A2151" s="36" t="inlineStr">
        <is>
          <t>AGA SPK-tilskudd</t>
        </is>
      </c>
      <c r="B2151" s="36" t="inlineStr">
        <is>
          <t>Region Vest</t>
        </is>
      </c>
      <c r="C2151" s="36" t="inlineStr">
        <is>
          <t>Sogn og fjordane ungdomssenter avdeling Bregnetunet behandling høy</t>
        </is>
      </c>
      <c r="D2151" s="26" t="n"/>
      <c r="E2151" s="26" t="n"/>
      <c r="F2151" s="26" t="n"/>
      <c r="G2151" s="26" t="n"/>
      <c r="H2151" s="26" t="n">
        <v>1339</v>
      </c>
      <c r="I2151" s="26" t="n">
        <v>5873</v>
      </c>
      <c r="J2151" s="19" t="n">
        <v>6661.303424999999</v>
      </c>
      <c r="K2151" s="37" t="n">
        <v>0.065</v>
      </c>
    </row>
    <row r="2152">
      <c r="A2152" s="34" t="inlineStr">
        <is>
          <t>AGA SPK-tilskudd</t>
        </is>
      </c>
      <c r="B2152" s="34" t="inlineStr">
        <is>
          <t>Region Vest</t>
        </is>
      </c>
      <c r="C2152" s="34" t="inlineStr">
        <is>
          <t>Sogn og fjordane ungdomssenter avdeling Bregnetunet behandling høy</t>
        </is>
      </c>
      <c r="D2152" s="18" t="n"/>
      <c r="E2152" s="18" t="n"/>
      <c r="F2152" s="18" t="n"/>
      <c r="G2152" s="18" t="n"/>
      <c r="H2152" s="18" t="n">
        <v>870</v>
      </c>
      <c r="I2152" s="18" t="n">
        <v>13919</v>
      </c>
      <c r="J2152" s="19" t="n">
        <v>15787.277775</v>
      </c>
      <c r="K2152" s="35" t="n">
        <v>0.065</v>
      </c>
    </row>
    <row r="2153">
      <c r="A2153" s="36" t="inlineStr">
        <is>
          <t>AGA SPK-tilskudd</t>
        </is>
      </c>
      <c r="B2153" s="36" t="inlineStr">
        <is>
          <t>Region Vest</t>
        </is>
      </c>
      <c r="C2153" s="36" t="inlineStr">
        <is>
          <t>Sogn og fjordane ungdomssenter avdeling Bregnetunet behandling høy</t>
        </is>
      </c>
      <c r="D2153" s="26" t="n"/>
      <c r="E2153" s="26" t="n"/>
      <c r="F2153" s="26" t="n"/>
      <c r="G2153" s="26" t="n"/>
      <c r="H2153" s="26" t="n">
        <v>-28851</v>
      </c>
      <c r="I2153" s="26" t="n">
        <v>-446355</v>
      </c>
      <c r="J2153" s="19" t="n">
        <v>-506266.9998749999</v>
      </c>
      <c r="K2153" s="37" t="n">
        <v>0.065</v>
      </c>
    </row>
    <row r="2154">
      <c r="A2154" s="34" t="inlineStr">
        <is>
          <t>AGA SPK-tilskudd</t>
        </is>
      </c>
      <c r="B2154" s="34" t="inlineStr">
        <is>
          <t>Region Vest</t>
        </is>
      </c>
      <c r="C2154" s="34" t="inlineStr">
        <is>
          <t>Sogn og fjordane ungdomssenter avdeling Bregnetunet behandling høy</t>
        </is>
      </c>
      <c r="D2154" s="18" t="n"/>
      <c r="E2154" s="18" t="n"/>
      <c r="F2154" s="18" t="n"/>
      <c r="G2154" s="18" t="n"/>
      <c r="H2154" s="18" t="n">
        <v>-281939</v>
      </c>
      <c r="I2154" s="18" t="n">
        <v>-2774909</v>
      </c>
      <c r="J2154" s="19" t="n">
        <v>-3147371.160525</v>
      </c>
      <c r="K2154" s="35" t="n">
        <v>0.065</v>
      </c>
    </row>
    <row r="2155">
      <c r="A2155" s="36" t="inlineStr">
        <is>
          <t>AGA SPK-tilskudd</t>
        </is>
      </c>
      <c r="B2155" s="36" t="inlineStr">
        <is>
          <t>Region Vest</t>
        </is>
      </c>
      <c r="C2155" s="36" t="inlineStr">
        <is>
          <t>Sogn og fjordane ungdomssenter behandling høy</t>
        </is>
      </c>
      <c r="D2155" s="26" t="n"/>
      <c r="E2155" s="26" t="n"/>
      <c r="F2155" s="26" t="n"/>
      <c r="G2155" s="26" t="n"/>
      <c r="H2155" s="26" t="n"/>
      <c r="I2155" s="26" t="n">
        <v>6533</v>
      </c>
      <c r="J2155" s="19" t="n">
        <v>7409.891924999999</v>
      </c>
      <c r="K2155" s="37" t="n">
        <v>0.065</v>
      </c>
    </row>
    <row r="2156">
      <c r="A2156" s="34" t="inlineStr">
        <is>
          <t>AGA SPK-tilskudd</t>
        </is>
      </c>
      <c r="B2156" s="34" t="inlineStr">
        <is>
          <t>Region Vest</t>
        </is>
      </c>
      <c r="C2156" s="34" t="inlineStr">
        <is>
          <t>Sogn og fjordane ungdomssenter behandling høy</t>
        </is>
      </c>
      <c r="D2156" s="18" t="n"/>
      <c r="E2156" s="18" t="n"/>
      <c r="F2156" s="18" t="n"/>
      <c r="G2156" s="18" t="n"/>
      <c r="H2156" s="18" t="n"/>
      <c r="I2156" s="18" t="n">
        <v>43193</v>
      </c>
      <c r="J2156" s="19" t="n">
        <v>48990.58042499999</v>
      </c>
      <c r="K2156" s="35" t="n">
        <v>0.065</v>
      </c>
    </row>
    <row r="2157">
      <c r="A2157" s="36" t="inlineStr">
        <is>
          <t>AGA SPK-tilskudd</t>
        </is>
      </c>
      <c r="B2157" s="36" t="inlineStr">
        <is>
          <t>Region Vest</t>
        </is>
      </c>
      <c r="C2157" s="36" t="inlineStr">
        <is>
          <t>Sogn og fjordane ungdomssenter behandling høy</t>
        </is>
      </c>
      <c r="D2157" s="26" t="n"/>
      <c r="E2157" s="26" t="n"/>
      <c r="F2157" s="26" t="n"/>
      <c r="G2157" s="26" t="n"/>
      <c r="H2157" s="26" t="n"/>
      <c r="I2157" s="26" t="n">
        <v>1073</v>
      </c>
      <c r="J2157" s="19" t="n">
        <v>1217.023425</v>
      </c>
      <c r="K2157" s="37" t="n">
        <v>0.065</v>
      </c>
    </row>
    <row r="2158">
      <c r="A2158" s="34" t="inlineStr">
        <is>
          <t>AGA SPK-tilskudd</t>
        </is>
      </c>
      <c r="B2158" s="34" t="inlineStr">
        <is>
          <t>Region Vest</t>
        </is>
      </c>
      <c r="C2158" s="34" t="inlineStr">
        <is>
          <t>Sogn og fjordane ungdomssenter behandling høy</t>
        </is>
      </c>
      <c r="D2158" s="18" t="n"/>
      <c r="E2158" s="18" t="n"/>
      <c r="F2158" s="18" t="n"/>
      <c r="G2158" s="18" t="n"/>
      <c r="H2158" s="18" t="n"/>
      <c r="I2158" s="18" t="n">
        <v>15922</v>
      </c>
      <c r="J2158" s="19" t="n">
        <v>18059.13045</v>
      </c>
      <c r="K2158" s="35" t="n">
        <v>0.065</v>
      </c>
    </row>
    <row r="2159">
      <c r="A2159" s="36" t="inlineStr">
        <is>
          <t>AGA SPK-tilskudd</t>
        </is>
      </c>
      <c r="B2159" s="36" t="inlineStr">
        <is>
          <t>Region Vest</t>
        </is>
      </c>
      <c r="C2159" s="36" t="inlineStr">
        <is>
          <t>Sogn og fjordane ungdomssenter behandling høy</t>
        </is>
      </c>
      <c r="D2159" s="26" t="n"/>
      <c r="E2159" s="26" t="n"/>
      <c r="F2159" s="26" t="n"/>
      <c r="G2159" s="26" t="n"/>
      <c r="H2159" s="26" t="n"/>
      <c r="I2159" s="26" t="n">
        <v>22058</v>
      </c>
      <c r="J2159" s="19" t="n">
        <v>25018.73505</v>
      </c>
      <c r="K2159" s="37" t="n">
        <v>0.065</v>
      </c>
    </row>
    <row r="2160">
      <c r="A2160" s="34" t="inlineStr">
        <is>
          <t>AGA SPK-tilskudd</t>
        </is>
      </c>
      <c r="B2160" s="34" t="inlineStr">
        <is>
          <t>Region Vest</t>
        </is>
      </c>
      <c r="C2160" s="34" t="inlineStr">
        <is>
          <t>Sogn og fjordane ungdomssenter behandling høy</t>
        </is>
      </c>
      <c r="D2160" s="18" t="n"/>
      <c r="E2160" s="18" t="n"/>
      <c r="F2160" s="18" t="n"/>
      <c r="G2160" s="18" t="n"/>
      <c r="H2160" s="18" t="n"/>
      <c r="I2160" s="18" t="n">
        <v>1674</v>
      </c>
      <c r="J2160" s="19" t="n">
        <v>1898.69265</v>
      </c>
      <c r="K2160" s="35" t="n">
        <v>0.065</v>
      </c>
    </row>
    <row r="2161">
      <c r="A2161" s="36" t="inlineStr">
        <is>
          <t>AGA SPK-tilskudd</t>
        </is>
      </c>
      <c r="B2161" s="36" t="inlineStr">
        <is>
          <t>Region Vest</t>
        </is>
      </c>
      <c r="C2161" s="36" t="inlineStr">
        <is>
          <t>Sogn og fjordane ungdomssenter behandling høy</t>
        </is>
      </c>
      <c r="D2161" s="26" t="n"/>
      <c r="E2161" s="26" t="n"/>
      <c r="F2161" s="26" t="n"/>
      <c r="G2161" s="26" t="n"/>
      <c r="H2161" s="26" t="n"/>
      <c r="I2161" s="26" t="n">
        <v>900</v>
      </c>
      <c r="J2161" s="19" t="n">
        <v>1020.8025</v>
      </c>
      <c r="K2161" s="37" t="n">
        <v>0.065</v>
      </c>
    </row>
    <row r="2162">
      <c r="A2162" s="34" t="inlineStr">
        <is>
          <t>AGA SPK-tilskudd</t>
        </is>
      </c>
      <c r="B2162" s="34" t="inlineStr">
        <is>
          <t>Region Vest</t>
        </is>
      </c>
      <c r="C2162" s="34" t="inlineStr">
        <is>
          <t>Sogn og fjordane ungdomssenter behandling høy</t>
        </is>
      </c>
      <c r="D2162" s="18" t="n"/>
      <c r="E2162" s="18" t="n"/>
      <c r="F2162" s="18" t="n"/>
      <c r="G2162" s="18" t="n"/>
      <c r="H2162" s="18" t="n"/>
      <c r="I2162" s="18" t="n">
        <v>14363</v>
      </c>
      <c r="J2162" s="19" t="n">
        <v>16290.873675</v>
      </c>
      <c r="K2162" s="35" t="n">
        <v>0.065</v>
      </c>
    </row>
    <row r="2163">
      <c r="A2163" s="36" t="inlineStr">
        <is>
          <t>AGA SPK-tilskudd</t>
        </is>
      </c>
      <c r="B2163" s="36" t="inlineStr">
        <is>
          <t>Region Vest</t>
        </is>
      </c>
      <c r="C2163" s="36" t="inlineStr">
        <is>
          <t>Sogn og fjordane ungdomssenter behandling høy</t>
        </is>
      </c>
      <c r="D2163" s="26" t="n"/>
      <c r="E2163" s="26" t="n"/>
      <c r="F2163" s="26" t="n"/>
      <c r="G2163" s="26" t="n"/>
      <c r="H2163" s="26" t="n"/>
      <c r="I2163" s="26" t="n">
        <v>-2779</v>
      </c>
      <c r="J2163" s="19" t="n">
        <v>-3152.011274999999</v>
      </c>
      <c r="K2163" s="37" t="n">
        <v>0.065</v>
      </c>
    </row>
    <row r="2164">
      <c r="A2164" s="34" t="inlineStr">
        <is>
          <t>AGA SPK-tilskudd</t>
        </is>
      </c>
      <c r="B2164" s="34" t="inlineStr">
        <is>
          <t>Region Vest</t>
        </is>
      </c>
      <c r="C2164" s="34" t="inlineStr">
        <is>
          <t>Sogndal ungdomsenter-adm.</t>
        </is>
      </c>
      <c r="D2164" s="18" t="n">
        <v>92652</v>
      </c>
      <c r="E2164" s="18" t="n">
        <v>82820</v>
      </c>
      <c r="F2164" s="18" t="n">
        <v>76339</v>
      </c>
      <c r="G2164" s="18" t="n">
        <v>76987</v>
      </c>
      <c r="H2164" s="18" t="n">
        <v>79907</v>
      </c>
      <c r="I2164" s="18" t="n">
        <v>83238</v>
      </c>
      <c r="J2164" s="19" t="n">
        <v>79745.9014933501</v>
      </c>
      <c r="K2164" s="35" t="n">
        <v>-0.02120133659354151</v>
      </c>
    </row>
    <row r="2165">
      <c r="A2165" s="36" t="inlineStr">
        <is>
          <t>AGA SPK-tilskudd</t>
        </is>
      </c>
      <c r="B2165" s="36" t="inlineStr">
        <is>
          <t>Region Vest</t>
        </is>
      </c>
      <c r="C2165" s="36" t="inlineStr">
        <is>
          <t>Sogndal ungdomsenter-adm.</t>
        </is>
      </c>
      <c r="D2165" s="26" t="n">
        <v>175428</v>
      </c>
      <c r="E2165" s="26" t="n">
        <v>150147</v>
      </c>
      <c r="F2165" s="26" t="n">
        <v>134866</v>
      </c>
      <c r="G2165" s="26" t="n">
        <v>139069</v>
      </c>
      <c r="H2165" s="26" t="n">
        <v>134859</v>
      </c>
      <c r="I2165" s="26" t="n">
        <v>48530</v>
      </c>
      <c r="J2165" s="19" t="n">
        <v>29025.17473895062</v>
      </c>
      <c r="K2165" s="37" t="n">
        <v>-0.2266389845422982</v>
      </c>
    </row>
    <row r="2166">
      <c r="A2166" s="34" t="inlineStr">
        <is>
          <t>AGA SPK-tilskudd</t>
        </is>
      </c>
      <c r="B2166" s="34" t="inlineStr">
        <is>
          <t>Region Vest</t>
        </is>
      </c>
      <c r="C2166" s="34" t="inlineStr">
        <is>
          <t>Sogndal ungdomsenter-adm.</t>
        </is>
      </c>
      <c r="D2166" s="18" t="n">
        <v>27921</v>
      </c>
      <c r="E2166" s="18" t="n">
        <v>34837</v>
      </c>
      <c r="F2166" s="18" t="n">
        <v>81140</v>
      </c>
      <c r="G2166" s="18" t="n">
        <v>59299</v>
      </c>
      <c r="H2166" s="18" t="n">
        <v>101879</v>
      </c>
      <c r="I2166" s="18" t="n">
        <v>31346</v>
      </c>
      <c r="J2166" s="19" t="n">
        <v>32830.885274936</v>
      </c>
      <c r="K2166" s="35" t="n">
        <v>0.02341135702262664</v>
      </c>
    </row>
    <row r="2167">
      <c r="A2167" s="36" t="inlineStr">
        <is>
          <t>AGA SPK-tilskudd</t>
        </is>
      </c>
      <c r="B2167" s="36" t="inlineStr">
        <is>
          <t>Region Vest</t>
        </is>
      </c>
      <c r="C2167" s="36" t="inlineStr">
        <is>
          <t>Sogndal ungdomsenter-adm.</t>
        </is>
      </c>
      <c r="D2167" s="26" t="n">
        <v>36000</v>
      </c>
      <c r="E2167" s="26" t="n">
        <v>33538</v>
      </c>
      <c r="F2167" s="26" t="n">
        <v>26074</v>
      </c>
      <c r="G2167" s="26" t="n">
        <v>36445</v>
      </c>
      <c r="H2167" s="26" t="n">
        <v>38615</v>
      </c>
      <c r="I2167" s="26" t="n">
        <v>45264</v>
      </c>
      <c r="J2167" s="19" t="n">
        <v>49605.87354671087</v>
      </c>
      <c r="K2167" s="37" t="n">
        <v>0.04686356733875274</v>
      </c>
    </row>
    <row r="2168">
      <c r="A2168" s="34" t="inlineStr">
        <is>
          <t>AGA SPK-tilskudd</t>
        </is>
      </c>
      <c r="B2168" s="34" t="inlineStr">
        <is>
          <t>Region Vest</t>
        </is>
      </c>
      <c r="C2168" s="34" t="inlineStr">
        <is>
          <t>Sogndal ungdomsenter-adm.</t>
        </is>
      </c>
      <c r="D2168" s="18" t="n">
        <v>2112</v>
      </c>
      <c r="E2168" s="18" t="n">
        <v>847</v>
      </c>
      <c r="F2168" s="18" t="n">
        <v>2295</v>
      </c>
      <c r="G2168" s="18" t="n">
        <v>823</v>
      </c>
      <c r="H2168" s="18" t="n">
        <v>14085</v>
      </c>
      <c r="I2168" s="18" t="n">
        <v>1300</v>
      </c>
      <c r="J2168" s="19" t="n">
        <v>1070.639168552968</v>
      </c>
      <c r="K2168" s="35" t="n">
        <v>-0.0924932004692246</v>
      </c>
    </row>
    <row r="2169">
      <c r="A2169" s="36" t="inlineStr">
        <is>
          <t>AGA SPK-tilskudd</t>
        </is>
      </c>
      <c r="B2169" s="36" t="inlineStr">
        <is>
          <t>Region Vest</t>
        </is>
      </c>
      <c r="C2169" s="36" t="inlineStr">
        <is>
          <t>Sogndal ungdomsenter-adm.</t>
        </is>
      </c>
      <c r="D2169" s="26" t="n">
        <v>6734</v>
      </c>
      <c r="E2169" s="26" t="n">
        <v>12167</v>
      </c>
      <c r="F2169" s="26" t="n">
        <v>7976</v>
      </c>
      <c r="G2169" s="26" t="n">
        <v>15297</v>
      </c>
      <c r="H2169" s="26" t="n">
        <v>21066</v>
      </c>
      <c r="I2169" s="26" t="n">
        <v>11340</v>
      </c>
      <c r="J2169" s="19" t="n">
        <v>13968.47618040234</v>
      </c>
      <c r="K2169" s="37" t="n">
        <v>0.1098594609062757</v>
      </c>
    </row>
    <row r="2170">
      <c r="A2170" s="34" t="inlineStr">
        <is>
          <t>AGA SPK-tilskudd</t>
        </is>
      </c>
      <c r="B2170" s="34" t="inlineStr">
        <is>
          <t>Region Vest</t>
        </is>
      </c>
      <c r="C2170" s="34" t="inlineStr">
        <is>
          <t>Sogndal ungdomsenter-adm.</t>
        </is>
      </c>
      <c r="D2170" s="18" t="n"/>
      <c r="E2170" s="18" t="n"/>
      <c r="F2170" s="18" t="n"/>
      <c r="G2170" s="18" t="n"/>
      <c r="H2170" s="18" t="n">
        <v>12675</v>
      </c>
      <c r="I2170" s="18" t="n">
        <v>6489</v>
      </c>
      <c r="J2170" s="19" t="n">
        <v>7359.986024999999</v>
      </c>
      <c r="K2170" s="35" t="n">
        <v>0.065</v>
      </c>
    </row>
    <row r="2171">
      <c r="A2171" s="36" t="inlineStr">
        <is>
          <t>AGA SPK-tilskudd</t>
        </is>
      </c>
      <c r="B2171" s="36" t="inlineStr">
        <is>
          <t>Region Vest</t>
        </is>
      </c>
      <c r="C2171" s="36" t="inlineStr">
        <is>
          <t>Sogndal ungdomsenter-adm.</t>
        </is>
      </c>
      <c r="D2171" s="26" t="n">
        <v>350</v>
      </c>
      <c r="E2171" s="26" t="n">
        <v>8224</v>
      </c>
      <c r="F2171" s="26" t="n">
        <v>2705</v>
      </c>
      <c r="G2171" s="26" t="n">
        <v>505</v>
      </c>
      <c r="H2171" s="26" t="n">
        <v>680</v>
      </c>
      <c r="I2171" s="26" t="n"/>
      <c r="J2171" s="19" t="n">
        <v>0</v>
      </c>
      <c r="K2171" s="37" t="n">
        <v>0.065</v>
      </c>
    </row>
    <row r="2172">
      <c r="A2172" s="34" t="inlineStr">
        <is>
          <t>AGA SPK-tilskudd</t>
        </is>
      </c>
      <c r="B2172" s="34" t="inlineStr">
        <is>
          <t>Region Vest</t>
        </is>
      </c>
      <c r="C2172" s="34" t="inlineStr">
        <is>
          <t>Sogndal ungdomsenter-adm.</t>
        </is>
      </c>
      <c r="D2172" s="18" t="n">
        <v>2844</v>
      </c>
      <c r="E2172" s="18" t="n">
        <v>4473</v>
      </c>
      <c r="F2172" s="18" t="n">
        <v>7282</v>
      </c>
      <c r="G2172" s="18" t="n">
        <v>4281</v>
      </c>
      <c r="H2172" s="18" t="n">
        <v>12920</v>
      </c>
      <c r="I2172" s="18" t="n">
        <v>4515</v>
      </c>
      <c r="J2172" s="19" t="n">
        <v>5431.865649744329</v>
      </c>
      <c r="K2172" s="35" t="n">
        <v>0.0968459412194167</v>
      </c>
    </row>
    <row r="2173">
      <c r="A2173" s="36" t="inlineStr">
        <is>
          <t>AGA SPK-tilskudd</t>
        </is>
      </c>
      <c r="B2173" s="36" t="inlineStr">
        <is>
          <t>Region Vest</t>
        </is>
      </c>
      <c r="C2173" s="36" t="inlineStr">
        <is>
          <t>Sogndal ungdomsenter-adm.</t>
        </is>
      </c>
      <c r="D2173" s="26" t="n"/>
      <c r="E2173" s="26" t="n"/>
      <c r="F2173" s="26" t="n"/>
      <c r="G2173" s="26" t="n"/>
      <c r="H2173" s="26" t="n">
        <v>5480</v>
      </c>
      <c r="I2173" s="26" t="n">
        <v>7680</v>
      </c>
      <c r="J2173" s="19" t="n">
        <v>8710.847999999998</v>
      </c>
      <c r="K2173" s="37" t="n">
        <v>0.065</v>
      </c>
    </row>
    <row r="2174">
      <c r="A2174" s="34" t="inlineStr">
        <is>
          <t>AGA SPK-tilskudd</t>
        </is>
      </c>
      <c r="B2174" s="34" t="inlineStr">
        <is>
          <t>Region Vest</t>
        </is>
      </c>
      <c r="C2174" s="34" t="inlineStr">
        <is>
          <t>Sogndal ungdomsenter-adm.</t>
        </is>
      </c>
      <c r="D2174" s="18" t="n">
        <v>8513</v>
      </c>
      <c r="E2174" s="18" t="n"/>
      <c r="F2174" s="18" t="n"/>
      <c r="G2174" s="18" t="n"/>
      <c r="H2174" s="18" t="n"/>
      <c r="I2174" s="18" t="n"/>
      <c r="J2174" s="19" t="n">
        <v>0</v>
      </c>
      <c r="K2174" s="35" t="n">
        <v>0.065</v>
      </c>
    </row>
    <row r="2175">
      <c r="A2175" s="36" t="inlineStr">
        <is>
          <t>AGA SPK-tilskudd</t>
        </is>
      </c>
      <c r="B2175" s="36" t="inlineStr">
        <is>
          <t>Region Vest</t>
        </is>
      </c>
      <c r="C2175" s="36" t="inlineStr">
        <is>
          <t>Sogndal ungdomsenter-adm.</t>
        </is>
      </c>
      <c r="D2175" s="26" t="n"/>
      <c r="E2175" s="26" t="n">
        <v>36505</v>
      </c>
      <c r="F2175" s="26" t="n">
        <v>59471</v>
      </c>
      <c r="G2175" s="26" t="n"/>
      <c r="H2175" s="26" t="n"/>
      <c r="I2175" s="26" t="n"/>
      <c r="J2175" s="19" t="n">
        <v>0</v>
      </c>
      <c r="K2175" s="37" t="n">
        <v>0.065</v>
      </c>
    </row>
    <row r="2176">
      <c r="A2176" s="34" t="inlineStr">
        <is>
          <t>AGA SPK-tilskudd</t>
        </is>
      </c>
      <c r="B2176" s="34" t="inlineStr">
        <is>
          <t>Region Vest</t>
        </is>
      </c>
      <c r="C2176" s="34" t="inlineStr">
        <is>
          <t>Sogndal ungdomsenter-adm.</t>
        </is>
      </c>
      <c r="D2176" s="18" t="n">
        <v>-30000</v>
      </c>
      <c r="E2176" s="18" t="n">
        <v>-41018</v>
      </c>
      <c r="F2176" s="18" t="n"/>
      <c r="G2176" s="18" t="n"/>
      <c r="H2176" s="18" t="n"/>
      <c r="I2176" s="18" t="n"/>
      <c r="J2176" s="19" t="n">
        <v>0</v>
      </c>
      <c r="K2176" s="35" t="n">
        <v>0.065</v>
      </c>
    </row>
    <row r="2177">
      <c r="A2177" s="36" t="inlineStr">
        <is>
          <t>AGA SPK-tilskudd</t>
        </is>
      </c>
      <c r="B2177" s="36" t="inlineStr">
        <is>
          <t>Region Vest</t>
        </is>
      </c>
      <c r="C2177" s="36" t="inlineStr">
        <is>
          <t>Sogndal ungdomsenter-adm.</t>
        </is>
      </c>
      <c r="D2177" s="26" t="n">
        <v>-11922</v>
      </c>
      <c r="E2177" s="26" t="n">
        <v>-118749</v>
      </c>
      <c r="F2177" s="26" t="n"/>
      <c r="G2177" s="26" t="n"/>
      <c r="H2177" s="26" t="n"/>
      <c r="I2177" s="26" t="n">
        <v>-783229</v>
      </c>
      <c r="J2177" s="19" t="n">
        <v>-888357.9125249998</v>
      </c>
      <c r="K2177" s="37" t="n">
        <v>0.065</v>
      </c>
    </row>
    <row r="2178">
      <c r="A2178" s="34" t="inlineStr">
        <is>
          <t>AGA SPK-tilskudd</t>
        </is>
      </c>
      <c r="B2178" s="34" t="inlineStr">
        <is>
          <t>Region Vest</t>
        </is>
      </c>
      <c r="C2178" s="34" t="inlineStr">
        <is>
          <t>Sogndal ungdomsenter-adm.</t>
        </is>
      </c>
      <c r="D2178" s="18" t="n">
        <v>-361307</v>
      </c>
      <c r="E2178" s="18" t="n">
        <v>-292765</v>
      </c>
      <c r="F2178" s="18" t="n">
        <v>-605883</v>
      </c>
      <c r="G2178" s="18" t="n">
        <v>-444824</v>
      </c>
      <c r="H2178" s="18" t="n">
        <v>-714007</v>
      </c>
      <c r="I2178" s="18" t="n">
        <v>-375553</v>
      </c>
      <c r="J2178" s="19" t="n">
        <v>-425961.6014249999</v>
      </c>
      <c r="K2178" s="35" t="n">
        <v>0.065</v>
      </c>
    </row>
    <row r="2179">
      <c r="A2179" s="36" t="inlineStr">
        <is>
          <t>AGA SPK-tilskudd</t>
        </is>
      </c>
      <c r="B2179" s="36" t="inlineStr">
        <is>
          <t>Region Vest</t>
        </is>
      </c>
      <c r="C2179" s="36" t="inlineStr">
        <is>
          <t>Spesialiserte fosterhjem Stavanger</t>
        </is>
      </c>
      <c r="D2179" s="26" t="n"/>
      <c r="E2179" s="26" t="n"/>
      <c r="F2179" s="26" t="n"/>
      <c r="G2179" s="26" t="n">
        <v>749</v>
      </c>
      <c r="H2179" s="26" t="n">
        <v>3221</v>
      </c>
      <c r="I2179" s="26" t="n"/>
      <c r="J2179" s="19" t="n">
        <v>0</v>
      </c>
      <c r="K2179" s="37" t="n">
        <v>0.065</v>
      </c>
    </row>
    <row r="2180">
      <c r="A2180" s="34" t="inlineStr">
        <is>
          <t>AGA SPK-tilskudd</t>
        </is>
      </c>
      <c r="B2180" s="34" t="inlineStr">
        <is>
          <t>Region Vest</t>
        </is>
      </c>
      <c r="C2180" s="34" t="inlineStr">
        <is>
          <t>Spesialiserte fosterhjem Vestland</t>
        </is>
      </c>
      <c r="D2180" s="18" t="n"/>
      <c r="E2180" s="18" t="n">
        <v>254</v>
      </c>
      <c r="F2180" s="18" t="n"/>
      <c r="G2180" s="18" t="n"/>
      <c r="H2180" s="18" t="n"/>
      <c r="I2180" s="18" t="n">
        <v>2444</v>
      </c>
      <c r="J2180" s="19" t="n">
        <v>3818.75</v>
      </c>
      <c r="K2180" s="35" t="n">
        <v>0.25</v>
      </c>
    </row>
    <row r="2181">
      <c r="A2181" s="36" t="inlineStr">
        <is>
          <t>AGA SPK-tilskudd</t>
        </is>
      </c>
      <c r="B2181" s="36" t="inlineStr">
        <is>
          <t>Region Vest</t>
        </is>
      </c>
      <c r="C2181" s="36" t="inlineStr">
        <is>
          <t>Spesialiserte fosterhjem Vestland</t>
        </is>
      </c>
      <c r="D2181" s="26" t="n"/>
      <c r="E2181" s="26" t="n">
        <v>810</v>
      </c>
      <c r="F2181" s="26" t="n"/>
      <c r="G2181" s="26" t="n"/>
      <c r="H2181" s="26" t="n"/>
      <c r="I2181" s="26" t="n"/>
      <c r="J2181" s="19" t="n">
        <v>0</v>
      </c>
      <c r="K2181" s="37" t="n">
        <v>0.065</v>
      </c>
    </row>
    <row r="2182">
      <c r="A2182" s="34" t="inlineStr">
        <is>
          <t>AGA SPK-tilskudd</t>
        </is>
      </c>
      <c r="B2182" s="34" t="inlineStr">
        <is>
          <t>Region Vest</t>
        </is>
      </c>
      <c r="C2182" s="34" t="inlineStr">
        <is>
          <t>Spesialiserte fosterhjem Vestland</t>
        </is>
      </c>
      <c r="D2182" s="18" t="n"/>
      <c r="E2182" s="18" t="n">
        <v>95</v>
      </c>
      <c r="F2182" s="18" t="n"/>
      <c r="G2182" s="18" t="n"/>
      <c r="H2182" s="18" t="n"/>
      <c r="I2182" s="18" t="n"/>
      <c r="J2182" s="19" t="n">
        <v>0</v>
      </c>
      <c r="K2182" s="35" t="n">
        <v>0.065</v>
      </c>
    </row>
    <row r="2183">
      <c r="A2183" s="36" t="inlineStr">
        <is>
          <t>AGA SPK-tilskudd</t>
        </is>
      </c>
      <c r="B2183" s="36" t="inlineStr">
        <is>
          <t>Region Vest</t>
        </is>
      </c>
      <c r="C2183" s="36" t="inlineStr">
        <is>
          <t>Stavanger akuttsenter - Administrasjon</t>
        </is>
      </c>
      <c r="D2183" s="26" t="n">
        <v>31513</v>
      </c>
      <c r="E2183" s="26" t="n">
        <v>37997</v>
      </c>
      <c r="F2183" s="26" t="n">
        <v>38108</v>
      </c>
      <c r="G2183" s="26" t="n">
        <v>36528</v>
      </c>
      <c r="H2183" s="26" t="n">
        <v>23017</v>
      </c>
      <c r="I2183" s="26" t="n">
        <v>15330</v>
      </c>
      <c r="J2183" s="19" t="n">
        <v>11491.14003154237</v>
      </c>
      <c r="K2183" s="37" t="n">
        <v>-0.1342141550827226</v>
      </c>
    </row>
    <row r="2184">
      <c r="A2184" s="34" t="inlineStr">
        <is>
          <t>AGA SPK-tilskudd</t>
        </is>
      </c>
      <c r="B2184" s="34" t="inlineStr">
        <is>
          <t>Region Vest</t>
        </is>
      </c>
      <c r="C2184" s="34" t="inlineStr">
        <is>
          <t>Stavanger akuttsenter - Administrasjon</t>
        </is>
      </c>
      <c r="D2184" s="18" t="n">
        <v>5764</v>
      </c>
      <c r="E2184" s="18" t="n">
        <v>8765</v>
      </c>
      <c r="F2184" s="18" t="n">
        <v>35795</v>
      </c>
      <c r="G2184" s="18" t="n">
        <v>79413</v>
      </c>
      <c r="H2184" s="18" t="n">
        <v>85124</v>
      </c>
      <c r="I2184" s="18" t="n">
        <v>55794</v>
      </c>
      <c r="J2184" s="19" t="n">
        <v>87178.125</v>
      </c>
      <c r="K2184" s="35" t="n">
        <v>0.25</v>
      </c>
    </row>
    <row r="2185">
      <c r="A2185" s="36" t="inlineStr">
        <is>
          <t>AGA SPK-tilskudd</t>
        </is>
      </c>
      <c r="B2185" s="36" t="inlineStr">
        <is>
          <t>Region Vest</t>
        </is>
      </c>
      <c r="C2185" s="36" t="inlineStr">
        <is>
          <t>Stavanger akuttsenter - Administrasjon</t>
        </is>
      </c>
      <c r="D2185" s="26" t="n">
        <v>4100</v>
      </c>
      <c r="E2185" s="26" t="n">
        <v>5828</v>
      </c>
      <c r="F2185" s="26" t="n">
        <v>6339</v>
      </c>
      <c r="G2185" s="26" t="n">
        <v>7567</v>
      </c>
      <c r="H2185" s="26" t="n">
        <v>4995</v>
      </c>
      <c r="I2185" s="26" t="n">
        <v>3460</v>
      </c>
      <c r="J2185" s="19" t="n">
        <v>3232.905392392068</v>
      </c>
      <c r="K2185" s="37" t="n">
        <v>-0.03337405355301559</v>
      </c>
    </row>
    <row r="2186">
      <c r="A2186" s="34" t="inlineStr">
        <is>
          <t>AGA SPK-tilskudd</t>
        </is>
      </c>
      <c r="B2186" s="34" t="inlineStr">
        <is>
          <t>Region Vest</t>
        </is>
      </c>
      <c r="C2186" s="34" t="inlineStr">
        <is>
          <t>Stavanger akuttsenter - Administrasjon</t>
        </is>
      </c>
      <c r="D2186" s="18" t="n">
        <v>243</v>
      </c>
      <c r="E2186" s="18" t="n">
        <v>780</v>
      </c>
      <c r="F2186" s="18" t="n">
        <v>885</v>
      </c>
      <c r="G2186" s="18" t="n">
        <v>2640</v>
      </c>
      <c r="H2186" s="18" t="n">
        <v>3007</v>
      </c>
      <c r="I2186" s="18" t="n">
        <v>3225</v>
      </c>
      <c r="J2186" s="19" t="n">
        <v>5039.0625</v>
      </c>
      <c r="K2186" s="35" t="n">
        <v>0.25</v>
      </c>
    </row>
    <row r="2187">
      <c r="A2187" s="36" t="inlineStr">
        <is>
          <t>AGA SPK-tilskudd</t>
        </is>
      </c>
      <c r="B2187" s="36" t="inlineStr">
        <is>
          <t>Region Vest</t>
        </is>
      </c>
      <c r="C2187" s="36" t="inlineStr">
        <is>
          <t>Stavanger akuttsenter - Administrasjon</t>
        </is>
      </c>
      <c r="D2187" s="26" t="n">
        <v>306</v>
      </c>
      <c r="E2187" s="26" t="n">
        <v>300</v>
      </c>
      <c r="F2187" s="26" t="n">
        <v>327</v>
      </c>
      <c r="G2187" s="26" t="n">
        <v>3449</v>
      </c>
      <c r="H2187" s="26" t="n">
        <v>4719</v>
      </c>
      <c r="I2187" s="26" t="n">
        <v>4353</v>
      </c>
      <c r="J2187" s="19" t="n">
        <v>6801.5625</v>
      </c>
      <c r="K2187" s="37" t="n">
        <v>0.25</v>
      </c>
    </row>
    <row r="2188">
      <c r="A2188" s="34" t="inlineStr">
        <is>
          <t>AGA SPK-tilskudd</t>
        </is>
      </c>
      <c r="B2188" s="34" t="inlineStr">
        <is>
          <t>Region Vest</t>
        </is>
      </c>
      <c r="C2188" s="34" t="inlineStr">
        <is>
          <t>Stavanger akuttsenter - Administrasjon</t>
        </is>
      </c>
      <c r="D2188" s="18" t="n">
        <v>182</v>
      </c>
      <c r="E2188" s="18" t="n">
        <v>2846</v>
      </c>
      <c r="F2188" s="18" t="n">
        <v>16312</v>
      </c>
      <c r="G2188" s="18" t="n">
        <v>808</v>
      </c>
      <c r="H2188" s="18" t="n">
        <v>5379</v>
      </c>
      <c r="I2188" s="18" t="n"/>
      <c r="J2188" s="19" t="n">
        <v>0</v>
      </c>
      <c r="K2188" s="35" t="n">
        <v>0.065</v>
      </c>
    </row>
    <row r="2189">
      <c r="A2189" s="36" t="inlineStr">
        <is>
          <t>AGA SPK-tilskudd</t>
        </is>
      </c>
      <c r="B2189" s="36" t="inlineStr">
        <is>
          <t>Region Vest</t>
        </is>
      </c>
      <c r="C2189" s="36" t="inlineStr">
        <is>
          <t>Stavanger akuttsenter - Administrasjon</t>
        </is>
      </c>
      <c r="D2189" s="26" t="n">
        <v>2997</v>
      </c>
      <c r="E2189" s="26" t="n">
        <v>3258</v>
      </c>
      <c r="F2189" s="26" t="n">
        <v>4759</v>
      </c>
      <c r="G2189" s="26" t="n">
        <v>12394</v>
      </c>
      <c r="H2189" s="26" t="n">
        <v>9809</v>
      </c>
      <c r="I2189" s="26" t="n">
        <v>5914</v>
      </c>
      <c r="J2189" s="19" t="n">
        <v>7761.741077363822</v>
      </c>
      <c r="K2189" s="37" t="n">
        <v>0.1456155910288983</v>
      </c>
    </row>
    <row r="2190">
      <c r="A2190" s="34" t="inlineStr">
        <is>
          <t>AGA SPK-tilskudd</t>
        </is>
      </c>
      <c r="B2190" s="34" t="inlineStr">
        <is>
          <t>Region Vest</t>
        </is>
      </c>
      <c r="C2190" s="34" t="inlineStr">
        <is>
          <t>Stavanger akuttsenter - Administrasjon</t>
        </is>
      </c>
      <c r="D2190" s="18" t="n">
        <v>153</v>
      </c>
      <c r="E2190" s="18" t="n">
        <v>277</v>
      </c>
      <c r="F2190" s="18" t="n">
        <v>190</v>
      </c>
      <c r="G2190" s="18" t="n">
        <v>1766</v>
      </c>
      <c r="H2190" s="18" t="n">
        <v>2908</v>
      </c>
      <c r="I2190" s="18" t="n">
        <v>3371</v>
      </c>
      <c r="J2190" s="19" t="n">
        <v>5267.1875</v>
      </c>
      <c r="K2190" s="35" t="n">
        <v>0.25</v>
      </c>
    </row>
    <row r="2191">
      <c r="A2191" s="36" t="inlineStr">
        <is>
          <t>AGA SPK-tilskudd</t>
        </is>
      </c>
      <c r="B2191" s="36" t="inlineStr">
        <is>
          <t>Region Vest</t>
        </is>
      </c>
      <c r="C2191" s="36" t="inlineStr">
        <is>
          <t>Stavanger akuttsenter - Administrasjon</t>
        </is>
      </c>
      <c r="D2191" s="26" t="n"/>
      <c r="E2191" s="26" t="n"/>
      <c r="F2191" s="26" t="n">
        <v>2715</v>
      </c>
      <c r="G2191" s="26" t="n"/>
      <c r="H2191" s="26" t="n">
        <v>2370</v>
      </c>
      <c r="I2191" s="26" t="n"/>
      <c r="J2191" s="19" t="n">
        <v>0</v>
      </c>
      <c r="K2191" s="37" t="n">
        <v>0.065</v>
      </c>
    </row>
    <row r="2192">
      <c r="A2192" s="34" t="inlineStr">
        <is>
          <t>AGA SPK-tilskudd</t>
        </is>
      </c>
      <c r="B2192" s="34" t="inlineStr">
        <is>
          <t>Region Vest</t>
        </is>
      </c>
      <c r="C2192" s="34" t="inlineStr">
        <is>
          <t>Stavanger akuttsenter - Administrasjon</t>
        </is>
      </c>
      <c r="D2192" s="18" t="n">
        <v>229</v>
      </c>
      <c r="E2192" s="18" t="n"/>
      <c r="F2192" s="18" t="n"/>
      <c r="G2192" s="18" t="n"/>
      <c r="H2192" s="18" t="n"/>
      <c r="I2192" s="18" t="n"/>
      <c r="J2192" s="19" t="n">
        <v>0</v>
      </c>
      <c r="K2192" s="35" t="n">
        <v>0.065</v>
      </c>
    </row>
    <row r="2193">
      <c r="A2193" s="36" t="inlineStr">
        <is>
          <t>AGA SPK-tilskudd</t>
        </is>
      </c>
      <c r="B2193" s="36" t="inlineStr">
        <is>
          <t>Region Vest</t>
        </is>
      </c>
      <c r="C2193" s="36" t="inlineStr">
        <is>
          <t>Stavanger akuttsenter - Administrasjon</t>
        </is>
      </c>
      <c r="D2193" s="26" t="n"/>
      <c r="E2193" s="26" t="n">
        <v>1986</v>
      </c>
      <c r="F2193" s="26" t="n"/>
      <c r="G2193" s="26" t="n"/>
      <c r="H2193" s="26" t="n"/>
      <c r="I2193" s="26" t="n"/>
      <c r="J2193" s="19" t="n">
        <v>0</v>
      </c>
      <c r="K2193" s="37" t="n">
        <v>0.065</v>
      </c>
    </row>
    <row r="2194">
      <c r="A2194" s="34" t="inlineStr">
        <is>
          <t>AGA SPK-tilskudd</t>
        </is>
      </c>
      <c r="B2194" s="34" t="inlineStr">
        <is>
          <t>Region Vest</t>
        </is>
      </c>
      <c r="C2194" s="34" t="inlineStr">
        <is>
          <t>Stavanger akuttsenter - Administrasjon</t>
        </is>
      </c>
      <c r="D2194" s="18" t="n">
        <v>3249</v>
      </c>
      <c r="E2194" s="18" t="n">
        <v>1635</v>
      </c>
      <c r="F2194" s="18" t="n">
        <v>9839</v>
      </c>
      <c r="G2194" s="18" t="n">
        <v>4921</v>
      </c>
      <c r="H2194" s="18" t="n">
        <v>201</v>
      </c>
      <c r="I2194" s="18" t="n">
        <v>-339</v>
      </c>
      <c r="J2194" s="19" t="n">
        <v>-384.5022749999999</v>
      </c>
      <c r="K2194" s="35" t="n">
        <v>0.065</v>
      </c>
    </row>
    <row r="2195">
      <c r="A2195" s="36" t="inlineStr">
        <is>
          <t>AGA SPK-tilskudd</t>
        </is>
      </c>
      <c r="B2195" s="36" t="inlineStr">
        <is>
          <t>Region Vest</t>
        </is>
      </c>
      <c r="C2195" s="36" t="inlineStr">
        <is>
          <t>Stavanger akuttsenter - Administrasjon</t>
        </is>
      </c>
      <c r="D2195" s="26" t="n">
        <v>-5702</v>
      </c>
      <c r="E2195" s="26" t="n"/>
      <c r="F2195" s="26" t="n"/>
      <c r="G2195" s="26" t="n"/>
      <c r="H2195" s="26" t="n"/>
      <c r="I2195" s="26" t="n"/>
      <c r="J2195" s="19" t="n">
        <v>0</v>
      </c>
      <c r="K2195" s="37" t="n">
        <v>0.065</v>
      </c>
    </row>
    <row r="2196">
      <c r="A2196" s="34" t="inlineStr">
        <is>
          <t>AGA SPK-tilskudd</t>
        </is>
      </c>
      <c r="B2196" s="34" t="inlineStr">
        <is>
          <t>Region Vest</t>
        </is>
      </c>
      <c r="C2196" s="34" t="inlineStr">
        <is>
          <t>Stavanger akuttsenter - Administrasjon</t>
        </is>
      </c>
      <c r="D2196" s="18" t="n">
        <v>-34828</v>
      </c>
      <c r="E2196" s="18" t="n">
        <v>-18218</v>
      </c>
      <c r="F2196" s="18" t="n">
        <v>-724347</v>
      </c>
      <c r="G2196" s="18" t="n">
        <v>-269189</v>
      </c>
      <c r="H2196" s="18" t="n">
        <v>-41434</v>
      </c>
      <c r="I2196" s="18" t="n">
        <v>-11406</v>
      </c>
      <c r="J2196" s="19" t="n">
        <v>-12936.97035</v>
      </c>
      <c r="K2196" s="35" t="n">
        <v>0.065</v>
      </c>
    </row>
    <row r="2197">
      <c r="A2197" s="36" t="inlineStr">
        <is>
          <t>AGA SPK-tilskudd</t>
        </is>
      </c>
      <c r="B2197" s="36" t="inlineStr">
        <is>
          <t>Region Vest</t>
        </is>
      </c>
      <c r="C2197" s="36" t="inlineStr">
        <is>
          <t>Stavanger akuttsenter - Heimly</t>
        </is>
      </c>
      <c r="D2197" s="26" t="n">
        <v>26101</v>
      </c>
      <c r="E2197" s="26" t="n">
        <v>89536</v>
      </c>
      <c r="F2197" s="26" t="n">
        <v>2116</v>
      </c>
      <c r="G2197" s="26" t="n"/>
      <c r="H2197" s="26" t="n"/>
      <c r="I2197" s="26" t="n"/>
      <c r="J2197" s="19" t="n">
        <v>0</v>
      </c>
      <c r="K2197" s="37" t="n">
        <v>0.065</v>
      </c>
    </row>
    <row r="2198">
      <c r="A2198" s="34" t="inlineStr">
        <is>
          <t>AGA SPK-tilskudd</t>
        </is>
      </c>
      <c r="B2198" s="34" t="inlineStr">
        <is>
          <t>Region Vest</t>
        </is>
      </c>
      <c r="C2198" s="34" t="inlineStr">
        <is>
          <t>Stavanger akuttsenter - Heimly</t>
        </is>
      </c>
      <c r="D2198" s="18" t="n">
        <v>5436</v>
      </c>
      <c r="E2198" s="18" t="n">
        <v>22959</v>
      </c>
      <c r="F2198" s="18" t="n">
        <v>4588</v>
      </c>
      <c r="G2198" s="18" t="n"/>
      <c r="H2198" s="18" t="n"/>
      <c r="I2198" s="18" t="n"/>
      <c r="J2198" s="19" t="n">
        <v>0</v>
      </c>
      <c r="K2198" s="35" t="n">
        <v>0.065</v>
      </c>
    </row>
    <row r="2199">
      <c r="A2199" s="36" t="inlineStr">
        <is>
          <t>AGA SPK-tilskudd</t>
        </is>
      </c>
      <c r="B2199" s="36" t="inlineStr">
        <is>
          <t>Region Vest</t>
        </is>
      </c>
      <c r="C2199" s="36" t="inlineStr">
        <is>
          <t>Stavanger akuttsenter - Heimly</t>
        </is>
      </c>
      <c r="D2199" s="26" t="n">
        <v>5900</v>
      </c>
      <c r="E2199" s="26" t="n">
        <v>27771</v>
      </c>
      <c r="F2199" s="26" t="n">
        <v>205</v>
      </c>
      <c r="G2199" s="26" t="n"/>
      <c r="H2199" s="26" t="n"/>
      <c r="I2199" s="26" t="n"/>
      <c r="J2199" s="19" t="n">
        <v>0</v>
      </c>
      <c r="K2199" s="37" t="n">
        <v>0.065</v>
      </c>
    </row>
    <row r="2200">
      <c r="A2200" s="34" t="inlineStr">
        <is>
          <t>AGA SPK-tilskudd</t>
        </is>
      </c>
      <c r="B2200" s="34" t="inlineStr">
        <is>
          <t>Region Vest</t>
        </is>
      </c>
      <c r="C2200" s="34" t="inlineStr">
        <is>
          <t>Stavanger akuttsenter - Heimly</t>
        </is>
      </c>
      <c r="D2200" s="18" t="n"/>
      <c r="E2200" s="18" t="n">
        <v>700</v>
      </c>
      <c r="F2200" s="18" t="n"/>
      <c r="G2200" s="18" t="n"/>
      <c r="H2200" s="18" t="n"/>
      <c r="I2200" s="18" t="n"/>
      <c r="J2200" s="19" t="n">
        <v>0</v>
      </c>
      <c r="K2200" s="35" t="n">
        <v>0.065</v>
      </c>
    </row>
    <row r="2201">
      <c r="A2201" s="36" t="inlineStr">
        <is>
          <t>AGA SPK-tilskudd</t>
        </is>
      </c>
      <c r="B2201" s="36" t="inlineStr">
        <is>
          <t>Region Vest</t>
        </is>
      </c>
      <c r="C2201" s="36" t="inlineStr">
        <is>
          <t>Stavanger akuttsenter - Heimly</t>
        </is>
      </c>
      <c r="D2201" s="26" t="n"/>
      <c r="E2201" s="26" t="n">
        <v>3971</v>
      </c>
      <c r="F2201" s="26" t="n"/>
      <c r="G2201" s="26" t="n"/>
      <c r="H2201" s="26" t="n"/>
      <c r="I2201" s="26" t="n"/>
      <c r="J2201" s="19" t="n">
        <v>0</v>
      </c>
      <c r="K2201" s="37" t="n">
        <v>0.065</v>
      </c>
    </row>
    <row r="2202">
      <c r="A2202" s="34" t="inlineStr">
        <is>
          <t>AGA SPK-tilskudd</t>
        </is>
      </c>
      <c r="B2202" s="34" t="inlineStr">
        <is>
          <t>Region Vest</t>
        </is>
      </c>
      <c r="C2202" s="34" t="inlineStr">
        <is>
          <t>Stavanger akuttsenter - Heimly</t>
        </is>
      </c>
      <c r="D2202" s="18" t="n">
        <v>239</v>
      </c>
      <c r="E2202" s="18" t="n">
        <v>563</v>
      </c>
      <c r="F2202" s="18" t="n"/>
      <c r="G2202" s="18" t="n"/>
      <c r="H2202" s="18" t="n"/>
      <c r="I2202" s="18" t="n"/>
      <c r="J2202" s="19" t="n">
        <v>0</v>
      </c>
      <c r="K2202" s="35" t="n">
        <v>0.065</v>
      </c>
    </row>
    <row r="2203">
      <c r="A2203" s="36" t="inlineStr">
        <is>
          <t>AGA SPK-tilskudd</t>
        </is>
      </c>
      <c r="B2203" s="36" t="inlineStr">
        <is>
          <t>Region Vest</t>
        </is>
      </c>
      <c r="C2203" s="36" t="inlineStr">
        <is>
          <t>Stavanger akuttsenter - Heimly</t>
        </is>
      </c>
      <c r="D2203" s="26" t="n"/>
      <c r="E2203" s="26" t="n">
        <v>2371</v>
      </c>
      <c r="F2203" s="26" t="n">
        <v>140</v>
      </c>
      <c r="G2203" s="26" t="n"/>
      <c r="H2203" s="26" t="n"/>
      <c r="I2203" s="26" t="n"/>
      <c r="J2203" s="19" t="n">
        <v>0</v>
      </c>
      <c r="K2203" s="37" t="n">
        <v>0.065</v>
      </c>
    </row>
    <row r="2204">
      <c r="A2204" s="34" t="inlineStr">
        <is>
          <t>AGA SPK-tilskudd</t>
        </is>
      </c>
      <c r="B2204" s="34" t="inlineStr">
        <is>
          <t>Region Vest</t>
        </is>
      </c>
      <c r="C2204" s="34" t="inlineStr">
        <is>
          <t>Stavanger akuttsenter - Heimly</t>
        </is>
      </c>
      <c r="D2204" s="18" t="n"/>
      <c r="E2204" s="18" t="n">
        <v>-199315</v>
      </c>
      <c r="F2204" s="18" t="n">
        <v>-34475</v>
      </c>
      <c r="G2204" s="18" t="n"/>
      <c r="H2204" s="18" t="n"/>
      <c r="I2204" s="18" t="n"/>
      <c r="J2204" s="19" t="n">
        <v>0</v>
      </c>
      <c r="K2204" s="35" t="n">
        <v>0.065</v>
      </c>
    </row>
    <row r="2205">
      <c r="A2205" s="36" t="inlineStr">
        <is>
          <t>AGA SPK-tilskudd</t>
        </is>
      </c>
      <c r="B2205" s="36" t="inlineStr">
        <is>
          <t>Region Vest</t>
        </is>
      </c>
      <c r="C2205" s="36" t="inlineStr">
        <is>
          <t>Stavanger akuttsenter - Heimly</t>
        </is>
      </c>
      <c r="D2205" s="26" t="n">
        <v>-30908</v>
      </c>
      <c r="E2205" s="26" t="n">
        <v>-811917</v>
      </c>
      <c r="F2205" s="26" t="n">
        <v>-184211</v>
      </c>
      <c r="G2205" s="26" t="n"/>
      <c r="H2205" s="26" t="n"/>
      <c r="I2205" s="26" t="n"/>
      <c r="J2205" s="19" t="n">
        <v>0</v>
      </c>
      <c r="K2205" s="37" t="n">
        <v>0.065</v>
      </c>
    </row>
    <row r="2206">
      <c r="A2206" s="34" t="inlineStr">
        <is>
          <t>AGA SPK-tilskudd</t>
        </is>
      </c>
      <c r="B2206" s="34" t="inlineStr">
        <is>
          <t>Region Vest</t>
        </is>
      </c>
      <c r="C2206" s="34" t="inlineStr">
        <is>
          <t>Stavanger akuttsenter - Madla</t>
        </is>
      </c>
      <c r="D2206" s="18" t="n">
        <v>180330</v>
      </c>
      <c r="E2206" s="18" t="n">
        <v>163705</v>
      </c>
      <c r="F2206" s="18" t="n">
        <v>170467</v>
      </c>
      <c r="G2206" s="18" t="n">
        <v>175543</v>
      </c>
      <c r="H2206" s="18" t="n">
        <v>223055</v>
      </c>
      <c r="I2206" s="18" t="n">
        <v>287812</v>
      </c>
      <c r="J2206" s="19" t="n">
        <v>346996.6350372027</v>
      </c>
      <c r="K2206" s="35" t="n">
        <v>0.09801477216317434</v>
      </c>
    </row>
    <row r="2207">
      <c r="A2207" s="36" t="inlineStr">
        <is>
          <t>AGA SPK-tilskudd</t>
        </is>
      </c>
      <c r="B2207" s="36" t="inlineStr">
        <is>
          <t>Region Vest</t>
        </is>
      </c>
      <c r="C2207" s="36" t="inlineStr">
        <is>
          <t>Stavanger akuttsenter - Madla</t>
        </is>
      </c>
      <c r="D2207" s="26" t="n"/>
      <c r="E2207" s="26" t="n">
        <v>11069</v>
      </c>
      <c r="F2207" s="26" t="n"/>
      <c r="G2207" s="26" t="n">
        <v>14294</v>
      </c>
      <c r="H2207" s="26" t="n">
        <v>25477</v>
      </c>
      <c r="I2207" s="26" t="n">
        <v>29330</v>
      </c>
      <c r="J2207" s="19" t="n">
        <v>45828.125</v>
      </c>
      <c r="K2207" s="37" t="n">
        <v>0.25</v>
      </c>
    </row>
    <row r="2208">
      <c r="A2208" s="34" t="inlineStr">
        <is>
          <t>AGA SPK-tilskudd</t>
        </is>
      </c>
      <c r="B2208" s="34" t="inlineStr">
        <is>
          <t>Region Vest</t>
        </is>
      </c>
      <c r="C2208" s="34" t="inlineStr">
        <is>
          <t>Stavanger akuttsenter - Madla</t>
        </is>
      </c>
      <c r="D2208" s="18" t="n">
        <v>128623</v>
      </c>
      <c r="E2208" s="18" t="n">
        <v>61920</v>
      </c>
      <c r="F2208" s="18" t="n">
        <v>81796</v>
      </c>
      <c r="G2208" s="18" t="n">
        <v>131423</v>
      </c>
      <c r="H2208" s="18" t="n">
        <v>378442</v>
      </c>
      <c r="I2208" s="18" t="n">
        <v>140713</v>
      </c>
      <c r="J2208" s="19" t="n">
        <v>145861.4267348415</v>
      </c>
      <c r="K2208" s="35" t="n">
        <v>0.01812972577901895</v>
      </c>
    </row>
    <row r="2209">
      <c r="A2209" s="36" t="inlineStr">
        <is>
          <t>AGA SPK-tilskudd</t>
        </is>
      </c>
      <c r="B2209" s="36" t="inlineStr">
        <is>
          <t>Region Vest</t>
        </is>
      </c>
      <c r="C2209" s="36" t="inlineStr">
        <is>
          <t>Stavanger akuttsenter - Madla</t>
        </is>
      </c>
      <c r="D2209" s="26" t="n">
        <v>59402</v>
      </c>
      <c r="E2209" s="26" t="n">
        <v>60319</v>
      </c>
      <c r="F2209" s="26" t="n">
        <v>85142</v>
      </c>
      <c r="G2209" s="26" t="n">
        <v>93589</v>
      </c>
      <c r="H2209" s="26" t="n">
        <v>109613</v>
      </c>
      <c r="I2209" s="26" t="n">
        <v>150658</v>
      </c>
      <c r="J2209" s="19" t="n">
        <v>218609.308243764</v>
      </c>
      <c r="K2209" s="37" t="n">
        <v>0.2045871502179728</v>
      </c>
    </row>
    <row r="2210">
      <c r="A2210" s="34" t="inlineStr">
        <is>
          <t>AGA SPK-tilskudd</t>
        </is>
      </c>
      <c r="B2210" s="34" t="inlineStr">
        <is>
          <t>Region Vest</t>
        </is>
      </c>
      <c r="C2210" s="34" t="inlineStr">
        <is>
          <t>Stavanger akuttsenter - Madla</t>
        </is>
      </c>
      <c r="D2210" s="18" t="n"/>
      <c r="E2210" s="18" t="n"/>
      <c r="F2210" s="18" t="n"/>
      <c r="G2210" s="18" t="n"/>
      <c r="H2210" s="18" t="n"/>
      <c r="I2210" s="18" t="n">
        <v>4137</v>
      </c>
      <c r="J2210" s="19" t="n">
        <v>4692.288825</v>
      </c>
      <c r="K2210" s="35" t="n">
        <v>0.065</v>
      </c>
    </row>
    <row r="2211">
      <c r="A2211" s="36" t="inlineStr">
        <is>
          <t>AGA SPK-tilskudd</t>
        </is>
      </c>
      <c r="B2211" s="36" t="inlineStr">
        <is>
          <t>Region Vest</t>
        </is>
      </c>
      <c r="C2211" s="36" t="inlineStr">
        <is>
          <t>Stavanger akuttsenter - Madla</t>
        </is>
      </c>
      <c r="D2211" s="26" t="n"/>
      <c r="E2211" s="26" t="n"/>
      <c r="F2211" s="26" t="n"/>
      <c r="G2211" s="26" t="n"/>
      <c r="H2211" s="26" t="n">
        <v>20971</v>
      </c>
      <c r="I2211" s="26" t="n"/>
      <c r="J2211" s="19" t="n">
        <v>0</v>
      </c>
      <c r="K2211" s="37" t="n">
        <v>0.065</v>
      </c>
    </row>
    <row r="2212">
      <c r="A2212" s="34" t="inlineStr">
        <is>
          <t>AGA SPK-tilskudd</t>
        </is>
      </c>
      <c r="B2212" s="34" t="inlineStr">
        <is>
          <t>Region Vest</t>
        </is>
      </c>
      <c r="C2212" s="34" t="inlineStr">
        <is>
          <t>Stavanger akuttsenter - Madla</t>
        </is>
      </c>
      <c r="D2212" s="18" t="n">
        <v>814</v>
      </c>
      <c r="E2212" s="18" t="n">
        <v>198</v>
      </c>
      <c r="F2212" s="18" t="n">
        <v>2742</v>
      </c>
      <c r="G2212" s="18" t="n">
        <v>987</v>
      </c>
      <c r="H2212" s="18" t="n">
        <v>670</v>
      </c>
      <c r="I2212" s="18" t="n">
        <v>1197</v>
      </c>
      <c r="J2212" s="19" t="n">
        <v>1396.632193353247</v>
      </c>
      <c r="K2212" s="35" t="n">
        <v>0.08017457102425074</v>
      </c>
    </row>
    <row r="2213">
      <c r="A2213" s="36" t="inlineStr">
        <is>
          <t>AGA SPK-tilskudd</t>
        </is>
      </c>
      <c r="B2213" s="36" t="inlineStr">
        <is>
          <t>Region Vest</t>
        </is>
      </c>
      <c r="C2213" s="36" t="inlineStr">
        <is>
          <t>Stavanger akuttsenter - Madla</t>
        </is>
      </c>
      <c r="D2213" s="26" t="n">
        <v>73</v>
      </c>
      <c r="E2213" s="26" t="n"/>
      <c r="F2213" s="26" t="n">
        <v>1433</v>
      </c>
      <c r="G2213" s="26" t="n">
        <v>1794</v>
      </c>
      <c r="H2213" s="26" t="n">
        <v>9115</v>
      </c>
      <c r="I2213" s="26" t="n">
        <v>4134</v>
      </c>
      <c r="J2213" s="19" t="n">
        <v>6459.375</v>
      </c>
      <c r="K2213" s="37" t="n">
        <v>0.25</v>
      </c>
    </row>
    <row r="2214">
      <c r="A2214" s="34" t="inlineStr">
        <is>
          <t>AGA SPK-tilskudd</t>
        </is>
      </c>
      <c r="B2214" s="34" t="inlineStr">
        <is>
          <t>Region Vest</t>
        </is>
      </c>
      <c r="C2214" s="34" t="inlineStr">
        <is>
          <t>Stavanger akuttsenter - Madla</t>
        </is>
      </c>
      <c r="D2214" s="18" t="n">
        <v>1287</v>
      </c>
      <c r="E2214" s="18" t="n">
        <v>15648</v>
      </c>
      <c r="F2214" s="18" t="n">
        <v>19892</v>
      </c>
      <c r="G2214" s="18" t="n">
        <v>21086</v>
      </c>
      <c r="H2214" s="18" t="n">
        <v>5692</v>
      </c>
      <c r="I2214" s="18" t="n">
        <v>1600</v>
      </c>
      <c r="J2214" s="19" t="n">
        <v>1745.567136599474</v>
      </c>
      <c r="K2214" s="35" t="n">
        <v>0.04449962200791213</v>
      </c>
    </row>
    <row r="2215">
      <c r="A2215" s="36" t="inlineStr">
        <is>
          <t>AGA SPK-tilskudd</t>
        </is>
      </c>
      <c r="B2215" s="36" t="inlineStr">
        <is>
          <t>Region Vest</t>
        </is>
      </c>
      <c r="C2215" s="36" t="inlineStr">
        <is>
          <t>Stavanger akuttsenter - Madla</t>
        </is>
      </c>
      <c r="D2215" s="26" t="n">
        <v>4215</v>
      </c>
      <c r="E2215" s="26" t="n">
        <v>5221</v>
      </c>
      <c r="F2215" s="26" t="n">
        <v>3434</v>
      </c>
      <c r="G2215" s="26" t="n">
        <v>430</v>
      </c>
      <c r="H2215" s="26" t="n">
        <v>8250</v>
      </c>
      <c r="I2215" s="26" t="n">
        <v>340</v>
      </c>
      <c r="J2215" s="19" t="n">
        <v>191.25</v>
      </c>
      <c r="K2215" s="37" t="n">
        <v>-0.25</v>
      </c>
    </row>
    <row r="2216">
      <c r="A2216" s="34" t="inlineStr">
        <is>
          <t>AGA SPK-tilskudd</t>
        </is>
      </c>
      <c r="B2216" s="34" t="inlineStr">
        <is>
          <t>Region Vest</t>
        </is>
      </c>
      <c r="C2216" s="34" t="inlineStr">
        <is>
          <t>Stavanger akuttsenter - Madla</t>
        </is>
      </c>
      <c r="D2216" s="18" t="n">
        <v>412</v>
      </c>
      <c r="E2216" s="18" t="n">
        <v>378</v>
      </c>
      <c r="F2216" s="18" t="n">
        <v>1361</v>
      </c>
      <c r="G2216" s="18" t="n">
        <v>1767</v>
      </c>
      <c r="H2216" s="18" t="n">
        <v>8542</v>
      </c>
      <c r="I2216" s="18" t="n">
        <v>2261</v>
      </c>
      <c r="J2216" s="19" t="n">
        <v>3532.8125</v>
      </c>
      <c r="K2216" s="35" t="n">
        <v>0.25</v>
      </c>
    </row>
    <row r="2217">
      <c r="A2217" s="36" t="inlineStr">
        <is>
          <t>AGA SPK-tilskudd</t>
        </is>
      </c>
      <c r="B2217" s="36" t="inlineStr">
        <is>
          <t>Region Vest</t>
        </is>
      </c>
      <c r="C2217" s="36" t="inlineStr">
        <is>
          <t>Stavanger akuttsenter - Madla</t>
        </is>
      </c>
      <c r="D2217" s="26" t="n">
        <v>8772</v>
      </c>
      <c r="E2217" s="26" t="n"/>
      <c r="F2217" s="26" t="n"/>
      <c r="G2217" s="26" t="n">
        <v>3535</v>
      </c>
      <c r="H2217" s="26" t="n"/>
      <c r="I2217" s="26" t="n"/>
      <c r="J2217" s="19" t="n">
        <v>0</v>
      </c>
      <c r="K2217" s="37" t="n">
        <v>0.065</v>
      </c>
    </row>
    <row r="2218">
      <c r="A2218" s="34" t="inlineStr">
        <is>
          <t>AGA SPK-tilskudd</t>
        </is>
      </c>
      <c r="B2218" s="34" t="inlineStr">
        <is>
          <t>Region Vest</t>
        </is>
      </c>
      <c r="C2218" s="34" t="inlineStr">
        <is>
          <t>Stavanger akuttsenter - Madla</t>
        </is>
      </c>
      <c r="D2218" s="18" t="n">
        <v>135</v>
      </c>
      <c r="E2218" s="18" t="n"/>
      <c r="F2218" s="18" t="n"/>
      <c r="G2218" s="18" t="n"/>
      <c r="H2218" s="18" t="n"/>
      <c r="I2218" s="18" t="n"/>
      <c r="J2218" s="19" t="n">
        <v>0</v>
      </c>
      <c r="K2218" s="35" t="n">
        <v>0.065</v>
      </c>
    </row>
    <row r="2219">
      <c r="A2219" s="36" t="inlineStr">
        <is>
          <t>AGA SPK-tilskudd</t>
        </is>
      </c>
      <c r="B2219" s="36" t="inlineStr">
        <is>
          <t>Region Vest</t>
        </is>
      </c>
      <c r="C2219" s="36" t="inlineStr">
        <is>
          <t>Stavanger akuttsenter - Madla</t>
        </is>
      </c>
      <c r="D2219" s="26" t="n">
        <v>440</v>
      </c>
      <c r="E2219" s="26" t="n">
        <v>1687</v>
      </c>
      <c r="F2219" s="26" t="n"/>
      <c r="G2219" s="26" t="n"/>
      <c r="H2219" s="26" t="n"/>
      <c r="I2219" s="26" t="n"/>
      <c r="J2219" s="19" t="n">
        <v>0</v>
      </c>
      <c r="K2219" s="37" t="n">
        <v>0.065</v>
      </c>
    </row>
    <row r="2220">
      <c r="A2220" s="34" t="inlineStr">
        <is>
          <t>AGA SPK-tilskudd</t>
        </is>
      </c>
      <c r="B2220" s="34" t="inlineStr">
        <is>
          <t>Region Vest</t>
        </is>
      </c>
      <c r="C2220" s="34" t="inlineStr">
        <is>
          <t>Stavanger akuttsenter - Madla</t>
        </is>
      </c>
      <c r="D2220" s="18" t="n">
        <v>26232</v>
      </c>
      <c r="E2220" s="18" t="n">
        <v>15529</v>
      </c>
      <c r="F2220" s="18" t="n">
        <v>20296</v>
      </c>
      <c r="G2220" s="18" t="n">
        <v>17644</v>
      </c>
      <c r="H2220" s="18" t="n">
        <v>20589</v>
      </c>
      <c r="I2220" s="18" t="n">
        <v>35073</v>
      </c>
      <c r="J2220" s="19" t="n">
        <v>39393.94913881236</v>
      </c>
      <c r="K2220" s="35" t="n">
        <v>0.05981070589250148</v>
      </c>
    </row>
    <row r="2221">
      <c r="A2221" s="36" t="inlineStr">
        <is>
          <t>AGA SPK-tilskudd</t>
        </is>
      </c>
      <c r="B2221" s="36" t="inlineStr">
        <is>
          <t>Region Vest</t>
        </is>
      </c>
      <c r="C2221" s="36" t="inlineStr">
        <is>
          <t>Stavanger akuttsenter - Madla</t>
        </is>
      </c>
      <c r="D2221" s="26" t="n">
        <v>-283768</v>
      </c>
      <c r="E2221" s="26" t="n">
        <v>-112221</v>
      </c>
      <c r="F2221" s="26" t="n">
        <v>-72872</v>
      </c>
      <c r="G2221" s="26" t="n">
        <v>-1607</v>
      </c>
      <c r="H2221" s="26" t="n">
        <v>-283413</v>
      </c>
      <c r="I2221" s="26" t="n">
        <v>-1186802</v>
      </c>
      <c r="J2221" s="19" t="n">
        <v>-1346100.49845</v>
      </c>
      <c r="K2221" s="37" t="n">
        <v>0.065</v>
      </c>
    </row>
    <row r="2222">
      <c r="A2222" s="34" t="inlineStr">
        <is>
          <t>AGA SPK-tilskudd</t>
        </is>
      </c>
      <c r="B2222" s="34" t="inlineStr">
        <is>
          <t>Region Vest</t>
        </is>
      </c>
      <c r="C2222" s="34" t="inlineStr">
        <is>
          <t>Stavanger akuttsenter - Madla</t>
        </is>
      </c>
      <c r="D2222" s="18" t="n">
        <v>-761788</v>
      </c>
      <c r="E2222" s="18" t="n">
        <v>-1225129</v>
      </c>
      <c r="F2222" s="18" t="n">
        <v>-1540078</v>
      </c>
      <c r="G2222" s="18" t="n">
        <v>-1230593</v>
      </c>
      <c r="H2222" s="18" t="n">
        <v>-1871645</v>
      </c>
      <c r="I2222" s="18" t="n">
        <v>-1702198</v>
      </c>
      <c r="J2222" s="19" t="n">
        <v>-1930675.52655</v>
      </c>
      <c r="K2222" s="35" t="n">
        <v>0.065</v>
      </c>
    </row>
    <row r="2223">
      <c r="A2223" s="36" t="inlineStr">
        <is>
          <t>AGA SPK-tilskudd</t>
        </is>
      </c>
      <c r="B2223" s="36" t="inlineStr">
        <is>
          <t>Region Vest</t>
        </is>
      </c>
      <c r="C2223" s="36" t="inlineStr">
        <is>
          <t>Stavanger akuttsenter - Røyneberg</t>
        </is>
      </c>
      <c r="D2223" s="26" t="n">
        <v>141618</v>
      </c>
      <c r="E2223" s="26" t="n">
        <v>142457</v>
      </c>
      <c r="F2223" s="26" t="n">
        <v>123781</v>
      </c>
      <c r="G2223" s="26" t="n">
        <v>140432</v>
      </c>
      <c r="H2223" s="26" t="n">
        <v>150622</v>
      </c>
      <c r="I2223" s="26" t="n">
        <v>153479</v>
      </c>
      <c r="J2223" s="19" t="n">
        <v>158497.0423769577</v>
      </c>
      <c r="K2223" s="37" t="n">
        <v>0.01621616932143644</v>
      </c>
    </row>
    <row r="2224">
      <c r="A2224" s="34" t="inlineStr">
        <is>
          <t>AGA SPK-tilskudd</t>
        </is>
      </c>
      <c r="B2224" s="34" t="inlineStr">
        <is>
          <t>Region Vest</t>
        </is>
      </c>
      <c r="C2224" s="34" t="inlineStr">
        <is>
          <t>Stavanger akuttsenter - Røyneberg</t>
        </is>
      </c>
      <c r="D2224" s="18" t="n">
        <v>672</v>
      </c>
      <c r="E2224" s="18" t="n">
        <v>33419</v>
      </c>
      <c r="F2224" s="18" t="n"/>
      <c r="G2224" s="18" t="n"/>
      <c r="H2224" s="18" t="n">
        <v>15266</v>
      </c>
      <c r="I2224" s="18" t="n">
        <v>64078</v>
      </c>
      <c r="J2224" s="19" t="n">
        <v>100121.875</v>
      </c>
      <c r="K2224" s="35" t="n">
        <v>0.25</v>
      </c>
    </row>
    <row r="2225">
      <c r="A2225" s="36" t="inlineStr">
        <is>
          <t>AGA SPK-tilskudd</t>
        </is>
      </c>
      <c r="B2225" s="36" t="inlineStr">
        <is>
          <t>Region Vest</t>
        </is>
      </c>
      <c r="C2225" s="36" t="inlineStr">
        <is>
          <t>Stavanger akuttsenter - Røyneberg</t>
        </is>
      </c>
      <c r="D2225" s="26" t="n">
        <v>22905</v>
      </c>
      <c r="E2225" s="26" t="n">
        <v>12098</v>
      </c>
      <c r="F2225" s="26" t="n">
        <v>48088</v>
      </c>
      <c r="G2225" s="26" t="n">
        <v>41745</v>
      </c>
      <c r="H2225" s="26" t="n">
        <v>53020</v>
      </c>
      <c r="I2225" s="26" t="n">
        <v>34523</v>
      </c>
      <c r="J2225" s="19" t="n">
        <v>40679.89479745879</v>
      </c>
      <c r="K2225" s="37" t="n">
        <v>0.08551454353105892</v>
      </c>
    </row>
    <row r="2226">
      <c r="A2226" s="34" t="inlineStr">
        <is>
          <t>AGA SPK-tilskudd</t>
        </is>
      </c>
      <c r="B2226" s="34" t="inlineStr">
        <is>
          <t>Region Vest</t>
        </is>
      </c>
      <c r="C2226" s="34" t="inlineStr">
        <is>
          <t>Stavanger akuttsenter - Røyneberg</t>
        </is>
      </c>
      <c r="D2226" s="18" t="n">
        <v>56100</v>
      </c>
      <c r="E2226" s="18" t="n">
        <v>65536</v>
      </c>
      <c r="F2226" s="18" t="n">
        <v>53272</v>
      </c>
      <c r="G2226" s="18" t="n">
        <v>79385</v>
      </c>
      <c r="H2226" s="18" t="n">
        <v>81446</v>
      </c>
      <c r="I2226" s="18" t="n">
        <v>72950</v>
      </c>
      <c r="J2226" s="19" t="n">
        <v>81030.8267915719</v>
      </c>
      <c r="K2226" s="35" t="n">
        <v>0.05393174766673003</v>
      </c>
    </row>
    <row r="2227">
      <c r="A2227" s="36" t="inlineStr">
        <is>
          <t>AGA SPK-tilskudd</t>
        </is>
      </c>
      <c r="B2227" s="36" t="inlineStr">
        <is>
          <t>Region Vest</t>
        </is>
      </c>
      <c r="C2227" s="36" t="inlineStr">
        <is>
          <t>Stavanger akuttsenter - Røyneberg</t>
        </is>
      </c>
      <c r="D2227" s="26" t="n"/>
      <c r="E2227" s="26" t="n"/>
      <c r="F2227" s="26" t="n">
        <v>60975</v>
      </c>
      <c r="G2227" s="26" t="n"/>
      <c r="H2227" s="26" t="n"/>
      <c r="I2227" s="26" t="n"/>
      <c r="J2227" s="19" t="n">
        <v>0</v>
      </c>
      <c r="K2227" s="37" t="n">
        <v>0.065</v>
      </c>
    </row>
    <row r="2228">
      <c r="A2228" s="34" t="inlineStr">
        <is>
          <t>AGA SPK-tilskudd</t>
        </is>
      </c>
      <c r="B2228" s="34" t="inlineStr">
        <is>
          <t>Region Vest</t>
        </is>
      </c>
      <c r="C2228" s="34" t="inlineStr">
        <is>
          <t>Stavanger akuttsenter - Røyneberg</t>
        </is>
      </c>
      <c r="D2228" s="18" t="n"/>
      <c r="E2228" s="18" t="n">
        <v>2293</v>
      </c>
      <c r="F2228" s="18" t="n"/>
      <c r="G2228" s="18" t="n"/>
      <c r="H2228" s="18" t="n"/>
      <c r="I2228" s="18" t="n"/>
      <c r="J2228" s="19" t="n">
        <v>0</v>
      </c>
      <c r="K2228" s="35" t="n">
        <v>0.065</v>
      </c>
    </row>
    <row r="2229">
      <c r="A2229" s="36" t="inlineStr">
        <is>
          <t>AGA SPK-tilskudd</t>
        </is>
      </c>
      <c r="B2229" s="36" t="inlineStr">
        <is>
          <t>Region Vest</t>
        </is>
      </c>
      <c r="C2229" s="36" t="inlineStr">
        <is>
          <t>Stavanger akuttsenter - Røyneberg</t>
        </is>
      </c>
      <c r="D2229" s="26" t="n">
        <v>875</v>
      </c>
      <c r="E2229" s="26" t="n">
        <v>137</v>
      </c>
      <c r="F2229" s="26" t="n">
        <v>105</v>
      </c>
      <c r="G2229" s="26" t="n">
        <v>1335</v>
      </c>
      <c r="H2229" s="26" t="n">
        <v>2292</v>
      </c>
      <c r="I2229" s="26" t="n">
        <v>2751</v>
      </c>
      <c r="J2229" s="19" t="n">
        <v>4298.4375</v>
      </c>
      <c r="K2229" s="37" t="n">
        <v>0.25</v>
      </c>
    </row>
    <row r="2230">
      <c r="A2230" s="34" t="inlineStr">
        <is>
          <t>AGA SPK-tilskudd</t>
        </is>
      </c>
      <c r="B2230" s="34" t="inlineStr">
        <is>
          <t>Region Vest</t>
        </is>
      </c>
      <c r="C2230" s="34" t="inlineStr">
        <is>
          <t>Stavanger akuttsenter - Røyneberg</t>
        </is>
      </c>
      <c r="D2230" s="18" t="n">
        <v>336</v>
      </c>
      <c r="E2230" s="18" t="n">
        <v>75</v>
      </c>
      <c r="F2230" s="18" t="n">
        <v>1530</v>
      </c>
      <c r="G2230" s="18" t="n">
        <v>4057</v>
      </c>
      <c r="H2230" s="18" t="n">
        <v>6159</v>
      </c>
      <c r="I2230" s="18" t="n">
        <v>2757</v>
      </c>
      <c r="J2230" s="19" t="n">
        <v>4307.8125</v>
      </c>
      <c r="K2230" s="35" t="n">
        <v>0.25</v>
      </c>
    </row>
    <row r="2231">
      <c r="A2231" s="36" t="inlineStr">
        <is>
          <t>AGA SPK-tilskudd</t>
        </is>
      </c>
      <c r="B2231" s="36" t="inlineStr">
        <is>
          <t>Region Vest</t>
        </is>
      </c>
      <c r="C2231" s="36" t="inlineStr">
        <is>
          <t>Stavanger akuttsenter - Røyneberg</t>
        </is>
      </c>
      <c r="D2231" s="26" t="n">
        <v>315</v>
      </c>
      <c r="E2231" s="26" t="n">
        <v>15250</v>
      </c>
      <c r="F2231" s="26" t="n">
        <v>13745</v>
      </c>
      <c r="G2231" s="26" t="n">
        <v>10220</v>
      </c>
      <c r="H2231" s="26" t="n">
        <v>11999</v>
      </c>
      <c r="I2231" s="26" t="n">
        <v>981</v>
      </c>
      <c r="J2231" s="19" t="n">
        <v>1532.8125</v>
      </c>
      <c r="K2231" s="37" t="n">
        <v>0.25</v>
      </c>
    </row>
    <row r="2232">
      <c r="A2232" s="34" t="inlineStr">
        <is>
          <t>AGA SPK-tilskudd</t>
        </is>
      </c>
      <c r="B2232" s="34" t="inlineStr">
        <is>
          <t>Region Vest</t>
        </is>
      </c>
      <c r="C2232" s="34" t="inlineStr">
        <is>
          <t>Stavanger akuttsenter - Røyneberg</t>
        </is>
      </c>
      <c r="D2232" s="18" t="n">
        <v>3788</v>
      </c>
      <c r="E2232" s="18" t="n">
        <v>8265</v>
      </c>
      <c r="F2232" s="18" t="n">
        <v>6945</v>
      </c>
      <c r="G2232" s="18" t="n">
        <v>6449</v>
      </c>
      <c r="H2232" s="18" t="n">
        <v>9053</v>
      </c>
      <c r="I2232" s="18" t="n">
        <v>7480</v>
      </c>
      <c r="J2232" s="19" t="n">
        <v>9819.700654481629</v>
      </c>
      <c r="K2232" s="35" t="n">
        <v>0.1457723181961601</v>
      </c>
    </row>
    <row r="2233">
      <c r="A2233" s="36" t="inlineStr">
        <is>
          <t>AGA SPK-tilskudd</t>
        </is>
      </c>
      <c r="B2233" s="36" t="inlineStr">
        <is>
          <t>Region Vest</t>
        </is>
      </c>
      <c r="C2233" s="36" t="inlineStr">
        <is>
          <t>Stavanger akuttsenter - Røyneberg</t>
        </is>
      </c>
      <c r="D2233" s="26" t="n">
        <v>112</v>
      </c>
      <c r="E2233" s="26" t="n">
        <v>18</v>
      </c>
      <c r="F2233" s="26" t="n">
        <v>693</v>
      </c>
      <c r="G2233" s="26" t="n">
        <v>1431</v>
      </c>
      <c r="H2233" s="26" t="n">
        <v>2192</v>
      </c>
      <c r="I2233" s="26" t="n">
        <v>1832</v>
      </c>
      <c r="J2233" s="19" t="n">
        <v>2862.5</v>
      </c>
      <c r="K2233" s="37" t="n">
        <v>0.25</v>
      </c>
    </row>
    <row r="2234">
      <c r="A2234" s="34" t="inlineStr">
        <is>
          <t>AGA SPK-tilskudd</t>
        </is>
      </c>
      <c r="B2234" s="34" t="inlineStr">
        <is>
          <t>Region Vest</t>
        </is>
      </c>
      <c r="C2234" s="34" t="inlineStr">
        <is>
          <t>Stavanger akuttsenter - Røyneberg</t>
        </is>
      </c>
      <c r="D2234" s="18" t="n"/>
      <c r="E2234" s="18" t="n"/>
      <c r="F2234" s="18" t="n">
        <v>17025</v>
      </c>
      <c r="G2234" s="18" t="n"/>
      <c r="H2234" s="18" t="n"/>
      <c r="I2234" s="18" t="n"/>
      <c r="J2234" s="19" t="n">
        <v>0</v>
      </c>
      <c r="K2234" s="35" t="n">
        <v>0.065</v>
      </c>
    </row>
    <row r="2235">
      <c r="A2235" s="36" t="inlineStr">
        <is>
          <t>AGA SPK-tilskudd</t>
        </is>
      </c>
      <c r="B2235" s="36" t="inlineStr">
        <is>
          <t>Region Vest</t>
        </is>
      </c>
      <c r="C2235" s="36" t="inlineStr">
        <is>
          <t>Stavanger akuttsenter - Røyneberg</t>
        </is>
      </c>
      <c r="D2235" s="26" t="n"/>
      <c r="E2235" s="26" t="n"/>
      <c r="F2235" s="26" t="n">
        <v>4389</v>
      </c>
      <c r="G2235" s="26" t="n">
        <v>1860</v>
      </c>
      <c r="H2235" s="26" t="n"/>
      <c r="I2235" s="26" t="n">
        <v>5995</v>
      </c>
      <c r="J2235" s="19" t="n">
        <v>6799.678874999999</v>
      </c>
      <c r="K2235" s="37" t="n">
        <v>0.065</v>
      </c>
    </row>
    <row r="2236">
      <c r="A2236" s="34" t="inlineStr">
        <is>
          <t>AGA SPK-tilskudd</t>
        </is>
      </c>
      <c r="B2236" s="34" t="inlineStr">
        <is>
          <t>Region Vest</t>
        </is>
      </c>
      <c r="C2236" s="34" t="inlineStr">
        <is>
          <t>Stavanger akuttsenter - Røyneberg</t>
        </is>
      </c>
      <c r="D2236" s="18" t="n">
        <v>47</v>
      </c>
      <c r="E2236" s="18" t="n"/>
      <c r="F2236" s="18" t="n"/>
      <c r="G2236" s="18" t="n"/>
      <c r="H2236" s="18" t="n"/>
      <c r="I2236" s="18" t="n"/>
      <c r="J2236" s="19" t="n">
        <v>0</v>
      </c>
      <c r="K2236" s="35" t="n">
        <v>0.065</v>
      </c>
    </row>
    <row r="2237">
      <c r="A2237" s="36" t="inlineStr">
        <is>
          <t>AGA SPK-tilskudd</t>
        </is>
      </c>
      <c r="B2237" s="36" t="inlineStr">
        <is>
          <t>Region Vest</t>
        </is>
      </c>
      <c r="C2237" s="36" t="inlineStr">
        <is>
          <t>Stavanger akuttsenter - Røyneberg</t>
        </is>
      </c>
      <c r="D2237" s="26" t="n">
        <v>4212</v>
      </c>
      <c r="E2237" s="26" t="n">
        <v>25060</v>
      </c>
      <c r="F2237" s="26" t="n">
        <v>15476</v>
      </c>
      <c r="G2237" s="26" t="n">
        <v>12410</v>
      </c>
      <c r="H2237" s="26" t="n">
        <v>11158</v>
      </c>
      <c r="I2237" s="26" t="n">
        <v>15050</v>
      </c>
      <c r="J2237" s="19" t="n">
        <v>23515.625</v>
      </c>
      <c r="K2237" s="37" t="n">
        <v>0.25</v>
      </c>
    </row>
    <row r="2238">
      <c r="A2238" s="34" t="inlineStr">
        <is>
          <t>AGA SPK-tilskudd</t>
        </is>
      </c>
      <c r="B2238" s="34" t="inlineStr">
        <is>
          <t>Region Vest</t>
        </is>
      </c>
      <c r="C2238" s="34" t="inlineStr">
        <is>
          <t>Stavanger akuttsenter - Røyneberg</t>
        </is>
      </c>
      <c r="D2238" s="18" t="n">
        <v>-4303</v>
      </c>
      <c r="E2238" s="18" t="n"/>
      <c r="F2238" s="18" t="n"/>
      <c r="G2238" s="18" t="n">
        <v>-324126</v>
      </c>
      <c r="H2238" s="18" t="n">
        <v>-13017</v>
      </c>
      <c r="I2238" s="18" t="n">
        <v>-604341</v>
      </c>
      <c r="J2238" s="19" t="n">
        <v>-685458.6707249999</v>
      </c>
      <c r="K2238" s="35" t="n">
        <v>0.065</v>
      </c>
    </row>
    <row r="2239">
      <c r="A2239" s="36" t="inlineStr">
        <is>
          <t>AGA SPK-tilskudd</t>
        </is>
      </c>
      <c r="B2239" s="36" t="inlineStr">
        <is>
          <t>Region Vest</t>
        </is>
      </c>
      <c r="C2239" s="36" t="inlineStr">
        <is>
          <t>Stavanger akuttsenter - Røyneberg</t>
        </is>
      </c>
      <c r="D2239" s="26" t="n">
        <v>-837986</v>
      </c>
      <c r="E2239" s="26" t="n">
        <v>-1443546</v>
      </c>
      <c r="F2239" s="26" t="n">
        <v>-1450402</v>
      </c>
      <c r="G2239" s="26" t="n">
        <v>-431696</v>
      </c>
      <c r="H2239" s="26" t="n">
        <v>-782061</v>
      </c>
      <c r="I2239" s="26" t="n">
        <v>-717342</v>
      </c>
      <c r="J2239" s="19" t="n">
        <v>-813627.2299499998</v>
      </c>
      <c r="K2239" s="37" t="n">
        <v>0.065</v>
      </c>
    </row>
    <row r="2240">
      <c r="A2240" s="34" t="inlineStr">
        <is>
          <t>AGA SPK-tilskudd</t>
        </is>
      </c>
      <c r="B2240" s="34" t="inlineStr">
        <is>
          <t>Region Vest</t>
        </is>
      </c>
      <c r="C2240" s="34" t="inlineStr">
        <is>
          <t>Stavanger senter for foreldre og barn</t>
        </is>
      </c>
      <c r="D2240" s="18" t="n">
        <v>1018</v>
      </c>
      <c r="E2240" s="18" t="n"/>
      <c r="F2240" s="18" t="n"/>
      <c r="G2240" s="18" t="n"/>
      <c r="H2240" s="18" t="n"/>
      <c r="I2240" s="18" t="n"/>
      <c r="J2240" s="19" t="n">
        <v>0</v>
      </c>
      <c r="K2240" s="35" t="n">
        <v>0.065</v>
      </c>
    </row>
    <row r="2241">
      <c r="A2241" s="36" t="inlineStr">
        <is>
          <t>AGA SPK-tilskudd</t>
        </is>
      </c>
      <c r="B2241" s="36" t="inlineStr">
        <is>
          <t>Region Vest</t>
        </is>
      </c>
      <c r="C2241" s="36" t="inlineStr">
        <is>
          <t>Stavanger senter for foreldre og barn</t>
        </is>
      </c>
      <c r="D2241" s="26" t="n"/>
      <c r="E2241" s="26" t="n"/>
      <c r="F2241" s="26" t="n"/>
      <c r="G2241" s="26" t="n">
        <v>872</v>
      </c>
      <c r="H2241" s="26" t="n"/>
      <c r="I2241" s="26" t="n"/>
      <c r="J2241" s="19" t="n">
        <v>0</v>
      </c>
      <c r="K2241" s="37" t="n">
        <v>0.065</v>
      </c>
    </row>
    <row r="2242">
      <c r="A2242" s="34" t="inlineStr">
        <is>
          <t>AGA SPK-tilskudd</t>
        </is>
      </c>
      <c r="B2242" s="34" t="inlineStr">
        <is>
          <t>Region Vest</t>
        </is>
      </c>
      <c r="C2242" s="34" t="inlineStr">
        <is>
          <t>Stavanger senter for foreldre og barn</t>
        </is>
      </c>
      <c r="D2242" s="18" t="n">
        <v>1500</v>
      </c>
      <c r="E2242" s="18" t="n"/>
      <c r="F2242" s="18" t="n"/>
      <c r="G2242" s="18" t="n"/>
      <c r="H2242" s="18" t="n"/>
      <c r="I2242" s="18" t="n"/>
      <c r="J2242" s="19" t="n">
        <v>0</v>
      </c>
      <c r="K2242" s="35" t="n">
        <v>0.065</v>
      </c>
    </row>
    <row r="2243">
      <c r="A2243" s="36" t="inlineStr">
        <is>
          <t>AGA SPK-tilskudd</t>
        </is>
      </c>
      <c r="B2243" s="36" t="inlineStr">
        <is>
          <t>Region Vest</t>
        </is>
      </c>
      <c r="C2243" s="36" t="inlineStr">
        <is>
          <t>Stavanger ungdomssenter - Spesialiserte fosterhjem</t>
        </is>
      </c>
      <c r="D2243" s="26" t="n"/>
      <c r="E2243" s="26" t="n">
        <v>2260</v>
      </c>
      <c r="F2243" s="26" t="n"/>
      <c r="G2243" s="26" t="n"/>
      <c r="H2243" s="26" t="n">
        <v>150</v>
      </c>
      <c r="I2243" s="26" t="n"/>
      <c r="J2243" s="19" t="n">
        <v>0</v>
      </c>
      <c r="K2243" s="37" t="n">
        <v>0.065</v>
      </c>
    </row>
    <row r="2244">
      <c r="A2244" s="34" t="inlineStr">
        <is>
          <t>AGA SPK-tilskudd</t>
        </is>
      </c>
      <c r="B2244" s="34" t="inlineStr">
        <is>
          <t>Region Vest</t>
        </is>
      </c>
      <c r="C2244" s="34" t="inlineStr">
        <is>
          <t>Stavanger ungdomssenter - Spesialiserte fosterhjem</t>
        </is>
      </c>
      <c r="D2244" s="18" t="n">
        <v>3000</v>
      </c>
      <c r="E2244" s="18" t="n"/>
      <c r="F2244" s="18" t="n"/>
      <c r="G2244" s="18" t="n"/>
      <c r="H2244" s="18" t="n"/>
      <c r="I2244" s="18" t="n"/>
      <c r="J2244" s="19" t="n">
        <v>0</v>
      </c>
      <c r="K2244" s="35" t="n">
        <v>0.065</v>
      </c>
    </row>
    <row r="2245">
      <c r="A2245" s="36" t="inlineStr">
        <is>
          <t>AGA SPK-tilskudd</t>
        </is>
      </c>
      <c r="B2245" s="36" t="inlineStr">
        <is>
          <t>Region Vest</t>
        </is>
      </c>
      <c r="C2245" s="36" t="inlineStr">
        <is>
          <t>Stavanger ungdomssenter - adm</t>
        </is>
      </c>
      <c r="D2245" s="26" t="n">
        <v>17884</v>
      </c>
      <c r="E2245" s="26" t="n">
        <v>11068</v>
      </c>
      <c r="F2245" s="26" t="n">
        <v>11846</v>
      </c>
      <c r="G2245" s="26" t="n">
        <v>12632</v>
      </c>
      <c r="H2245" s="26" t="n">
        <v>9691</v>
      </c>
      <c r="I2245" s="26" t="n">
        <v>5265</v>
      </c>
      <c r="J2245" s="19" t="n">
        <v>3228.284948342348</v>
      </c>
      <c r="K2245" s="37" t="n">
        <v>-0.2169549602046992</v>
      </c>
    </row>
    <row r="2246">
      <c r="A2246" s="34" t="inlineStr">
        <is>
          <t>AGA SPK-tilskudd</t>
        </is>
      </c>
      <c r="B2246" s="34" t="inlineStr">
        <is>
          <t>Region Vest</t>
        </is>
      </c>
      <c r="C2246" s="34" t="inlineStr">
        <is>
          <t>Stavanger ungdomssenter - adm</t>
        </is>
      </c>
      <c r="D2246" s="18" t="n">
        <v>20518</v>
      </c>
      <c r="E2246" s="18" t="n">
        <v>5254</v>
      </c>
      <c r="F2246" s="18" t="n">
        <v>40158</v>
      </c>
      <c r="G2246" s="18" t="n">
        <v>53569</v>
      </c>
      <c r="H2246" s="18" t="n">
        <v>81528</v>
      </c>
      <c r="I2246" s="18" t="n">
        <v>21089</v>
      </c>
      <c r="J2246" s="19" t="n">
        <v>21321.82484362349</v>
      </c>
      <c r="K2246" s="35" t="n">
        <v>0.005504902168583792</v>
      </c>
    </row>
    <row r="2247">
      <c r="A2247" s="36" t="inlineStr">
        <is>
          <t>AGA SPK-tilskudd</t>
        </is>
      </c>
      <c r="B2247" s="36" t="inlineStr">
        <is>
          <t>Region Vest</t>
        </is>
      </c>
      <c r="C2247" s="36" t="inlineStr">
        <is>
          <t>Stavanger ungdomssenter - adm</t>
        </is>
      </c>
      <c r="D2247" s="26" t="n">
        <v>2300</v>
      </c>
      <c r="E2247" s="26" t="n">
        <v>1227</v>
      </c>
      <c r="F2247" s="26" t="n">
        <v>2250</v>
      </c>
      <c r="G2247" s="26" t="n">
        <v>4512</v>
      </c>
      <c r="H2247" s="26" t="n">
        <v>2554</v>
      </c>
      <c r="I2247" s="26" t="n">
        <v>865</v>
      </c>
      <c r="J2247" s="19" t="n">
        <v>584.9670664249994</v>
      </c>
      <c r="K2247" s="37" t="n">
        <v>-0.1776481868825414</v>
      </c>
    </row>
    <row r="2248">
      <c r="A2248" s="34" t="inlineStr">
        <is>
          <t>AGA SPK-tilskudd</t>
        </is>
      </c>
      <c r="B2248" s="34" t="inlineStr">
        <is>
          <t>Region Vest</t>
        </is>
      </c>
      <c r="C2248" s="34" t="inlineStr">
        <is>
          <t>Stavanger ungdomssenter - adm</t>
        </is>
      </c>
      <c r="D2248" s="18" t="n">
        <v>1146</v>
      </c>
      <c r="E2248" s="18" t="n">
        <v>696</v>
      </c>
      <c r="F2248" s="18" t="n">
        <v>2483</v>
      </c>
      <c r="G2248" s="18" t="n">
        <v>3901</v>
      </c>
      <c r="H2248" s="18" t="n">
        <v>4345</v>
      </c>
      <c r="I2248" s="18" t="n">
        <v>5157</v>
      </c>
      <c r="J2248" s="19" t="n">
        <v>8057.8125</v>
      </c>
      <c r="K2248" s="35" t="n">
        <v>0.25</v>
      </c>
    </row>
    <row r="2249">
      <c r="A2249" s="36" t="inlineStr">
        <is>
          <t>AGA SPK-tilskudd</t>
        </is>
      </c>
      <c r="B2249" s="36" t="inlineStr">
        <is>
          <t>Region Vest</t>
        </is>
      </c>
      <c r="C2249" s="36" t="inlineStr">
        <is>
          <t>Stavanger ungdomssenter - adm</t>
        </is>
      </c>
      <c r="D2249" s="26" t="n">
        <v>1204</v>
      </c>
      <c r="E2249" s="26" t="n"/>
      <c r="F2249" s="26" t="n">
        <v>4929</v>
      </c>
      <c r="G2249" s="26" t="n">
        <v>5252</v>
      </c>
      <c r="H2249" s="26" t="n">
        <v>6550</v>
      </c>
      <c r="I2249" s="26" t="n">
        <v>829</v>
      </c>
      <c r="J2249" s="19" t="n">
        <v>714.045272249875</v>
      </c>
      <c r="K2249" s="37" t="n">
        <v>-0.07191958341422255</v>
      </c>
    </row>
    <row r="2250">
      <c r="A2250" s="34" t="inlineStr">
        <is>
          <t>AGA SPK-tilskudd</t>
        </is>
      </c>
      <c r="B2250" s="34" t="inlineStr">
        <is>
          <t>Region Vest</t>
        </is>
      </c>
      <c r="C2250" s="34" t="inlineStr">
        <is>
          <t>Stavanger ungdomssenter - adm</t>
        </is>
      </c>
      <c r="D2250" s="18" t="n"/>
      <c r="E2250" s="18" t="n">
        <v>230</v>
      </c>
      <c r="F2250" s="18" t="n">
        <v>4919</v>
      </c>
      <c r="G2250" s="18" t="n">
        <v>18000</v>
      </c>
      <c r="H2250" s="18" t="n"/>
      <c r="I2250" s="18" t="n"/>
      <c r="J2250" s="19" t="n">
        <v>0</v>
      </c>
      <c r="K2250" s="35" t="n">
        <v>0.065</v>
      </c>
    </row>
    <row r="2251">
      <c r="A2251" s="36" t="inlineStr">
        <is>
          <t>AGA SPK-tilskudd</t>
        </is>
      </c>
      <c r="B2251" s="36" t="inlineStr">
        <is>
          <t>Region Vest</t>
        </is>
      </c>
      <c r="C2251" s="36" t="inlineStr">
        <is>
          <t>Stavanger ungdomssenter - adm</t>
        </is>
      </c>
      <c r="D2251" s="26" t="n">
        <v>684</v>
      </c>
      <c r="E2251" s="26" t="n">
        <v>2617</v>
      </c>
      <c r="F2251" s="26" t="n">
        <v>11634</v>
      </c>
      <c r="G2251" s="26" t="n">
        <v>5269</v>
      </c>
      <c r="H2251" s="26" t="n">
        <v>8414</v>
      </c>
      <c r="I2251" s="26" t="n">
        <v>4396</v>
      </c>
      <c r="J2251" s="19" t="n">
        <v>6868.75</v>
      </c>
      <c r="K2251" s="37" t="n">
        <v>0.25</v>
      </c>
    </row>
    <row r="2252">
      <c r="A2252" s="34" t="inlineStr">
        <is>
          <t>AGA SPK-tilskudd</t>
        </is>
      </c>
      <c r="B2252" s="34" t="inlineStr">
        <is>
          <t>Region Vest</t>
        </is>
      </c>
      <c r="C2252" s="34" t="inlineStr">
        <is>
          <t>Stavanger ungdomssenter - adm</t>
        </is>
      </c>
      <c r="D2252" s="18" t="n">
        <v>432</v>
      </c>
      <c r="E2252" s="18" t="n">
        <v>106</v>
      </c>
      <c r="F2252" s="18" t="n">
        <v>2781</v>
      </c>
      <c r="G2252" s="18" t="n">
        <v>7240</v>
      </c>
      <c r="H2252" s="18" t="n">
        <v>4214</v>
      </c>
      <c r="I2252" s="18" t="n">
        <v>2625</v>
      </c>
      <c r="J2252" s="19" t="n">
        <v>4101.5625</v>
      </c>
      <c r="K2252" s="35" t="n">
        <v>0.25</v>
      </c>
    </row>
    <row r="2253">
      <c r="A2253" s="36" t="inlineStr">
        <is>
          <t>AGA SPK-tilskudd</t>
        </is>
      </c>
      <c r="B2253" s="36" t="inlineStr">
        <is>
          <t>Region Vest</t>
        </is>
      </c>
      <c r="C2253" s="36" t="inlineStr">
        <is>
          <t>Stavanger ungdomssenter - adm</t>
        </is>
      </c>
      <c r="D2253" s="26" t="n"/>
      <c r="E2253" s="26" t="n"/>
      <c r="F2253" s="26" t="n">
        <v>8476</v>
      </c>
      <c r="G2253" s="26" t="n">
        <v>3424</v>
      </c>
      <c r="H2253" s="26" t="n">
        <v>1447</v>
      </c>
      <c r="I2253" s="26" t="n">
        <v>1004</v>
      </c>
      <c r="J2253" s="19" t="n">
        <v>1138.7619</v>
      </c>
      <c r="K2253" s="37" t="n">
        <v>0.065</v>
      </c>
    </row>
    <row r="2254">
      <c r="A2254" s="34" t="inlineStr">
        <is>
          <t>AGA SPK-tilskudd</t>
        </is>
      </c>
      <c r="B2254" s="34" t="inlineStr">
        <is>
          <t>Region Vest</t>
        </is>
      </c>
      <c r="C2254" s="34" t="inlineStr">
        <is>
          <t>Stavanger ungdomssenter - adm</t>
        </is>
      </c>
      <c r="D2254" s="18" t="n">
        <v>-86944</v>
      </c>
      <c r="E2254" s="18" t="n">
        <v>-10032</v>
      </c>
      <c r="F2254" s="18" t="n"/>
      <c r="G2254" s="18" t="n"/>
      <c r="H2254" s="18" t="n"/>
      <c r="I2254" s="18" t="n">
        <v>-15741</v>
      </c>
      <c r="J2254" s="19" t="n">
        <v>-17853.835725</v>
      </c>
      <c r="K2254" s="35" t="n">
        <v>0.065</v>
      </c>
    </row>
    <row r="2255">
      <c r="A2255" s="36" t="inlineStr">
        <is>
          <t>AGA SPK-tilskudd</t>
        </is>
      </c>
      <c r="B2255" s="36" t="inlineStr">
        <is>
          <t>Region Vest</t>
        </is>
      </c>
      <c r="C2255" s="36" t="inlineStr">
        <is>
          <t>Stavanger ungdomssenter - avd. Lindøy</t>
        </is>
      </c>
      <c r="D2255" s="26" t="n">
        <v>162683</v>
      </c>
      <c r="E2255" s="26" t="n">
        <v>140310</v>
      </c>
      <c r="F2255" s="26" t="n">
        <v>130202</v>
      </c>
      <c r="G2255" s="26" t="n">
        <v>136904</v>
      </c>
      <c r="H2255" s="26" t="n">
        <v>136996</v>
      </c>
      <c r="I2255" s="26" t="n">
        <v>137501</v>
      </c>
      <c r="J2255" s="19" t="n">
        <v>128555.6978770251</v>
      </c>
      <c r="K2255" s="37" t="n">
        <v>-0.03307511645218197</v>
      </c>
    </row>
    <row r="2256">
      <c r="A2256" s="34" t="inlineStr">
        <is>
          <t>AGA SPK-tilskudd</t>
        </is>
      </c>
      <c r="B2256" s="34" t="inlineStr">
        <is>
          <t>Region Vest</t>
        </is>
      </c>
      <c r="C2256" s="34" t="inlineStr">
        <is>
          <t>Stavanger ungdomssenter - avd. Lindøy</t>
        </is>
      </c>
      <c r="D2256" s="18" t="n">
        <v>81761</v>
      </c>
      <c r="E2256" s="18" t="n">
        <v>-12485</v>
      </c>
      <c r="F2256" s="18" t="n"/>
      <c r="G2256" s="18" t="n"/>
      <c r="H2256" s="18" t="n">
        <v>59518</v>
      </c>
      <c r="I2256" s="18" t="n">
        <v>221093</v>
      </c>
      <c r="J2256" s="19" t="n">
        <v>329144.4313681562</v>
      </c>
      <c r="K2256" s="35" t="n">
        <v>0.220129028277275</v>
      </c>
    </row>
    <row r="2257">
      <c r="A2257" s="36" t="inlineStr">
        <is>
          <t>AGA SPK-tilskudd</t>
        </is>
      </c>
      <c r="B2257" s="36" t="inlineStr">
        <is>
          <t>Region Vest</t>
        </is>
      </c>
      <c r="C2257" s="36" t="inlineStr">
        <is>
          <t>Stavanger ungdomssenter - avd. Lindøy</t>
        </is>
      </c>
      <c r="D2257" s="26" t="n">
        <v>77598</v>
      </c>
      <c r="E2257" s="26" t="n">
        <v>47037</v>
      </c>
      <c r="F2257" s="26" t="n">
        <v>64139</v>
      </c>
      <c r="G2257" s="26" t="n">
        <v>66993</v>
      </c>
      <c r="H2257" s="26" t="n">
        <v>109173</v>
      </c>
      <c r="I2257" s="26" t="n">
        <v>23837</v>
      </c>
      <c r="J2257" s="19" t="n">
        <v>14866.6125769444</v>
      </c>
      <c r="K2257" s="37" t="n">
        <v>-0.2102671313568986</v>
      </c>
    </row>
    <row r="2258">
      <c r="A2258" s="34" t="inlineStr">
        <is>
          <t>AGA SPK-tilskudd</t>
        </is>
      </c>
      <c r="B2258" s="34" t="inlineStr">
        <is>
          <t>Region Vest</t>
        </is>
      </c>
      <c r="C2258" s="34" t="inlineStr">
        <is>
          <t>Stavanger ungdomssenter - avd. Lindøy</t>
        </is>
      </c>
      <c r="D2258" s="18" t="n">
        <v>41700</v>
      </c>
      <c r="E2258" s="18" t="n">
        <v>39769</v>
      </c>
      <c r="F2258" s="18" t="n">
        <v>42332</v>
      </c>
      <c r="G2258" s="18" t="n">
        <v>60340</v>
      </c>
      <c r="H2258" s="18" t="n">
        <v>67294</v>
      </c>
      <c r="I2258" s="18" t="n">
        <v>70804</v>
      </c>
      <c r="J2258" s="19" t="n">
        <v>87503.71444552613</v>
      </c>
      <c r="K2258" s="35" t="n">
        <v>0.1116916603217972</v>
      </c>
    </row>
    <row r="2259">
      <c r="A2259" s="36" t="inlineStr">
        <is>
          <t>AGA SPK-tilskudd</t>
        </is>
      </c>
      <c r="B2259" s="36" t="inlineStr">
        <is>
          <t>Region Vest</t>
        </is>
      </c>
      <c r="C2259" s="36" t="inlineStr">
        <is>
          <t>Stavanger ungdomssenter - avd. Lindøy</t>
        </is>
      </c>
      <c r="D2259" s="26" t="n"/>
      <c r="E2259" s="26" t="n"/>
      <c r="F2259" s="26" t="n"/>
      <c r="G2259" s="26" t="n">
        <v>22083</v>
      </c>
      <c r="H2259" s="26" t="n"/>
      <c r="I2259" s="26" t="n"/>
      <c r="J2259" s="19" t="n">
        <v>0</v>
      </c>
      <c r="K2259" s="37" t="n">
        <v>0.065</v>
      </c>
    </row>
    <row r="2260">
      <c r="A2260" s="34" t="inlineStr">
        <is>
          <t>AGA SPK-tilskudd</t>
        </is>
      </c>
      <c r="B2260" s="34" t="inlineStr">
        <is>
          <t>Region Vest</t>
        </is>
      </c>
      <c r="C2260" s="34" t="inlineStr">
        <is>
          <t>Stavanger ungdomssenter - avd. Lindøy</t>
        </is>
      </c>
      <c r="D2260" s="18" t="n"/>
      <c r="E2260" s="18" t="n">
        <v>329</v>
      </c>
      <c r="F2260" s="18" t="n"/>
      <c r="G2260" s="18" t="n">
        <v>399</v>
      </c>
      <c r="H2260" s="18" t="n"/>
      <c r="I2260" s="18" t="n"/>
      <c r="J2260" s="19" t="n">
        <v>0</v>
      </c>
      <c r="K2260" s="35" t="n">
        <v>0.065</v>
      </c>
    </row>
    <row r="2261">
      <c r="A2261" s="36" t="inlineStr">
        <is>
          <t>AGA SPK-tilskudd</t>
        </is>
      </c>
      <c r="B2261" s="36" t="inlineStr">
        <is>
          <t>Region Vest</t>
        </is>
      </c>
      <c r="C2261" s="36" t="inlineStr">
        <is>
          <t>Stavanger ungdomssenter - avd. Lindøy</t>
        </is>
      </c>
      <c r="D2261" s="26" t="n"/>
      <c r="E2261" s="26" t="n">
        <v>1827</v>
      </c>
      <c r="F2261" s="26" t="n">
        <v>2028</v>
      </c>
      <c r="G2261" s="26" t="n">
        <v>2741</v>
      </c>
      <c r="H2261" s="26" t="n">
        <v>3070</v>
      </c>
      <c r="I2261" s="26" t="n">
        <v>1477</v>
      </c>
      <c r="J2261" s="19" t="n">
        <v>1328.01037911976</v>
      </c>
      <c r="K2261" s="37" t="n">
        <v>-0.05177699633922128</v>
      </c>
    </row>
    <row r="2262">
      <c r="A2262" s="34" t="inlineStr">
        <is>
          <t>AGA SPK-tilskudd</t>
        </is>
      </c>
      <c r="B2262" s="34" t="inlineStr">
        <is>
          <t>Region Vest</t>
        </is>
      </c>
      <c r="C2262" s="34" t="inlineStr">
        <is>
          <t>Stavanger ungdomssenter - avd. Lindøy</t>
        </is>
      </c>
      <c r="D2262" s="18" t="n">
        <v>336</v>
      </c>
      <c r="E2262" s="18" t="n"/>
      <c r="F2262" s="18" t="n">
        <v>2104</v>
      </c>
      <c r="G2262" s="18" t="n">
        <v>2553</v>
      </c>
      <c r="H2262" s="18" t="n">
        <v>3108</v>
      </c>
      <c r="I2262" s="18" t="n">
        <v>280</v>
      </c>
      <c r="J2262" s="19" t="n">
        <v>260.3068117369598</v>
      </c>
      <c r="K2262" s="35" t="n">
        <v>-0.03580749599737276</v>
      </c>
    </row>
    <row r="2263">
      <c r="A2263" s="36" t="inlineStr">
        <is>
          <t>AGA SPK-tilskudd</t>
        </is>
      </c>
      <c r="B2263" s="36" t="inlineStr">
        <is>
          <t>Region Vest</t>
        </is>
      </c>
      <c r="C2263" s="36" t="inlineStr">
        <is>
          <t>Stavanger ungdomssenter - avd. Lindøy</t>
        </is>
      </c>
      <c r="D2263" s="26" t="n"/>
      <c r="E2263" s="26" t="n"/>
      <c r="F2263" s="26" t="n">
        <v>13780</v>
      </c>
      <c r="G2263" s="26" t="n">
        <v>1300</v>
      </c>
      <c r="H2263" s="26" t="n">
        <v>17045</v>
      </c>
      <c r="I2263" s="26" t="n">
        <v>9364</v>
      </c>
      <c r="J2263" s="19" t="n">
        <v>10620.8829</v>
      </c>
      <c r="K2263" s="37" t="n">
        <v>0.065</v>
      </c>
    </row>
    <row r="2264">
      <c r="A2264" s="34" t="inlineStr">
        <is>
          <t>AGA SPK-tilskudd</t>
        </is>
      </c>
      <c r="B2264" s="34" t="inlineStr">
        <is>
          <t>Region Vest</t>
        </is>
      </c>
      <c r="C2264" s="34" t="inlineStr">
        <is>
          <t>Stavanger ungdomssenter - avd. Lindøy</t>
        </is>
      </c>
      <c r="D2264" s="18" t="n">
        <v>4553</v>
      </c>
      <c r="E2264" s="18" t="n">
        <v>7611</v>
      </c>
      <c r="F2264" s="18" t="n">
        <v>4121</v>
      </c>
      <c r="G2264" s="18" t="n">
        <v>3521</v>
      </c>
      <c r="H2264" s="18" t="n">
        <v>2117</v>
      </c>
      <c r="I2264" s="18" t="n">
        <v>3841</v>
      </c>
      <c r="J2264" s="19" t="n">
        <v>3588.417532481605</v>
      </c>
      <c r="K2264" s="35" t="n">
        <v>-0.03343885830452031</v>
      </c>
    </row>
    <row r="2265">
      <c r="A2265" s="36" t="inlineStr">
        <is>
          <t>AGA SPK-tilskudd</t>
        </is>
      </c>
      <c r="B2265" s="36" t="inlineStr">
        <is>
          <t>Region Vest</t>
        </is>
      </c>
      <c r="C2265" s="36" t="inlineStr">
        <is>
          <t>Stavanger ungdomssenter - avd. Lindøy</t>
        </is>
      </c>
      <c r="D2265" s="26" t="n">
        <v>1183</v>
      </c>
      <c r="E2265" s="26" t="n">
        <v>897</v>
      </c>
      <c r="F2265" s="26" t="n">
        <v>2321</v>
      </c>
      <c r="G2265" s="26" t="n">
        <v>4325</v>
      </c>
      <c r="H2265" s="26" t="n">
        <v>2868</v>
      </c>
      <c r="I2265" s="26" t="n">
        <v>852</v>
      </c>
      <c r="J2265" s="19" t="n">
        <v>747.1736280825372</v>
      </c>
      <c r="K2265" s="37" t="n">
        <v>-0.06353625152409093</v>
      </c>
    </row>
    <row r="2266">
      <c r="A2266" s="34" t="inlineStr">
        <is>
          <t>AGA SPK-tilskudd</t>
        </is>
      </c>
      <c r="B2266" s="34" t="inlineStr">
        <is>
          <t>Region Vest</t>
        </is>
      </c>
      <c r="C2266" s="34" t="inlineStr">
        <is>
          <t>Stavanger ungdomssenter - avd. Lindøy</t>
        </is>
      </c>
      <c r="D2266" s="18" t="n"/>
      <c r="E2266" s="18" t="n"/>
      <c r="F2266" s="18" t="n">
        <v>5980</v>
      </c>
      <c r="G2266" s="18" t="n"/>
      <c r="H2266" s="18" t="n"/>
      <c r="I2266" s="18" t="n">
        <v>24370</v>
      </c>
      <c r="J2266" s="19" t="n">
        <v>27641.06325</v>
      </c>
      <c r="K2266" s="35" t="n">
        <v>0.065</v>
      </c>
    </row>
    <row r="2267">
      <c r="A2267" s="36" t="inlineStr">
        <is>
          <t>AGA SPK-tilskudd</t>
        </is>
      </c>
      <c r="B2267" s="36" t="inlineStr">
        <is>
          <t>Region Vest</t>
        </is>
      </c>
      <c r="C2267" s="36" t="inlineStr">
        <is>
          <t>Stavanger ungdomssenter - avd. Lindøy</t>
        </is>
      </c>
      <c r="D2267" s="26" t="n">
        <v>300</v>
      </c>
      <c r="E2267" s="26" t="n"/>
      <c r="F2267" s="26" t="n"/>
      <c r="G2267" s="26" t="n"/>
      <c r="H2267" s="26" t="n"/>
      <c r="I2267" s="26" t="n"/>
      <c r="J2267" s="19" t="n">
        <v>0</v>
      </c>
      <c r="K2267" s="37" t="n">
        <v>0.065</v>
      </c>
    </row>
    <row r="2268">
      <c r="A2268" s="34" t="inlineStr">
        <is>
          <t>AGA SPK-tilskudd</t>
        </is>
      </c>
      <c r="B2268" s="34" t="inlineStr">
        <is>
          <t>Region Vest</t>
        </is>
      </c>
      <c r="C2268" s="34" t="inlineStr">
        <is>
          <t>Stavanger ungdomssenter - avd. Lindøy</t>
        </is>
      </c>
      <c r="D2268" s="18" t="n">
        <v>3000</v>
      </c>
      <c r="E2268" s="18" t="n">
        <v>1542</v>
      </c>
      <c r="F2268" s="18" t="n"/>
      <c r="G2268" s="18" t="n"/>
      <c r="H2268" s="18" t="n"/>
      <c r="I2268" s="18" t="n"/>
      <c r="J2268" s="19" t="n">
        <v>0</v>
      </c>
      <c r="K2268" s="35" t="n">
        <v>0.065</v>
      </c>
    </row>
    <row r="2269">
      <c r="A2269" s="36" t="inlineStr">
        <is>
          <t>AGA SPK-tilskudd</t>
        </is>
      </c>
      <c r="B2269" s="36" t="inlineStr">
        <is>
          <t>Region Vest</t>
        </is>
      </c>
      <c r="C2269" s="36" t="inlineStr">
        <is>
          <t>Stavanger ungdomssenter - avd. Lindøy</t>
        </is>
      </c>
      <c r="D2269" s="26" t="n">
        <v>8765</v>
      </c>
      <c r="E2269" s="26" t="n">
        <v>828</v>
      </c>
      <c r="F2269" s="26" t="n">
        <v>3211</v>
      </c>
      <c r="G2269" s="26" t="n">
        <v>8673</v>
      </c>
      <c r="H2269" s="26" t="n">
        <v>4516</v>
      </c>
      <c r="I2269" s="26" t="n">
        <v>15036</v>
      </c>
      <c r="J2269" s="19" t="n">
        <v>18658.83291347662</v>
      </c>
      <c r="K2269" s="37" t="n">
        <v>0.1139766284813377</v>
      </c>
    </row>
    <row r="2270">
      <c r="A2270" s="34" t="inlineStr">
        <is>
          <t>AGA SPK-tilskudd</t>
        </is>
      </c>
      <c r="B2270" s="34" t="inlineStr">
        <is>
          <t>Region Vest</t>
        </is>
      </c>
      <c r="C2270" s="34" t="inlineStr">
        <is>
          <t>Stavanger ungdomssenter - avd. Lindøy</t>
        </is>
      </c>
      <c r="D2270" s="18" t="n"/>
      <c r="E2270" s="18" t="n">
        <v>-110889</v>
      </c>
      <c r="F2270" s="18" t="n">
        <v>-592980</v>
      </c>
      <c r="G2270" s="18" t="n">
        <v>-454217</v>
      </c>
      <c r="H2270" s="18" t="n">
        <v>-390354</v>
      </c>
      <c r="I2270" s="18" t="n">
        <v>-318456</v>
      </c>
      <c r="J2270" s="19" t="n">
        <v>-361200.7566</v>
      </c>
      <c r="K2270" s="35" t="n">
        <v>0.065</v>
      </c>
    </row>
    <row r="2271">
      <c r="A2271" s="36" t="inlineStr">
        <is>
          <t>AGA SPK-tilskudd</t>
        </is>
      </c>
      <c r="B2271" s="36" t="inlineStr">
        <is>
          <t>Region Vest</t>
        </is>
      </c>
      <c r="C2271" s="36" t="inlineStr">
        <is>
          <t>Stavanger ungdomssenter - avd. Lindøy</t>
        </is>
      </c>
      <c r="D2271" s="26" t="n">
        <v>-471654</v>
      </c>
      <c r="E2271" s="26" t="n">
        <v>-206860</v>
      </c>
      <c r="F2271" s="26" t="n">
        <v>-270054</v>
      </c>
      <c r="G2271" s="26" t="n">
        <v>-361615</v>
      </c>
      <c r="H2271" s="26" t="n">
        <v>-393693</v>
      </c>
      <c r="I2271" s="26" t="n">
        <v>-303083</v>
      </c>
      <c r="J2271" s="19" t="n">
        <v>-343764.315675</v>
      </c>
      <c r="K2271" s="37" t="n">
        <v>0.065</v>
      </c>
    </row>
    <row r="2272">
      <c r="A2272" s="34" t="inlineStr">
        <is>
          <t>AGA SPK-tilskudd</t>
        </is>
      </c>
      <c r="B2272" s="34" t="inlineStr">
        <is>
          <t>Region Vest</t>
        </is>
      </c>
      <c r="C2272" s="34" t="inlineStr">
        <is>
          <t>Stavanger ungdomssenter - avd. Våland</t>
        </is>
      </c>
      <c r="D2272" s="18" t="n">
        <v>131460</v>
      </c>
      <c r="E2272" s="18" t="n">
        <v>118729</v>
      </c>
      <c r="F2272" s="18" t="n">
        <v>111861</v>
      </c>
      <c r="G2272" s="18" t="n">
        <v>112150</v>
      </c>
      <c r="H2272" s="18" t="n">
        <v>115946</v>
      </c>
      <c r="I2272" s="18" t="n">
        <v>116837</v>
      </c>
      <c r="J2272" s="19" t="n">
        <v>111453.8576305747</v>
      </c>
      <c r="K2272" s="35" t="n">
        <v>-0.02330862210161044</v>
      </c>
    </row>
    <row r="2273">
      <c r="A2273" s="36" t="inlineStr">
        <is>
          <t>AGA SPK-tilskudd</t>
        </is>
      </c>
      <c r="B2273" s="36" t="inlineStr">
        <is>
          <t>Region Vest</t>
        </is>
      </c>
      <c r="C2273" s="36" t="inlineStr">
        <is>
          <t>Stavanger ungdomssenter - avd. Våland</t>
        </is>
      </c>
      <c r="D2273" s="26" t="n">
        <v>47609</v>
      </c>
      <c r="E2273" s="26" t="n">
        <v>53740</v>
      </c>
      <c r="F2273" s="26" t="n">
        <v>99621</v>
      </c>
      <c r="G2273" s="26" t="n"/>
      <c r="H2273" s="26" t="n"/>
      <c r="I2273" s="26" t="n">
        <v>86898</v>
      </c>
      <c r="J2273" s="19" t="n">
        <v>110544.7367252657</v>
      </c>
      <c r="K2273" s="37" t="n">
        <v>0.1278832428539562</v>
      </c>
    </row>
    <row r="2274">
      <c r="A2274" s="34" t="inlineStr">
        <is>
          <t>AGA SPK-tilskudd</t>
        </is>
      </c>
      <c r="B2274" s="34" t="inlineStr">
        <is>
          <t>Region Vest</t>
        </is>
      </c>
      <c r="C2274" s="34" t="inlineStr">
        <is>
          <t>Stavanger ungdomssenter - avd. Våland</t>
        </is>
      </c>
      <c r="D2274" s="18" t="n">
        <v>30124</v>
      </c>
      <c r="E2274" s="18" t="n">
        <v>20600</v>
      </c>
      <c r="F2274" s="18" t="n">
        <v>64335</v>
      </c>
      <c r="G2274" s="18" t="n">
        <v>54112</v>
      </c>
      <c r="H2274" s="18" t="n">
        <v>59884</v>
      </c>
      <c r="I2274" s="18" t="n">
        <v>47896</v>
      </c>
      <c r="J2274" s="19" t="n">
        <v>57657.24509213985</v>
      </c>
      <c r="K2274" s="35" t="n">
        <v>0.09717858220176345</v>
      </c>
    </row>
    <row r="2275">
      <c r="A2275" s="36" t="inlineStr">
        <is>
          <t>AGA SPK-tilskudd</t>
        </is>
      </c>
      <c r="B2275" s="36" t="inlineStr">
        <is>
          <t>Region Vest</t>
        </is>
      </c>
      <c r="C2275" s="36" t="inlineStr">
        <is>
          <t>Stavanger ungdomssenter - avd. Våland</t>
        </is>
      </c>
      <c r="D2275" s="26" t="n">
        <v>34500</v>
      </c>
      <c r="E2275" s="26" t="n">
        <v>38239</v>
      </c>
      <c r="F2275" s="26" t="n">
        <v>41514</v>
      </c>
      <c r="G2275" s="26" t="n">
        <v>54560</v>
      </c>
      <c r="H2275" s="26" t="n">
        <v>67016</v>
      </c>
      <c r="I2275" s="26" t="n">
        <v>83763</v>
      </c>
      <c r="J2275" s="19" t="n">
        <v>119438.8119015736</v>
      </c>
      <c r="K2275" s="37" t="n">
        <v>0.1941162973591213</v>
      </c>
    </row>
    <row r="2276">
      <c r="A2276" s="34" t="inlineStr">
        <is>
          <t>AGA SPK-tilskudd</t>
        </is>
      </c>
      <c r="B2276" s="34" t="inlineStr">
        <is>
          <t>Region Vest</t>
        </is>
      </c>
      <c r="C2276" s="34" t="inlineStr">
        <is>
          <t>Stavanger ungdomssenter - avd. Våland</t>
        </is>
      </c>
      <c r="D2276" s="18" t="n">
        <v>1900</v>
      </c>
      <c r="E2276" s="18" t="n"/>
      <c r="F2276" s="18" t="n">
        <v>1849</v>
      </c>
      <c r="G2276" s="18" t="n"/>
      <c r="H2276" s="18" t="n"/>
      <c r="I2276" s="18" t="n"/>
      <c r="J2276" s="19" t="n">
        <v>0</v>
      </c>
      <c r="K2276" s="35" t="n">
        <v>0.065</v>
      </c>
    </row>
    <row r="2277">
      <c r="A2277" s="36" t="inlineStr">
        <is>
          <t>AGA SPK-tilskudd</t>
        </is>
      </c>
      <c r="B2277" s="36" t="inlineStr">
        <is>
          <t>Region Vest</t>
        </is>
      </c>
      <c r="C2277" s="36" t="inlineStr">
        <is>
          <t>Stavanger ungdomssenter - avd. Våland</t>
        </is>
      </c>
      <c r="D2277" s="26" t="n">
        <v>518</v>
      </c>
      <c r="E2277" s="26" t="n">
        <v>469</v>
      </c>
      <c r="F2277" s="26" t="n">
        <v>5539</v>
      </c>
      <c r="G2277" s="26" t="n">
        <v>4647</v>
      </c>
      <c r="H2277" s="26" t="n">
        <v>1898</v>
      </c>
      <c r="I2277" s="26" t="n">
        <v>2404</v>
      </c>
      <c r="J2277" s="19" t="n">
        <v>3756.25</v>
      </c>
      <c r="K2277" s="37" t="n">
        <v>0.25</v>
      </c>
    </row>
    <row r="2278">
      <c r="A2278" s="34" t="inlineStr">
        <is>
          <t>AGA SPK-tilskudd</t>
        </is>
      </c>
      <c r="B2278" s="34" t="inlineStr">
        <is>
          <t>Region Vest</t>
        </is>
      </c>
      <c r="C2278" s="34" t="inlineStr">
        <is>
          <t>Stavanger ungdomssenter - avd. Våland</t>
        </is>
      </c>
      <c r="D2278" s="18" t="n">
        <v>1042</v>
      </c>
      <c r="E2278" s="18" t="n"/>
      <c r="F2278" s="18" t="n">
        <v>6710</v>
      </c>
      <c r="G2278" s="18" t="n">
        <v>2737</v>
      </c>
      <c r="H2278" s="18" t="n">
        <v>2359</v>
      </c>
      <c r="I2278" s="18" t="n">
        <v>3404</v>
      </c>
      <c r="J2278" s="19" t="n">
        <v>5318.75</v>
      </c>
      <c r="K2278" s="35" t="n">
        <v>0.25</v>
      </c>
    </row>
    <row r="2279">
      <c r="A2279" s="36" t="inlineStr">
        <is>
          <t>AGA SPK-tilskudd</t>
        </is>
      </c>
      <c r="B2279" s="36" t="inlineStr">
        <is>
          <t>Region Vest</t>
        </is>
      </c>
      <c r="C2279" s="36" t="inlineStr">
        <is>
          <t>Stavanger ungdomssenter - avd. Våland</t>
        </is>
      </c>
      <c r="D2279" s="26" t="n"/>
      <c r="E2279" s="26" t="n"/>
      <c r="F2279" s="26" t="n">
        <v>6660</v>
      </c>
      <c r="G2279" s="26" t="n"/>
      <c r="H2279" s="26" t="n"/>
      <c r="I2279" s="26" t="n">
        <v>8591</v>
      </c>
      <c r="J2279" s="19" t="n">
        <v>9744.126974999999</v>
      </c>
      <c r="K2279" s="37" t="n">
        <v>0.065</v>
      </c>
    </row>
    <row r="2280">
      <c r="A2280" s="34" t="inlineStr">
        <is>
          <t>AGA SPK-tilskudd</t>
        </is>
      </c>
      <c r="B2280" s="34" t="inlineStr">
        <is>
          <t>Region Vest</t>
        </is>
      </c>
      <c r="C2280" s="34" t="inlineStr">
        <is>
          <t>Stavanger ungdomssenter - avd. Våland</t>
        </is>
      </c>
      <c r="D2280" s="18" t="n">
        <v>8703</v>
      </c>
      <c r="E2280" s="18" t="n">
        <v>9331</v>
      </c>
      <c r="F2280" s="18" t="n">
        <v>3990</v>
      </c>
      <c r="G2280" s="18" t="n">
        <v>2992</v>
      </c>
      <c r="H2280" s="18" t="n">
        <v>1367</v>
      </c>
      <c r="I2280" s="18" t="n">
        <v>3192</v>
      </c>
      <c r="J2280" s="19" t="n">
        <v>2137.078338647175</v>
      </c>
      <c r="K2280" s="35" t="n">
        <v>-0.1817636296756627</v>
      </c>
    </row>
    <row r="2281">
      <c r="A2281" s="36" t="inlineStr">
        <is>
          <t>AGA SPK-tilskudd</t>
        </is>
      </c>
      <c r="B2281" s="36" t="inlineStr">
        <is>
          <t>Region Vest</t>
        </is>
      </c>
      <c r="C2281" s="36" t="inlineStr">
        <is>
          <t>Stavanger ungdomssenter - avd. Våland</t>
        </is>
      </c>
      <c r="D2281" s="26" t="n">
        <v>308</v>
      </c>
      <c r="E2281" s="26" t="n">
        <v>71</v>
      </c>
      <c r="F2281" s="26" t="n">
        <v>4231</v>
      </c>
      <c r="G2281" s="26" t="n">
        <v>3360</v>
      </c>
      <c r="H2281" s="26" t="n">
        <v>1690</v>
      </c>
      <c r="I2281" s="26" t="n">
        <v>8021</v>
      </c>
      <c r="J2281" s="19" t="n">
        <v>12532.8125</v>
      </c>
      <c r="K2281" s="37" t="n">
        <v>0.25</v>
      </c>
    </row>
    <row r="2282">
      <c r="A2282" s="34" t="inlineStr">
        <is>
          <t>AGA SPK-tilskudd</t>
        </is>
      </c>
      <c r="B2282" s="34" t="inlineStr">
        <is>
          <t>Region Vest</t>
        </is>
      </c>
      <c r="C2282" s="34" t="inlineStr">
        <is>
          <t>Stavanger ungdomssenter - avd. Våland</t>
        </is>
      </c>
      <c r="D2282" s="18" t="n"/>
      <c r="E2282" s="18" t="n">
        <v>2940</v>
      </c>
      <c r="F2282" s="18" t="n"/>
      <c r="G2282" s="18" t="n"/>
      <c r="H2282" s="18" t="n"/>
      <c r="I2282" s="18" t="n"/>
      <c r="J2282" s="19" t="n">
        <v>0</v>
      </c>
      <c r="K2282" s="35" t="n">
        <v>0.065</v>
      </c>
    </row>
    <row r="2283">
      <c r="A2283" s="36" t="inlineStr">
        <is>
          <t>AGA SPK-tilskudd</t>
        </is>
      </c>
      <c r="B2283" s="36" t="inlineStr">
        <is>
          <t>Region Vest</t>
        </is>
      </c>
      <c r="C2283" s="36" t="inlineStr">
        <is>
          <t>Stavanger ungdomssenter - avd. Våland</t>
        </is>
      </c>
      <c r="D2283" s="26" t="n">
        <v>3000</v>
      </c>
      <c r="E2283" s="26" t="n">
        <v>1542</v>
      </c>
      <c r="F2283" s="26" t="n"/>
      <c r="G2283" s="26" t="n"/>
      <c r="H2283" s="26" t="n"/>
      <c r="I2283" s="26" t="n"/>
      <c r="J2283" s="19" t="n">
        <v>0</v>
      </c>
      <c r="K2283" s="37" t="n">
        <v>0.065</v>
      </c>
    </row>
    <row r="2284">
      <c r="A2284" s="34" t="inlineStr">
        <is>
          <t>AGA SPK-tilskudd</t>
        </is>
      </c>
      <c r="B2284" s="34" t="inlineStr">
        <is>
          <t>Region Vest</t>
        </is>
      </c>
      <c r="C2284" s="34" t="inlineStr">
        <is>
          <t>Stavanger ungdomssenter - avd. Våland</t>
        </is>
      </c>
      <c r="D2284" s="18" t="n">
        <v>1104</v>
      </c>
      <c r="E2284" s="18" t="n">
        <v>4569</v>
      </c>
      <c r="F2284" s="18" t="n">
        <v>5387</v>
      </c>
      <c r="G2284" s="18" t="n">
        <v>9659</v>
      </c>
      <c r="H2284" s="18" t="n">
        <v>12528</v>
      </c>
      <c r="I2284" s="18" t="n">
        <v>8152</v>
      </c>
      <c r="J2284" s="19" t="n">
        <v>12737.5</v>
      </c>
      <c r="K2284" s="35" t="n">
        <v>0.25</v>
      </c>
    </row>
    <row r="2285">
      <c r="A2285" s="36" t="inlineStr">
        <is>
          <t>AGA SPK-tilskudd</t>
        </is>
      </c>
      <c r="B2285" s="36" t="inlineStr">
        <is>
          <t>Region Vest</t>
        </is>
      </c>
      <c r="C2285" s="36" t="inlineStr">
        <is>
          <t>Stavanger ungdomssenter - avd. Våland</t>
        </is>
      </c>
      <c r="D2285" s="26" t="n">
        <v>-150609</v>
      </c>
      <c r="E2285" s="26" t="n">
        <v>-15119</v>
      </c>
      <c r="F2285" s="26" t="n"/>
      <c r="G2285" s="26" t="n"/>
      <c r="H2285" s="26" t="n"/>
      <c r="I2285" s="26" t="n"/>
      <c r="J2285" s="19" t="n">
        <v>0</v>
      </c>
      <c r="K2285" s="37" t="n">
        <v>0.065</v>
      </c>
    </row>
    <row r="2286">
      <c r="A2286" s="34" t="inlineStr">
        <is>
          <t>AGA SPK-tilskudd</t>
        </is>
      </c>
      <c r="B2286" s="34" t="inlineStr">
        <is>
          <t>Region Vest</t>
        </is>
      </c>
      <c r="C2286" s="34" t="inlineStr">
        <is>
          <t>Stavanger ungdomssenter - avd. Våland</t>
        </is>
      </c>
      <c r="D2286" s="18" t="n">
        <v>-289688</v>
      </c>
      <c r="E2286" s="18" t="n">
        <v>-933293</v>
      </c>
      <c r="F2286" s="18" t="n">
        <v>-1606452</v>
      </c>
      <c r="G2286" s="18" t="n">
        <v>-486913</v>
      </c>
      <c r="H2286" s="18" t="n">
        <v>-453337</v>
      </c>
      <c r="I2286" s="18" t="n">
        <v>-279562</v>
      </c>
      <c r="J2286" s="19" t="n">
        <v>-317086.20945</v>
      </c>
      <c r="K2286" s="35" t="n">
        <v>0.065</v>
      </c>
    </row>
    <row r="2287">
      <c r="A2287" s="36" t="inlineStr">
        <is>
          <t>AGA SPK-tilskudd</t>
        </is>
      </c>
      <c r="B2287" s="36" t="inlineStr">
        <is>
          <t>Region Vest</t>
        </is>
      </c>
      <c r="C2287" s="36" t="inlineStr">
        <is>
          <t>Sudmannske senter for foreldre og barn</t>
        </is>
      </c>
      <c r="D2287" s="26" t="n">
        <v>500</v>
      </c>
      <c r="E2287" s="26" t="n"/>
      <c r="F2287" s="26" t="n"/>
      <c r="G2287" s="26" t="n"/>
      <c r="H2287" s="26" t="n"/>
      <c r="I2287" s="26" t="n"/>
      <c r="J2287" s="19" t="n">
        <v>0</v>
      </c>
      <c r="K2287" s="37" t="n">
        <v>0.065</v>
      </c>
    </row>
    <row r="2288">
      <c r="A2288" s="34" t="inlineStr">
        <is>
          <t>AGA SPK-tilskudd</t>
        </is>
      </c>
      <c r="B2288" s="34" t="inlineStr">
        <is>
          <t>Region Vest</t>
        </is>
      </c>
      <c r="C2288" s="34" t="inlineStr">
        <is>
          <t>TFCO Bergen, avdeling fosterhjem</t>
        </is>
      </c>
      <c r="D2288" s="18" t="n"/>
      <c r="E2288" s="18" t="n"/>
      <c r="F2288" s="18" t="n">
        <v>27219</v>
      </c>
      <c r="G2288" s="18" t="n">
        <v>30043</v>
      </c>
      <c r="H2288" s="18" t="n"/>
      <c r="I2288" s="18" t="n"/>
      <c r="J2288" s="19" t="n">
        <v>0</v>
      </c>
      <c r="K2288" s="35" t="n">
        <v>0.065</v>
      </c>
    </row>
    <row r="2289">
      <c r="A2289" s="36" t="inlineStr">
        <is>
          <t>AGA SPK-tilskudd</t>
        </is>
      </c>
      <c r="B2289" s="36" t="inlineStr">
        <is>
          <t>Region Vest</t>
        </is>
      </c>
      <c r="C2289" s="36" t="inlineStr">
        <is>
          <t>TFCO Bergen, avdeling fosterhjem</t>
        </is>
      </c>
      <c r="D2289" s="26" t="n"/>
      <c r="E2289" s="26" t="n"/>
      <c r="F2289" s="26" t="n">
        <v>82052</v>
      </c>
      <c r="G2289" s="26" t="n">
        <v>75156</v>
      </c>
      <c r="H2289" s="26" t="n"/>
      <c r="I2289" s="26" t="n"/>
      <c r="J2289" s="19" t="n">
        <v>0</v>
      </c>
      <c r="K2289" s="37" t="n">
        <v>0.065</v>
      </c>
    </row>
    <row r="2290">
      <c r="A2290" s="34" t="inlineStr">
        <is>
          <t>AGA SPK-tilskudd</t>
        </is>
      </c>
      <c r="B2290" s="34" t="inlineStr">
        <is>
          <t>Region Vest</t>
        </is>
      </c>
      <c r="C2290" s="34" t="inlineStr">
        <is>
          <t>TFCO Bergen, avdeling fosterhjem</t>
        </is>
      </c>
      <c r="D2290" s="18" t="n"/>
      <c r="E2290" s="18" t="n"/>
      <c r="F2290" s="18" t="n">
        <v>4499</v>
      </c>
      <c r="G2290" s="18" t="n">
        <v>5310</v>
      </c>
      <c r="H2290" s="18" t="n"/>
      <c r="I2290" s="18" t="n"/>
      <c r="J2290" s="19" t="n">
        <v>0</v>
      </c>
      <c r="K2290" s="35" t="n">
        <v>0.065</v>
      </c>
    </row>
    <row r="2291">
      <c r="A2291" s="36" t="inlineStr">
        <is>
          <t>AGA SPK-tilskudd</t>
        </is>
      </c>
      <c r="B2291" s="36" t="inlineStr">
        <is>
          <t>Region Vest</t>
        </is>
      </c>
      <c r="C2291" s="36" t="inlineStr">
        <is>
          <t>TFCO Bergen, avdeling fosterhjem</t>
        </is>
      </c>
      <c r="D2291" s="26" t="n"/>
      <c r="E2291" s="26" t="n"/>
      <c r="F2291" s="26" t="n">
        <v>133841</v>
      </c>
      <c r="G2291" s="26" t="n">
        <v>530351</v>
      </c>
      <c r="H2291" s="26" t="n"/>
      <c r="I2291" s="26" t="n"/>
      <c r="J2291" s="19" t="n">
        <v>0</v>
      </c>
      <c r="K2291" s="37" t="n">
        <v>0.065</v>
      </c>
    </row>
    <row r="2292">
      <c r="A2292" s="34" t="inlineStr">
        <is>
          <t>AGA SPK-tilskudd</t>
        </is>
      </c>
      <c r="B2292" s="34" t="inlineStr">
        <is>
          <t>Region Vest</t>
        </is>
      </c>
      <c r="C2292" s="34" t="inlineStr">
        <is>
          <t>TFCO Bergen, avdeling fosterhjem</t>
        </is>
      </c>
      <c r="D2292" s="18" t="n"/>
      <c r="E2292" s="18" t="n"/>
      <c r="F2292" s="18" t="n">
        <v>208192</v>
      </c>
      <c r="G2292" s="18" t="n">
        <v>478469</v>
      </c>
      <c r="H2292" s="18" t="n"/>
      <c r="I2292" s="18" t="n"/>
      <c r="J2292" s="19" t="n">
        <v>0</v>
      </c>
      <c r="K2292" s="35" t="n">
        <v>0.065</v>
      </c>
    </row>
    <row r="2293">
      <c r="A2293" s="36" t="inlineStr">
        <is>
          <t>AGA SPK-tilskudd</t>
        </is>
      </c>
      <c r="B2293" s="36" t="inlineStr">
        <is>
          <t>Region Vest</t>
        </is>
      </c>
      <c r="C2293" s="36" t="inlineStr">
        <is>
          <t>TFCO Bergen, avdeling fosterhjem</t>
        </is>
      </c>
      <c r="D2293" s="26" t="n"/>
      <c r="E2293" s="26" t="n"/>
      <c r="F2293" s="26" t="n">
        <v>5160</v>
      </c>
      <c r="G2293" s="26" t="n">
        <v>29354</v>
      </c>
      <c r="H2293" s="26" t="n"/>
      <c r="I2293" s="26" t="n"/>
      <c r="J2293" s="19" t="n">
        <v>0</v>
      </c>
      <c r="K2293" s="37" t="n">
        <v>0.065</v>
      </c>
    </row>
    <row r="2294">
      <c r="A2294" s="34" t="inlineStr">
        <is>
          <t>AGA SPK-tilskudd</t>
        </is>
      </c>
      <c r="B2294" s="34" t="inlineStr">
        <is>
          <t>Region Vest</t>
        </is>
      </c>
      <c r="C2294" s="34" t="inlineStr">
        <is>
          <t>TFCO Bergen, avdeling fosterhjem</t>
        </is>
      </c>
      <c r="D2294" s="18" t="n"/>
      <c r="E2294" s="18" t="n"/>
      <c r="F2294" s="18" t="n">
        <v>11250</v>
      </c>
      <c r="G2294" s="18" t="n">
        <v>4287</v>
      </c>
      <c r="H2294" s="18" t="n"/>
      <c r="I2294" s="18" t="n"/>
      <c r="J2294" s="19" t="n">
        <v>0</v>
      </c>
      <c r="K2294" s="35" t="n">
        <v>0.065</v>
      </c>
    </row>
    <row r="2295">
      <c r="A2295" s="36" t="inlineStr">
        <is>
          <t>AGA SPK-tilskudd</t>
        </is>
      </c>
      <c r="B2295" s="36" t="inlineStr">
        <is>
          <t>Region Vest</t>
        </is>
      </c>
      <c r="C2295" s="36" t="inlineStr">
        <is>
          <t>TFCO Bergen, avdeling fosterhjem</t>
        </is>
      </c>
      <c r="D2295" s="26" t="n"/>
      <c r="E2295" s="26" t="n"/>
      <c r="F2295" s="26" t="n">
        <v>572</v>
      </c>
      <c r="G2295" s="26" t="n">
        <v>2775</v>
      </c>
      <c r="H2295" s="26" t="n"/>
      <c r="I2295" s="26" t="n"/>
      <c r="J2295" s="19" t="n">
        <v>0</v>
      </c>
      <c r="K2295" s="37" t="n">
        <v>0.065</v>
      </c>
    </row>
    <row r="2296">
      <c r="A2296" s="34" t="inlineStr">
        <is>
          <t>AGA SPK-tilskudd</t>
        </is>
      </c>
      <c r="B2296" s="34" t="inlineStr">
        <is>
          <t>Region Vest</t>
        </is>
      </c>
      <c r="C2296" s="34" t="inlineStr">
        <is>
          <t>TFCO Bergen, avdeling fosterhjem</t>
        </is>
      </c>
      <c r="D2296" s="18" t="n"/>
      <c r="E2296" s="18" t="n"/>
      <c r="F2296" s="18" t="n">
        <v>909</v>
      </c>
      <c r="G2296" s="18" t="n">
        <v>924</v>
      </c>
      <c r="H2296" s="18" t="n"/>
      <c r="I2296" s="18" t="n"/>
      <c r="J2296" s="19" t="n">
        <v>0</v>
      </c>
      <c r="K2296" s="35" t="n">
        <v>0.065</v>
      </c>
    </row>
    <row r="2297">
      <c r="A2297" s="36" t="inlineStr">
        <is>
          <t>AGA SPK-tilskudd</t>
        </is>
      </c>
      <c r="B2297" s="36" t="inlineStr">
        <is>
          <t>Region Vest</t>
        </is>
      </c>
      <c r="C2297" s="36" t="inlineStr">
        <is>
          <t>TFCO Bergen, avdeling fosterhjem</t>
        </is>
      </c>
      <c r="D2297" s="26" t="n"/>
      <c r="E2297" s="26" t="n"/>
      <c r="F2297" s="26" t="n">
        <v>8411</v>
      </c>
      <c r="G2297" s="26" t="n">
        <v>8253</v>
      </c>
      <c r="H2297" s="26" t="n"/>
      <c r="I2297" s="26" t="n"/>
      <c r="J2297" s="19" t="n">
        <v>0</v>
      </c>
      <c r="K2297" s="37" t="n">
        <v>0.065</v>
      </c>
    </row>
    <row r="2298">
      <c r="A2298" s="34" t="inlineStr">
        <is>
          <t>AGA SPK-tilskudd</t>
        </is>
      </c>
      <c r="B2298" s="34" t="inlineStr">
        <is>
          <t>Region Vest</t>
        </is>
      </c>
      <c r="C2298" s="34" t="inlineStr">
        <is>
          <t>TFCO Bergen, avdeling fosterhjem</t>
        </is>
      </c>
      <c r="D2298" s="18" t="n"/>
      <c r="E2298" s="18" t="n"/>
      <c r="F2298" s="18" t="n">
        <v>10000</v>
      </c>
      <c r="G2298" s="18" t="n">
        <v>59142</v>
      </c>
      <c r="H2298" s="18" t="n"/>
      <c r="I2298" s="18" t="n"/>
      <c r="J2298" s="19" t="n">
        <v>0</v>
      </c>
      <c r="K2298" s="35" t="n">
        <v>0.065</v>
      </c>
    </row>
    <row r="2299">
      <c r="A2299" s="36" t="inlineStr">
        <is>
          <t>AGA SPK-tilskudd</t>
        </is>
      </c>
      <c r="B2299" s="36" t="inlineStr">
        <is>
          <t>Region Vest</t>
        </is>
      </c>
      <c r="C2299" s="36" t="inlineStr">
        <is>
          <t>TFCO Bergen, avdeling fosterhjem</t>
        </is>
      </c>
      <c r="D2299" s="26" t="n"/>
      <c r="E2299" s="26" t="n"/>
      <c r="F2299" s="26" t="n">
        <v>1898</v>
      </c>
      <c r="G2299" s="26" t="n"/>
      <c r="H2299" s="26" t="n"/>
      <c r="I2299" s="26" t="n"/>
      <c r="J2299" s="19" t="n">
        <v>0</v>
      </c>
      <c r="K2299" s="37" t="n">
        <v>0.065</v>
      </c>
    </row>
    <row r="2300">
      <c r="A2300" s="34" t="inlineStr">
        <is>
          <t>AGA SPK-tilskudd</t>
        </is>
      </c>
      <c r="B2300" s="34" t="inlineStr">
        <is>
          <t>Region Vest</t>
        </is>
      </c>
      <c r="C2300" s="34" t="inlineStr">
        <is>
          <t>TFCO Bergen, avdeling fosterhjem</t>
        </is>
      </c>
      <c r="D2300" s="18" t="n"/>
      <c r="E2300" s="18" t="n"/>
      <c r="F2300" s="18" t="n">
        <v>16080</v>
      </c>
      <c r="G2300" s="18" t="n">
        <v>55154</v>
      </c>
      <c r="H2300" s="18" t="n"/>
      <c r="I2300" s="18" t="n"/>
      <c r="J2300" s="19" t="n">
        <v>0</v>
      </c>
      <c r="K2300" s="35" t="n">
        <v>0.065</v>
      </c>
    </row>
    <row r="2301">
      <c r="A2301" s="36" t="inlineStr">
        <is>
          <t>AGA SPK-tilskudd</t>
        </is>
      </c>
      <c r="B2301" s="36" t="inlineStr">
        <is>
          <t>Region Vest</t>
        </is>
      </c>
      <c r="C2301" s="36" t="inlineStr">
        <is>
          <t>TFCO Bergen, avdeling fosterhjem</t>
        </is>
      </c>
      <c r="D2301" s="26" t="n"/>
      <c r="E2301" s="26" t="n"/>
      <c r="F2301" s="26" t="n">
        <v>2979</v>
      </c>
      <c r="G2301" s="26" t="n"/>
      <c r="H2301" s="26" t="n"/>
      <c r="I2301" s="26" t="n"/>
      <c r="J2301" s="19" t="n">
        <v>0</v>
      </c>
      <c r="K2301" s="37" t="n">
        <v>0.065</v>
      </c>
    </row>
    <row r="2302">
      <c r="A2302" s="34" t="inlineStr">
        <is>
          <t>AGA SPK-tilskudd</t>
        </is>
      </c>
      <c r="B2302" s="34" t="inlineStr">
        <is>
          <t>Region Vest</t>
        </is>
      </c>
      <c r="C2302" s="34" t="inlineStr">
        <is>
          <t>TFCO Bergen, avdeling fosterhjem</t>
        </is>
      </c>
      <c r="D2302" s="18" t="n"/>
      <c r="E2302" s="18" t="n"/>
      <c r="F2302" s="18" t="n"/>
      <c r="G2302" s="18" t="n">
        <v>-2003</v>
      </c>
      <c r="H2302" s="18" t="n"/>
      <c r="I2302" s="18" t="n"/>
      <c r="J2302" s="19" t="n">
        <v>0</v>
      </c>
      <c r="K2302" s="35" t="n">
        <v>0.065</v>
      </c>
    </row>
    <row r="2303">
      <c r="A2303" s="36" t="inlineStr">
        <is>
          <t>AGA SPK-tilskudd</t>
        </is>
      </c>
      <c r="B2303" s="36" t="inlineStr">
        <is>
          <t>Region Vest</t>
        </is>
      </c>
      <c r="C2303" s="36" t="inlineStr">
        <is>
          <t>TFCO Bergen, avdeling fosterhjem</t>
        </is>
      </c>
      <c r="D2303" s="26" t="n"/>
      <c r="E2303" s="26" t="n"/>
      <c r="F2303" s="26" t="n">
        <v>-93808</v>
      </c>
      <c r="G2303" s="26" t="n">
        <v>-406800</v>
      </c>
      <c r="H2303" s="26" t="n">
        <v>-7757</v>
      </c>
      <c r="I2303" s="26" t="n"/>
      <c r="J2303" s="19" t="n">
        <v>0</v>
      </c>
      <c r="K2303" s="37" t="n">
        <v>0.065</v>
      </c>
    </row>
    <row r="2304">
      <c r="A2304" s="34" t="inlineStr">
        <is>
          <t>AGA SPK-tilskudd</t>
        </is>
      </c>
      <c r="B2304" s="34" t="inlineStr">
        <is>
          <t>Region Vest</t>
        </is>
      </c>
      <c r="C2304" s="34" t="inlineStr">
        <is>
          <t>TFCO Stavanger</t>
        </is>
      </c>
      <c r="D2304" s="18" t="n"/>
      <c r="E2304" s="18" t="n"/>
      <c r="F2304" s="18" t="n">
        <v>2069</v>
      </c>
      <c r="G2304" s="18" t="n">
        <v>1708</v>
      </c>
      <c r="H2304" s="18" t="n"/>
      <c r="I2304" s="18" t="n"/>
      <c r="J2304" s="19" t="n">
        <v>0</v>
      </c>
      <c r="K2304" s="35" t="n">
        <v>0.065</v>
      </c>
    </row>
    <row r="2305">
      <c r="A2305" s="36" t="inlineStr">
        <is>
          <t>AGA SPK-tilskudd</t>
        </is>
      </c>
      <c r="B2305" s="36" t="inlineStr">
        <is>
          <t>Region Vest</t>
        </is>
      </c>
      <c r="C2305" s="36" t="inlineStr">
        <is>
          <t>TFCO Stavanger</t>
        </is>
      </c>
      <c r="D2305" s="26" t="n"/>
      <c r="E2305" s="26" t="n"/>
      <c r="F2305" s="26" t="n">
        <v>2516</v>
      </c>
      <c r="G2305" s="26" t="n">
        <v>24638</v>
      </c>
      <c r="H2305" s="26" t="n"/>
      <c r="I2305" s="26" t="n"/>
      <c r="J2305" s="19" t="n">
        <v>0</v>
      </c>
      <c r="K2305" s="37" t="n">
        <v>0.065</v>
      </c>
    </row>
    <row r="2306">
      <c r="A2306" s="34" t="inlineStr">
        <is>
          <t>AGA SPK-tilskudd</t>
        </is>
      </c>
      <c r="B2306" s="34" t="inlineStr">
        <is>
          <t>Region Vest</t>
        </is>
      </c>
      <c r="C2306" s="34" t="inlineStr">
        <is>
          <t>TFCO Stavanger</t>
        </is>
      </c>
      <c r="D2306" s="18" t="n"/>
      <c r="E2306" s="18" t="n"/>
      <c r="F2306" s="18" t="n">
        <v>205</v>
      </c>
      <c r="G2306" s="18" t="n">
        <v>233</v>
      </c>
      <c r="H2306" s="18" t="n"/>
      <c r="I2306" s="18" t="n"/>
      <c r="J2306" s="19" t="n">
        <v>0</v>
      </c>
      <c r="K2306" s="35" t="n">
        <v>0.065</v>
      </c>
    </row>
    <row r="2307">
      <c r="A2307" s="36" t="inlineStr">
        <is>
          <t>AGA SPK-tilskudd</t>
        </is>
      </c>
      <c r="B2307" s="36" t="inlineStr">
        <is>
          <t>Region Vest</t>
        </is>
      </c>
      <c r="C2307" s="36" t="inlineStr">
        <is>
          <t>TFCO Stavanger</t>
        </is>
      </c>
      <c r="D2307" s="26" t="n"/>
      <c r="E2307" s="26" t="n"/>
      <c r="F2307" s="26" t="n">
        <v>45628</v>
      </c>
      <c r="G2307" s="26" t="n">
        <v>46685</v>
      </c>
      <c r="H2307" s="26" t="n"/>
      <c r="I2307" s="26" t="n"/>
      <c r="J2307" s="19" t="n">
        <v>0</v>
      </c>
      <c r="K2307" s="37" t="n">
        <v>0.065</v>
      </c>
    </row>
    <row r="2308">
      <c r="A2308" s="34" t="inlineStr">
        <is>
          <t>AGA SPK-tilskudd</t>
        </is>
      </c>
      <c r="B2308" s="34" t="inlineStr">
        <is>
          <t>Region Vest</t>
        </is>
      </c>
      <c r="C2308" s="34" t="inlineStr">
        <is>
          <t>TFCO Stavanger</t>
        </is>
      </c>
      <c r="D2308" s="18" t="n"/>
      <c r="E2308" s="18" t="n"/>
      <c r="F2308" s="18" t="n"/>
      <c r="G2308" s="18" t="n">
        <v>123</v>
      </c>
      <c r="H2308" s="18" t="n"/>
      <c r="I2308" s="18" t="n"/>
      <c r="J2308" s="19" t="n">
        <v>0</v>
      </c>
      <c r="K2308" s="35" t="n">
        <v>0.065</v>
      </c>
    </row>
    <row r="2309">
      <c r="A2309" s="36" t="inlineStr">
        <is>
          <t>AGA SPK-tilskudd</t>
        </is>
      </c>
      <c r="B2309" s="36" t="inlineStr">
        <is>
          <t>Region Vest</t>
        </is>
      </c>
      <c r="C2309" s="36" t="inlineStr">
        <is>
          <t>TFCO Stavanger</t>
        </is>
      </c>
      <c r="D2309" s="26" t="n"/>
      <c r="E2309" s="26" t="n"/>
      <c r="F2309" s="26" t="n">
        <v>5094</v>
      </c>
      <c r="G2309" s="26" t="n">
        <v>18614</v>
      </c>
      <c r="H2309" s="26" t="n"/>
      <c r="I2309" s="26" t="n"/>
      <c r="J2309" s="19" t="n">
        <v>0</v>
      </c>
      <c r="K2309" s="37" t="n">
        <v>0.065</v>
      </c>
    </row>
    <row r="2310">
      <c r="A2310" s="34" t="inlineStr">
        <is>
          <t>AGA SPK-tilskudd</t>
        </is>
      </c>
      <c r="B2310" s="34" t="inlineStr">
        <is>
          <t>Region Vest</t>
        </is>
      </c>
      <c r="C2310" s="34" t="inlineStr">
        <is>
          <t>TFCO Stavanger</t>
        </is>
      </c>
      <c r="D2310" s="18" t="n"/>
      <c r="E2310" s="18" t="n"/>
      <c r="F2310" s="18" t="n">
        <v>1009</v>
      </c>
      <c r="G2310" s="18" t="n">
        <v>4335</v>
      </c>
      <c r="H2310" s="18" t="n"/>
      <c r="I2310" s="18" t="n"/>
      <c r="J2310" s="19" t="n">
        <v>0</v>
      </c>
      <c r="K2310" s="35" t="n">
        <v>0.065</v>
      </c>
    </row>
    <row r="2311">
      <c r="A2311" s="36" t="inlineStr">
        <is>
          <t>AGA SPK-tilskudd</t>
        </is>
      </c>
      <c r="B2311" s="36" t="inlineStr">
        <is>
          <t>Region Vest</t>
        </is>
      </c>
      <c r="C2311" s="36" t="inlineStr">
        <is>
          <t>TFCO Stavanger</t>
        </is>
      </c>
      <c r="D2311" s="26" t="n"/>
      <c r="E2311" s="26" t="n"/>
      <c r="F2311" s="26" t="n"/>
      <c r="G2311" s="26" t="n">
        <v>2061</v>
      </c>
      <c r="H2311" s="26" t="n"/>
      <c r="I2311" s="26" t="n"/>
      <c r="J2311" s="19" t="n">
        <v>0</v>
      </c>
      <c r="K2311" s="37" t="n">
        <v>0.065</v>
      </c>
    </row>
    <row r="2312">
      <c r="A2312" s="34" t="inlineStr">
        <is>
          <t>AGA SPK-tilskudd</t>
        </is>
      </c>
      <c r="B2312" s="34" t="inlineStr">
        <is>
          <t>Region Vest</t>
        </is>
      </c>
      <c r="C2312" s="34" t="inlineStr">
        <is>
          <t>TFCO Stavanger</t>
        </is>
      </c>
      <c r="D2312" s="18" t="n"/>
      <c r="E2312" s="18" t="n"/>
      <c r="F2312" s="18" t="n">
        <v>1573</v>
      </c>
      <c r="G2312" s="18" t="n">
        <v>11726</v>
      </c>
      <c r="H2312" s="18" t="n"/>
      <c r="I2312" s="18" t="n"/>
      <c r="J2312" s="19" t="n">
        <v>0</v>
      </c>
      <c r="K2312" s="35" t="n">
        <v>0.065</v>
      </c>
    </row>
    <row r="2313">
      <c r="A2313" s="36" t="inlineStr">
        <is>
          <t>AGA SPK-tilskudd</t>
        </is>
      </c>
      <c r="B2313" s="36" t="inlineStr">
        <is>
          <t>Region Vest</t>
        </is>
      </c>
      <c r="C2313" s="36" t="inlineStr">
        <is>
          <t>TFCO Stavanger</t>
        </is>
      </c>
      <c r="D2313" s="26" t="n"/>
      <c r="E2313" s="26" t="n"/>
      <c r="F2313" s="26" t="n"/>
      <c r="G2313" s="26" t="n">
        <v>-498</v>
      </c>
      <c r="H2313" s="26" t="n"/>
      <c r="I2313" s="26" t="n"/>
      <c r="J2313" s="19" t="n">
        <v>0</v>
      </c>
      <c r="K2313" s="37" t="n">
        <v>0.065</v>
      </c>
    </row>
    <row r="2314">
      <c r="A2314" s="34" t="inlineStr">
        <is>
          <t>AGA SPK-tilskudd</t>
        </is>
      </c>
      <c r="B2314" s="34" t="inlineStr">
        <is>
          <t>Region Vest</t>
        </is>
      </c>
      <c r="C2314" s="34" t="inlineStr">
        <is>
          <t>TFCO Stavanger</t>
        </is>
      </c>
      <c r="D2314" s="18" t="n"/>
      <c r="E2314" s="18" t="n"/>
      <c r="F2314" s="18" t="n"/>
      <c r="G2314" s="18" t="n">
        <v>498</v>
      </c>
      <c r="H2314" s="18" t="n"/>
      <c r="I2314" s="18" t="n"/>
      <c r="J2314" s="19" t="n">
        <v>0</v>
      </c>
      <c r="K2314" s="35" t="n">
        <v>0.065</v>
      </c>
    </row>
    <row r="2315">
      <c r="A2315" s="36" t="inlineStr">
        <is>
          <t>AGA SPK-tilskudd</t>
        </is>
      </c>
      <c r="B2315" s="36" t="inlineStr">
        <is>
          <t>Region Vest</t>
        </is>
      </c>
      <c r="C2315" s="36" t="inlineStr">
        <is>
          <t>TFCO Stavanger</t>
        </is>
      </c>
      <c r="D2315" s="26" t="n"/>
      <c r="E2315" s="26" t="n"/>
      <c r="F2315" s="26" t="n">
        <v>-160</v>
      </c>
      <c r="G2315" s="26" t="n">
        <v>-140</v>
      </c>
      <c r="H2315" s="26" t="n"/>
      <c r="I2315" s="26" t="n"/>
      <c r="J2315" s="19" t="n">
        <v>0</v>
      </c>
      <c r="K2315" s="37" t="n">
        <v>0.065</v>
      </c>
    </row>
    <row r="2316">
      <c r="A2316" s="34" t="inlineStr">
        <is>
          <t>AGA SPK-tilskudd</t>
        </is>
      </c>
      <c r="B2316" s="34" t="inlineStr">
        <is>
          <t>Region Vest</t>
        </is>
      </c>
      <c r="C2316" s="34" t="inlineStr">
        <is>
          <t>Vestlundveien Ungdomssenter</t>
        </is>
      </c>
      <c r="D2316" s="18" t="n">
        <v>-780</v>
      </c>
      <c r="E2316" s="18" t="n"/>
      <c r="F2316" s="18" t="n"/>
      <c r="G2316" s="18" t="n"/>
      <c r="H2316" s="18" t="n"/>
      <c r="I2316" s="18" t="n"/>
      <c r="J2316" s="19" t="n">
        <v>0</v>
      </c>
      <c r="K2316" s="35" t="n">
        <v>0.065</v>
      </c>
    </row>
    <row r="2317">
      <c r="A2317" s="36" t="inlineStr">
        <is>
          <t>AGA SPK-tilskudd</t>
        </is>
      </c>
      <c r="B2317" s="36" t="inlineStr">
        <is>
          <t>Region Vest</t>
        </is>
      </c>
      <c r="C2317" s="36" t="inlineStr">
        <is>
          <t>Vestlundveien Ungdomssenter</t>
        </is>
      </c>
      <c r="D2317" s="26" t="n">
        <v>-100</v>
      </c>
      <c r="E2317" s="26" t="n"/>
      <c r="F2317" s="26" t="n"/>
      <c r="G2317" s="26" t="n"/>
      <c r="H2317" s="26" t="n"/>
      <c r="I2317" s="26" t="n"/>
      <c r="J2317" s="19" t="n">
        <v>0</v>
      </c>
      <c r="K2317" s="37" t="n">
        <v>0.065</v>
      </c>
    </row>
    <row r="2318">
      <c r="A2318" s="34" t="inlineStr">
        <is>
          <t>AGA SPK-tilskudd</t>
        </is>
      </c>
      <c r="B2318" s="34" t="inlineStr">
        <is>
          <t>Region Vest</t>
        </is>
      </c>
      <c r="C2318" s="34" t="inlineStr">
        <is>
          <t>Vestlundveien Ungdomssenter</t>
        </is>
      </c>
      <c r="D2318" s="18" t="n">
        <v>42546</v>
      </c>
      <c r="E2318" s="18" t="n"/>
      <c r="F2318" s="18" t="n"/>
      <c r="G2318" s="18" t="n"/>
      <c r="H2318" s="18" t="n"/>
      <c r="I2318" s="18" t="n"/>
      <c r="J2318" s="19" t="n">
        <v>0</v>
      </c>
      <c r="K2318" s="35" t="n">
        <v>0.065</v>
      </c>
    </row>
    <row r="2319">
      <c r="A2319" s="36" t="inlineStr">
        <is>
          <t>AGA SPK-tilskudd</t>
        </is>
      </c>
      <c r="B2319" s="36" t="inlineStr">
        <is>
          <t>Region Vest</t>
        </is>
      </c>
      <c r="C2319" s="36" t="inlineStr">
        <is>
          <t>Vestlundveien Ungdomssenter</t>
        </is>
      </c>
      <c r="D2319" s="26" t="n">
        <v>-9572</v>
      </c>
      <c r="E2319" s="26" t="n"/>
      <c r="F2319" s="26" t="n"/>
      <c r="G2319" s="26" t="n"/>
      <c r="H2319" s="26" t="n"/>
      <c r="I2319" s="26" t="n"/>
      <c r="J2319" s="19" t="n">
        <v>0</v>
      </c>
      <c r="K2319" s="37" t="n">
        <v>0.065</v>
      </c>
    </row>
    <row r="2320">
      <c r="A2320" s="34" t="inlineStr">
        <is>
          <t>AGA SPK-tilskudd</t>
        </is>
      </c>
      <c r="B2320" s="34" t="inlineStr">
        <is>
          <t>Region Øst</t>
        </is>
      </c>
      <c r="C2320" s="34" t="inlineStr">
        <is>
          <t>Akershus ungdoms- og familiesenter - akutt  Adminstrasjon</t>
        </is>
      </c>
      <c r="D2320" s="18" t="n">
        <v>35528</v>
      </c>
      <c r="E2320" s="18" t="n">
        <v>30926</v>
      </c>
      <c r="F2320" s="18" t="n">
        <v>27991</v>
      </c>
      <c r="G2320" s="18" t="n">
        <v>34128</v>
      </c>
      <c r="H2320" s="18" t="n">
        <v>35735</v>
      </c>
      <c r="I2320" s="18" t="n">
        <v>633</v>
      </c>
      <c r="J2320" s="19" t="n">
        <v>356.0625</v>
      </c>
      <c r="K2320" s="35" t="n">
        <v>-0.25</v>
      </c>
    </row>
    <row r="2321">
      <c r="A2321" s="36" t="inlineStr">
        <is>
          <t>AGA SPK-tilskudd</t>
        </is>
      </c>
      <c r="B2321" s="36" t="inlineStr">
        <is>
          <t>Region Øst</t>
        </is>
      </c>
      <c r="C2321" s="36" t="inlineStr">
        <is>
          <t>Akershus ungdoms- og familiesenter - akutt  Adminstrasjon</t>
        </is>
      </c>
      <c r="D2321" s="26" t="n">
        <v>15051</v>
      </c>
      <c r="E2321" s="26" t="n">
        <v>7272</v>
      </c>
      <c r="F2321" s="26" t="n">
        <v>12698</v>
      </c>
      <c r="G2321" s="26" t="n">
        <v>7696</v>
      </c>
      <c r="H2321" s="26" t="n">
        <v>16560</v>
      </c>
      <c r="I2321" s="26" t="n">
        <v>1718</v>
      </c>
      <c r="J2321" s="19" t="n">
        <v>966.375</v>
      </c>
      <c r="K2321" s="37" t="n">
        <v>-0.25</v>
      </c>
    </row>
    <row r="2322">
      <c r="A2322" s="34" t="inlineStr">
        <is>
          <t>AGA SPK-tilskudd</t>
        </is>
      </c>
      <c r="B2322" s="34" t="inlineStr">
        <is>
          <t>Region Øst</t>
        </is>
      </c>
      <c r="C2322" s="34" t="inlineStr">
        <is>
          <t>Akershus ungdoms- og familiesenter - akutt  Adminstrasjon</t>
        </is>
      </c>
      <c r="D2322" s="18" t="n">
        <v>4340</v>
      </c>
      <c r="E2322" s="18" t="n">
        <v>4295</v>
      </c>
      <c r="F2322" s="18" t="n">
        <v>4908</v>
      </c>
      <c r="G2322" s="18" t="n">
        <v>6505</v>
      </c>
      <c r="H2322" s="18" t="n">
        <v>8325</v>
      </c>
      <c r="I2322" s="18" t="n"/>
      <c r="J2322" s="19" t="n">
        <v>0</v>
      </c>
      <c r="K2322" s="35" t="n">
        <v>0.065</v>
      </c>
    </row>
    <row r="2323">
      <c r="A2323" s="36" t="inlineStr">
        <is>
          <t>AGA SPK-tilskudd</t>
        </is>
      </c>
      <c r="B2323" s="36" t="inlineStr">
        <is>
          <t>Region Øst</t>
        </is>
      </c>
      <c r="C2323" s="36" t="inlineStr">
        <is>
          <t>Akershus ungdoms- og familiesenter - akutt  Adminstrasjon</t>
        </is>
      </c>
      <c r="D2323" s="26" t="n"/>
      <c r="E2323" s="26" t="n"/>
      <c r="F2323" s="26" t="n"/>
      <c r="G2323" s="26" t="n">
        <v>5405</v>
      </c>
      <c r="H2323" s="26" t="n"/>
      <c r="I2323" s="26" t="n">
        <v>4200</v>
      </c>
      <c r="J2323" s="19" t="n">
        <v>4763.744999999999</v>
      </c>
      <c r="K2323" s="37" t="n">
        <v>0.065</v>
      </c>
    </row>
    <row r="2324">
      <c r="A2324" s="34" t="inlineStr">
        <is>
          <t>AGA SPK-tilskudd</t>
        </is>
      </c>
      <c r="B2324" s="34" t="inlineStr">
        <is>
          <t>Region Øst</t>
        </is>
      </c>
      <c r="C2324" s="34" t="inlineStr">
        <is>
          <t>Akershus ungdoms- og familiesenter - akutt  Adminstrasjon</t>
        </is>
      </c>
      <c r="D2324" s="18" t="n">
        <v>11123</v>
      </c>
      <c r="E2324" s="18" t="n">
        <v>4913</v>
      </c>
      <c r="F2324" s="18" t="n">
        <v>14565</v>
      </c>
      <c r="G2324" s="18" t="n">
        <v>16922</v>
      </c>
      <c r="H2324" s="18" t="n">
        <v>27257</v>
      </c>
      <c r="I2324" s="18" t="n">
        <v>2478</v>
      </c>
      <c r="J2324" s="19" t="n">
        <v>1393.875</v>
      </c>
      <c r="K2324" s="35" t="n">
        <v>-0.25</v>
      </c>
    </row>
    <row r="2325">
      <c r="A2325" s="36" t="inlineStr">
        <is>
          <t>AGA SPK-tilskudd</t>
        </is>
      </c>
      <c r="B2325" s="36" t="inlineStr">
        <is>
          <t>Region Øst</t>
        </is>
      </c>
      <c r="C2325" s="36" t="inlineStr">
        <is>
          <t>Akershus ungdoms- og familiesenter - akutt  Adminstrasjon</t>
        </is>
      </c>
      <c r="D2325" s="26" t="n">
        <v>400</v>
      </c>
      <c r="E2325" s="26" t="n"/>
      <c r="F2325" s="26" t="n"/>
      <c r="G2325" s="26" t="n">
        <v>800</v>
      </c>
      <c r="H2325" s="26" t="n"/>
      <c r="I2325" s="26" t="n"/>
      <c r="J2325" s="19" t="n">
        <v>0</v>
      </c>
      <c r="K2325" s="37" t="n">
        <v>0.065</v>
      </c>
    </row>
    <row r="2326">
      <c r="A2326" s="34" t="inlineStr">
        <is>
          <t>AGA SPK-tilskudd</t>
        </is>
      </c>
      <c r="B2326" s="34" t="inlineStr">
        <is>
          <t>Region Øst</t>
        </is>
      </c>
      <c r="C2326" s="34" t="inlineStr">
        <is>
          <t>Akershus ungdoms- og familiesenter - akutt  Adminstrasjon</t>
        </is>
      </c>
      <c r="D2326" s="18" t="n"/>
      <c r="E2326" s="18" t="n">
        <v>1352</v>
      </c>
      <c r="F2326" s="18" t="n">
        <v>1718</v>
      </c>
      <c r="G2326" s="18" t="n">
        <v>17422</v>
      </c>
      <c r="H2326" s="18" t="n">
        <v>200</v>
      </c>
      <c r="I2326" s="18" t="n"/>
      <c r="J2326" s="19" t="n">
        <v>0</v>
      </c>
      <c r="K2326" s="35" t="n">
        <v>0.065</v>
      </c>
    </row>
    <row r="2327">
      <c r="A2327" s="36" t="inlineStr">
        <is>
          <t>AGA SPK-tilskudd</t>
        </is>
      </c>
      <c r="B2327" s="36" t="inlineStr">
        <is>
          <t>Region Øst</t>
        </is>
      </c>
      <c r="C2327" s="36" t="inlineStr">
        <is>
          <t>Akershus ungdoms- og familiesenter - akutt  Adminstrasjon</t>
        </is>
      </c>
      <c r="D2327" s="26" t="n">
        <v>12166</v>
      </c>
      <c r="E2327" s="26" t="n">
        <v>14585</v>
      </c>
      <c r="F2327" s="26" t="n">
        <v>12462</v>
      </c>
      <c r="G2327" s="26" t="n">
        <v>42836</v>
      </c>
      <c r="H2327" s="26" t="n">
        <v>7843</v>
      </c>
      <c r="I2327" s="26" t="n">
        <v>760</v>
      </c>
      <c r="J2327" s="19" t="n">
        <v>427.5</v>
      </c>
      <c r="K2327" s="37" t="n">
        <v>-0.25</v>
      </c>
    </row>
    <row r="2328">
      <c r="A2328" s="34" t="inlineStr">
        <is>
          <t>AGA SPK-tilskudd</t>
        </is>
      </c>
      <c r="B2328" s="34" t="inlineStr">
        <is>
          <t>Region Øst</t>
        </is>
      </c>
      <c r="C2328" s="34" t="inlineStr">
        <is>
          <t>Akershus ungdoms- og familiesenter - akutt  Adminstrasjon</t>
        </is>
      </c>
      <c r="D2328" s="18" t="n">
        <v>1830</v>
      </c>
      <c r="E2328" s="18" t="n">
        <v>714</v>
      </c>
      <c r="F2328" s="18" t="n">
        <v>2082</v>
      </c>
      <c r="G2328" s="18" t="n">
        <v>5090</v>
      </c>
      <c r="H2328" s="18" t="n">
        <v>10167</v>
      </c>
      <c r="I2328" s="18" t="n">
        <v>991</v>
      </c>
      <c r="J2328" s="19" t="n">
        <v>775.3944361302583</v>
      </c>
      <c r="K2328" s="35" t="n">
        <v>-0.1154456696161247</v>
      </c>
    </row>
    <row r="2329">
      <c r="A2329" s="36" t="inlineStr">
        <is>
          <t>AGA SPK-tilskudd</t>
        </is>
      </c>
      <c r="B2329" s="36" t="inlineStr">
        <is>
          <t>Region Øst</t>
        </is>
      </c>
      <c r="C2329" s="36" t="inlineStr">
        <is>
          <t>Akershus ungdoms- og familiesenter - akutt  Adminstrasjon</t>
        </is>
      </c>
      <c r="D2329" s="26" t="n"/>
      <c r="E2329" s="26" t="n"/>
      <c r="F2329" s="26" t="n">
        <v>394</v>
      </c>
      <c r="G2329" s="26" t="n">
        <v>13075</v>
      </c>
      <c r="H2329" s="26" t="n"/>
      <c r="I2329" s="26" t="n"/>
      <c r="J2329" s="19" t="n">
        <v>0</v>
      </c>
      <c r="K2329" s="37" t="n">
        <v>0.065</v>
      </c>
    </row>
    <row r="2330">
      <c r="A2330" s="34" t="inlineStr">
        <is>
          <t>AGA SPK-tilskudd</t>
        </is>
      </c>
      <c r="B2330" s="34" t="inlineStr">
        <is>
          <t>Region Øst</t>
        </is>
      </c>
      <c r="C2330" s="34" t="inlineStr">
        <is>
          <t>Akershus ungdoms- og familiesenter - akutt  Adminstrasjon</t>
        </is>
      </c>
      <c r="D2330" s="18" t="n">
        <v>-4044</v>
      </c>
      <c r="E2330" s="18" t="n">
        <v>6793</v>
      </c>
      <c r="F2330" s="18" t="n">
        <v>-2000</v>
      </c>
      <c r="G2330" s="18" t="n">
        <v>8207</v>
      </c>
      <c r="H2330" s="18" t="n">
        <v>380</v>
      </c>
      <c r="I2330" s="18" t="n"/>
      <c r="J2330" s="19" t="n">
        <v>0</v>
      </c>
      <c r="K2330" s="35" t="n">
        <v>0.065</v>
      </c>
    </row>
    <row r="2331">
      <c r="A2331" s="36" t="inlineStr">
        <is>
          <t>AGA SPK-tilskudd</t>
        </is>
      </c>
      <c r="B2331" s="36" t="inlineStr">
        <is>
          <t>Region Øst</t>
        </is>
      </c>
      <c r="C2331" s="36" t="inlineStr">
        <is>
          <t>Akershus ungdoms- og familiesenter - akutt  Adminstrasjon</t>
        </is>
      </c>
      <c r="D2331" s="26" t="n">
        <v>-17322</v>
      </c>
      <c r="E2331" s="26" t="n">
        <v>-40027</v>
      </c>
      <c r="F2331" s="26" t="n">
        <v>-34146</v>
      </c>
      <c r="G2331" s="26" t="n">
        <v>-65583</v>
      </c>
      <c r="H2331" s="26" t="n">
        <v>-6299</v>
      </c>
      <c r="I2331" s="26" t="n"/>
      <c r="J2331" s="19" t="n">
        <v>0</v>
      </c>
      <c r="K2331" s="37" t="n">
        <v>0.065</v>
      </c>
    </row>
    <row r="2332">
      <c r="A2332" s="34" t="inlineStr">
        <is>
          <t>AGA SPK-tilskudd</t>
        </is>
      </c>
      <c r="B2332" s="34" t="inlineStr">
        <is>
          <t>Region Øst</t>
        </is>
      </c>
      <c r="C2332" s="34" t="inlineStr">
        <is>
          <t>Akershus ungdoms- og familiesenter - akutt  Avdeling Sole</t>
        </is>
      </c>
      <c r="D2332" s="18" t="n">
        <v>171942</v>
      </c>
      <c r="E2332" s="18" t="n">
        <v>153606</v>
      </c>
      <c r="F2332" s="18" t="n">
        <v>117088</v>
      </c>
      <c r="G2332" s="18" t="n">
        <v>165044</v>
      </c>
      <c r="H2332" s="18" t="n">
        <v>164414</v>
      </c>
      <c r="I2332" s="18" t="n">
        <v>5245</v>
      </c>
      <c r="J2332" s="19" t="n">
        <v>2950.3125</v>
      </c>
      <c r="K2332" s="35" t="n">
        <v>-0.25</v>
      </c>
    </row>
    <row r="2333">
      <c r="A2333" s="36" t="inlineStr">
        <is>
          <t>AGA SPK-tilskudd</t>
        </is>
      </c>
      <c r="B2333" s="36" t="inlineStr">
        <is>
          <t>Region Øst</t>
        </is>
      </c>
      <c r="C2333" s="36" t="inlineStr">
        <is>
          <t>Akershus ungdoms- og familiesenter - akutt  Avdeling Sole</t>
        </is>
      </c>
      <c r="D2333" s="26" t="n">
        <v>199995</v>
      </c>
      <c r="E2333" s="26" t="n">
        <v>36282</v>
      </c>
      <c r="F2333" s="26" t="n">
        <v>22382</v>
      </c>
      <c r="G2333" s="26" t="n">
        <v>123411</v>
      </c>
      <c r="H2333" s="26" t="n">
        <v>206285</v>
      </c>
      <c r="I2333" s="26" t="n">
        <v>17209</v>
      </c>
      <c r="J2333" s="19" t="n">
        <v>9680.0625</v>
      </c>
      <c r="K2333" s="37" t="n">
        <v>-0.25</v>
      </c>
    </row>
    <row r="2334">
      <c r="A2334" s="34" t="inlineStr">
        <is>
          <t>AGA SPK-tilskudd</t>
        </is>
      </c>
      <c r="B2334" s="34" t="inlineStr">
        <is>
          <t>Region Øst</t>
        </is>
      </c>
      <c r="C2334" s="34" t="inlineStr">
        <is>
          <t>Akershus ungdoms- og familiesenter - akutt  Avdeling Sole</t>
        </is>
      </c>
      <c r="D2334" s="18" t="n">
        <v>17321</v>
      </c>
      <c r="E2334" s="18" t="n">
        <v>40675</v>
      </c>
      <c r="F2334" s="18" t="n">
        <v>13494</v>
      </c>
      <c r="G2334" s="18" t="n">
        <v>14415</v>
      </c>
      <c r="H2334" s="18" t="n">
        <v>27265</v>
      </c>
      <c r="I2334" s="18" t="n">
        <v>294</v>
      </c>
      <c r="J2334" s="19" t="n">
        <v>165.375</v>
      </c>
      <c r="K2334" s="35" t="n">
        <v>-0.25</v>
      </c>
    </row>
    <row r="2335">
      <c r="A2335" s="36" t="inlineStr">
        <is>
          <t>AGA SPK-tilskudd</t>
        </is>
      </c>
      <c r="B2335" s="36" t="inlineStr">
        <is>
          <t>Region Øst</t>
        </is>
      </c>
      <c r="C2335" s="36" t="inlineStr">
        <is>
          <t>Akershus ungdoms- og familiesenter - akutt  Avdeling Sole</t>
        </is>
      </c>
      <c r="D2335" s="26" t="n">
        <v>47400</v>
      </c>
      <c r="E2335" s="26" t="n">
        <v>47953</v>
      </c>
      <c r="F2335" s="26" t="n">
        <v>51534</v>
      </c>
      <c r="G2335" s="26" t="n">
        <v>66978</v>
      </c>
      <c r="H2335" s="26" t="n">
        <v>63403</v>
      </c>
      <c r="I2335" s="26" t="n"/>
      <c r="J2335" s="19" t="n">
        <v>0</v>
      </c>
      <c r="K2335" s="37" t="n">
        <v>0.065</v>
      </c>
    </row>
    <row r="2336">
      <c r="A2336" s="34" t="inlineStr">
        <is>
          <t>AGA SPK-tilskudd</t>
        </is>
      </c>
      <c r="B2336" s="34" t="inlineStr">
        <is>
          <t>Region Øst</t>
        </is>
      </c>
      <c r="C2336" s="34" t="inlineStr">
        <is>
          <t>Akershus ungdoms- og familiesenter - akutt  Avdeling Sole</t>
        </is>
      </c>
      <c r="D2336" s="18" t="n"/>
      <c r="E2336" s="18" t="n">
        <v>46930</v>
      </c>
      <c r="F2336" s="18" t="n">
        <v>4407</v>
      </c>
      <c r="G2336" s="18" t="n">
        <v>1622</v>
      </c>
      <c r="H2336" s="18" t="n">
        <v>2980</v>
      </c>
      <c r="I2336" s="18" t="n"/>
      <c r="J2336" s="19" t="n">
        <v>0</v>
      </c>
      <c r="K2336" s="35" t="n">
        <v>0.065</v>
      </c>
    </row>
    <row r="2337">
      <c r="A2337" s="36" t="inlineStr">
        <is>
          <t>AGA SPK-tilskudd</t>
        </is>
      </c>
      <c r="B2337" s="36" t="inlineStr">
        <is>
          <t>Region Øst</t>
        </is>
      </c>
      <c r="C2337" s="36" t="inlineStr">
        <is>
          <t>Akershus ungdoms- og familiesenter - akutt  Avdeling Sole</t>
        </is>
      </c>
      <c r="D2337" s="26" t="n"/>
      <c r="E2337" s="26" t="n">
        <v>6373</v>
      </c>
      <c r="F2337" s="26" t="n">
        <v>8046</v>
      </c>
      <c r="G2337" s="26" t="n">
        <v>8083</v>
      </c>
      <c r="H2337" s="26" t="n">
        <v>5036</v>
      </c>
      <c r="I2337" s="26" t="n"/>
      <c r="J2337" s="19" t="n">
        <v>0</v>
      </c>
      <c r="K2337" s="37" t="n">
        <v>0.065</v>
      </c>
    </row>
    <row r="2338">
      <c r="A2338" s="34" t="inlineStr">
        <is>
          <t>AGA SPK-tilskudd</t>
        </is>
      </c>
      <c r="B2338" s="34" t="inlineStr">
        <is>
          <t>Region Øst</t>
        </is>
      </c>
      <c r="C2338" s="34" t="inlineStr">
        <is>
          <t>Akershus ungdoms- og familiesenter - akutt  Avdeling Sole</t>
        </is>
      </c>
      <c r="D2338" s="18" t="n">
        <v>4600</v>
      </c>
      <c r="E2338" s="18" t="n">
        <v>75</v>
      </c>
      <c r="F2338" s="18" t="n"/>
      <c r="G2338" s="18" t="n"/>
      <c r="H2338" s="18" t="n"/>
      <c r="I2338" s="18" t="n"/>
      <c r="J2338" s="19" t="n">
        <v>0</v>
      </c>
      <c r="K2338" s="35" t="n">
        <v>0.065</v>
      </c>
    </row>
    <row r="2339">
      <c r="A2339" s="36" t="inlineStr">
        <is>
          <t>AGA SPK-tilskudd</t>
        </is>
      </c>
      <c r="B2339" s="36" t="inlineStr">
        <is>
          <t>Region Øst</t>
        </is>
      </c>
      <c r="C2339" s="36" t="inlineStr">
        <is>
          <t>Akershus ungdoms- og familiesenter - akutt  Avdeling Sole</t>
        </is>
      </c>
      <c r="D2339" s="26" t="n"/>
      <c r="E2339" s="26" t="n">
        <v>2374</v>
      </c>
      <c r="F2339" s="26" t="n"/>
      <c r="G2339" s="26" t="n"/>
      <c r="H2339" s="26" t="n"/>
      <c r="I2339" s="26" t="n">
        <v>1626</v>
      </c>
      <c r="J2339" s="19" t="n">
        <v>1345.675837943749</v>
      </c>
      <c r="K2339" s="37" t="n">
        <v>-0.09027536236256151</v>
      </c>
    </row>
    <row r="2340">
      <c r="A2340" s="34" t="inlineStr">
        <is>
          <t>AGA SPK-tilskudd</t>
        </is>
      </c>
      <c r="B2340" s="34" t="inlineStr">
        <is>
          <t>Region Øst</t>
        </is>
      </c>
      <c r="C2340" s="34" t="inlineStr">
        <is>
          <t>Akershus ungdoms- og familiesenter - akutt  Avdeling Sole</t>
        </is>
      </c>
      <c r="D2340" s="18" t="n">
        <v>6976</v>
      </c>
      <c r="E2340" s="18" t="n">
        <v>13065</v>
      </c>
      <c r="F2340" s="18" t="n">
        <v>2885</v>
      </c>
      <c r="G2340" s="18" t="n">
        <v>9661</v>
      </c>
      <c r="H2340" s="18" t="n">
        <v>19618</v>
      </c>
      <c r="I2340" s="18" t="n">
        <v>2100</v>
      </c>
      <c r="J2340" s="19" t="n">
        <v>1299.165334627572</v>
      </c>
      <c r="K2340" s="35" t="n">
        <v>-0.2134568293180196</v>
      </c>
    </row>
    <row r="2341">
      <c r="A2341" s="36" t="inlineStr">
        <is>
          <t>AGA SPK-tilskudd</t>
        </is>
      </c>
      <c r="B2341" s="36" t="inlineStr">
        <is>
          <t>Region Øst</t>
        </is>
      </c>
      <c r="C2341" s="36" t="inlineStr">
        <is>
          <t>Akershus ungdoms- og familiesenter - akutt  Avdeling Sole</t>
        </is>
      </c>
      <c r="D2341" s="26" t="n">
        <v>2797</v>
      </c>
      <c r="E2341" s="26" t="n">
        <v>870</v>
      </c>
      <c r="F2341" s="26" t="n">
        <v>1427</v>
      </c>
      <c r="G2341" s="26" t="n">
        <v>2139</v>
      </c>
      <c r="H2341" s="26" t="n">
        <v>1880</v>
      </c>
      <c r="I2341" s="26" t="n"/>
      <c r="J2341" s="19" t="n">
        <v>0</v>
      </c>
      <c r="K2341" s="37" t="n">
        <v>0.065</v>
      </c>
    </row>
    <row r="2342">
      <c r="A2342" s="34" t="inlineStr">
        <is>
          <t>AGA SPK-tilskudd</t>
        </is>
      </c>
      <c r="B2342" s="34" t="inlineStr">
        <is>
          <t>Region Øst</t>
        </is>
      </c>
      <c r="C2342" s="34" t="inlineStr">
        <is>
          <t>Akershus ungdoms- og familiesenter - akutt  Avdeling Sole</t>
        </is>
      </c>
      <c r="D2342" s="18" t="n">
        <v>1789</v>
      </c>
      <c r="E2342" s="18" t="n"/>
      <c r="F2342" s="18" t="n"/>
      <c r="G2342" s="18" t="n"/>
      <c r="H2342" s="18" t="n"/>
      <c r="I2342" s="18" t="n"/>
      <c r="J2342" s="19" t="n">
        <v>0</v>
      </c>
      <c r="K2342" s="35" t="n">
        <v>0.065</v>
      </c>
    </row>
    <row r="2343">
      <c r="A2343" s="36" t="inlineStr">
        <is>
          <t>AGA SPK-tilskudd</t>
        </is>
      </c>
      <c r="B2343" s="36" t="inlineStr">
        <is>
          <t>Region Øst</t>
        </is>
      </c>
      <c r="C2343" s="36" t="inlineStr">
        <is>
          <t>Akershus ungdoms- og familiesenter - akutt  Avdeling Sole</t>
        </is>
      </c>
      <c r="D2343" s="26" t="n">
        <v>10941</v>
      </c>
      <c r="E2343" s="26" t="n">
        <v>9118</v>
      </c>
      <c r="F2343" s="26" t="n">
        <v>2921</v>
      </c>
      <c r="G2343" s="26" t="n">
        <v>8294</v>
      </c>
      <c r="H2343" s="26" t="n"/>
      <c r="I2343" s="26" t="n"/>
      <c r="J2343" s="19" t="n">
        <v>0</v>
      </c>
      <c r="K2343" s="37" t="n">
        <v>0.065</v>
      </c>
    </row>
    <row r="2344">
      <c r="A2344" s="34" t="inlineStr">
        <is>
          <t>AGA SPK-tilskudd</t>
        </is>
      </c>
      <c r="B2344" s="34" t="inlineStr">
        <is>
          <t>Region Øst</t>
        </is>
      </c>
      <c r="C2344" s="34" t="inlineStr">
        <is>
          <t>Akershus ungdoms- og familiesenter - akutt  Avdeling Sole</t>
        </is>
      </c>
      <c r="D2344" s="18" t="n">
        <v>-9152</v>
      </c>
      <c r="E2344" s="18" t="n">
        <v>15092</v>
      </c>
      <c r="F2344" s="18" t="n">
        <v>1629</v>
      </c>
      <c r="G2344" s="18" t="n">
        <v>4797</v>
      </c>
      <c r="H2344" s="18" t="n">
        <v>-204</v>
      </c>
      <c r="I2344" s="18" t="n">
        <v>2300</v>
      </c>
      <c r="J2344" s="19" t="n">
        <v>1293.75</v>
      </c>
      <c r="K2344" s="35" t="n">
        <v>-0.25</v>
      </c>
    </row>
    <row r="2345">
      <c r="A2345" s="36" t="inlineStr">
        <is>
          <t>AGA SPK-tilskudd</t>
        </is>
      </c>
      <c r="B2345" s="36" t="inlineStr">
        <is>
          <t>Region Øst</t>
        </is>
      </c>
      <c r="C2345" s="36" t="inlineStr">
        <is>
          <t>Akershus ungdoms- og familiesenter - akutt  Avdeling Sole</t>
        </is>
      </c>
      <c r="D2345" s="26" t="n"/>
      <c r="E2345" s="26" t="n"/>
      <c r="F2345" s="26" t="n"/>
      <c r="G2345" s="26" t="n">
        <v>-111390</v>
      </c>
      <c r="H2345" s="26" t="n">
        <v>-295762</v>
      </c>
      <c r="I2345" s="26" t="n"/>
      <c r="J2345" s="19" t="n">
        <v>0</v>
      </c>
      <c r="K2345" s="37" t="n">
        <v>0.065</v>
      </c>
    </row>
    <row r="2346">
      <c r="A2346" s="34" t="inlineStr">
        <is>
          <t>AGA SPK-tilskudd</t>
        </is>
      </c>
      <c r="B2346" s="34" t="inlineStr">
        <is>
          <t>Region Øst</t>
        </is>
      </c>
      <c r="C2346" s="34" t="inlineStr">
        <is>
          <t>Akershus ungdoms- og familiesenter - akutt  Avdeling Sole</t>
        </is>
      </c>
      <c r="D2346" s="18" t="n">
        <v>-750863</v>
      </c>
      <c r="E2346" s="18" t="n">
        <v>-1284588</v>
      </c>
      <c r="F2346" s="18" t="n">
        <v>-600475</v>
      </c>
      <c r="G2346" s="18" t="n">
        <v>-601688</v>
      </c>
      <c r="H2346" s="18" t="n">
        <v>-687267</v>
      </c>
      <c r="I2346" s="18" t="n">
        <v>-2736</v>
      </c>
      <c r="J2346" s="19" t="n">
        <v>-3103.239599999999</v>
      </c>
      <c r="K2346" s="35" t="n">
        <v>0.065</v>
      </c>
    </row>
    <row r="2347">
      <c r="A2347" s="36" t="inlineStr">
        <is>
          <t>AGA SPK-tilskudd</t>
        </is>
      </c>
      <c r="B2347" s="36" t="inlineStr">
        <is>
          <t>Region Øst</t>
        </is>
      </c>
      <c r="C2347" s="36" t="inlineStr">
        <is>
          <t>Akershus ungdoms- og familiesenter - akutt  Avdeling Tjernlia</t>
        </is>
      </c>
      <c r="D2347" s="26" t="n">
        <v>144427</v>
      </c>
      <c r="E2347" s="26" t="n">
        <v>142530</v>
      </c>
      <c r="F2347" s="26" t="n">
        <v>121724</v>
      </c>
      <c r="G2347" s="26" t="n">
        <v>132550</v>
      </c>
      <c r="H2347" s="26" t="n">
        <v>138855</v>
      </c>
      <c r="I2347" s="26" t="n">
        <v>2707</v>
      </c>
      <c r="J2347" s="19" t="n">
        <v>1522.6875</v>
      </c>
      <c r="K2347" s="37" t="n">
        <v>-0.25</v>
      </c>
    </row>
    <row r="2348">
      <c r="A2348" s="34" t="inlineStr">
        <is>
          <t>AGA SPK-tilskudd</t>
        </is>
      </c>
      <c r="B2348" s="34" t="inlineStr">
        <is>
          <t>Region Øst</t>
        </is>
      </c>
      <c r="C2348" s="34" t="inlineStr">
        <is>
          <t>Akershus ungdoms- og familiesenter - akutt  Avdeling Tjernlia</t>
        </is>
      </c>
      <c r="D2348" s="18" t="n">
        <v>1849</v>
      </c>
      <c r="E2348" s="18" t="n">
        <v>23246</v>
      </c>
      <c r="F2348" s="18" t="n">
        <v>8916</v>
      </c>
      <c r="G2348" s="18" t="n">
        <v>43842</v>
      </c>
      <c r="H2348" s="18" t="n">
        <v>129123</v>
      </c>
      <c r="I2348" s="18" t="n">
        <v>9881</v>
      </c>
      <c r="J2348" s="19" t="n">
        <v>15439.0625</v>
      </c>
      <c r="K2348" s="35" t="n">
        <v>0.25</v>
      </c>
    </row>
    <row r="2349">
      <c r="A2349" s="36" t="inlineStr">
        <is>
          <t>AGA SPK-tilskudd</t>
        </is>
      </c>
      <c r="B2349" s="36" t="inlineStr">
        <is>
          <t>Region Øst</t>
        </is>
      </c>
      <c r="C2349" s="36" t="inlineStr">
        <is>
          <t>Akershus ungdoms- og familiesenter - akutt  Avdeling Tjernlia</t>
        </is>
      </c>
      <c r="D2349" s="26" t="n">
        <v>11340</v>
      </c>
      <c r="E2349" s="26" t="n">
        <v>6315</v>
      </c>
      <c r="F2349" s="26" t="n">
        <v>21509</v>
      </c>
      <c r="G2349" s="26" t="n">
        <v>9071</v>
      </c>
      <c r="H2349" s="26" t="n">
        <v>31258</v>
      </c>
      <c r="I2349" s="26" t="n">
        <v>1455</v>
      </c>
      <c r="J2349" s="19" t="n">
        <v>818.4375</v>
      </c>
      <c r="K2349" s="37" t="n">
        <v>-0.25</v>
      </c>
    </row>
    <row r="2350">
      <c r="A2350" s="34" t="inlineStr">
        <is>
          <t>AGA SPK-tilskudd</t>
        </is>
      </c>
      <c r="B2350" s="34" t="inlineStr">
        <is>
          <t>Region Øst</t>
        </is>
      </c>
      <c r="C2350" s="34" t="inlineStr">
        <is>
          <t>Akershus ungdoms- og familiesenter - akutt  Avdeling Tjernlia</t>
        </is>
      </c>
      <c r="D2350" s="18" t="n">
        <v>39600</v>
      </c>
      <c r="E2350" s="18" t="n">
        <v>41718</v>
      </c>
      <c r="F2350" s="18" t="n">
        <v>48978</v>
      </c>
      <c r="G2350" s="18" t="n">
        <v>59942</v>
      </c>
      <c r="H2350" s="18" t="n">
        <v>64103</v>
      </c>
      <c r="I2350" s="18" t="n">
        <v>-139</v>
      </c>
      <c r="J2350" s="19" t="n">
        <v>-157.657275</v>
      </c>
      <c r="K2350" s="35" t="n">
        <v>0.065</v>
      </c>
    </row>
    <row r="2351">
      <c r="A2351" s="36" t="inlineStr">
        <is>
          <t>AGA SPK-tilskudd</t>
        </is>
      </c>
      <c r="B2351" s="36" t="inlineStr">
        <is>
          <t>Region Øst</t>
        </is>
      </c>
      <c r="C2351" s="36" t="inlineStr">
        <is>
          <t>Akershus ungdoms- og familiesenter - akutt  Avdeling Tjernlia</t>
        </is>
      </c>
      <c r="D2351" s="26" t="n"/>
      <c r="E2351" s="26" t="n">
        <v>4347</v>
      </c>
      <c r="F2351" s="26" t="n"/>
      <c r="G2351" s="26" t="n"/>
      <c r="H2351" s="26" t="n">
        <v>3810</v>
      </c>
      <c r="I2351" s="26" t="n"/>
      <c r="J2351" s="19" t="n">
        <v>0</v>
      </c>
      <c r="K2351" s="37" t="n">
        <v>0.065</v>
      </c>
    </row>
    <row r="2352">
      <c r="A2352" s="34" t="inlineStr">
        <is>
          <t>AGA SPK-tilskudd</t>
        </is>
      </c>
      <c r="B2352" s="34" t="inlineStr">
        <is>
          <t>Region Øst</t>
        </is>
      </c>
      <c r="C2352" s="34" t="inlineStr">
        <is>
          <t>Akershus ungdoms- og familiesenter - akutt  Avdeling Tjernlia</t>
        </is>
      </c>
      <c r="D2352" s="18" t="n">
        <v>8309</v>
      </c>
      <c r="E2352" s="18" t="n">
        <v>6104</v>
      </c>
      <c r="F2352" s="18" t="n">
        <v>20017</v>
      </c>
      <c r="G2352" s="18" t="n">
        <v>7208</v>
      </c>
      <c r="H2352" s="18" t="n">
        <v>1470</v>
      </c>
      <c r="I2352" s="18" t="n"/>
      <c r="J2352" s="19" t="n">
        <v>0</v>
      </c>
      <c r="K2352" s="35" t="n">
        <v>0.065</v>
      </c>
    </row>
    <row r="2353">
      <c r="A2353" s="36" t="inlineStr">
        <is>
          <t>AGA SPK-tilskudd</t>
        </is>
      </c>
      <c r="B2353" s="36" t="inlineStr">
        <is>
          <t>Region Øst</t>
        </is>
      </c>
      <c r="C2353" s="36" t="inlineStr">
        <is>
          <t>Akershus ungdoms- og familiesenter - akutt  Avdeling Tjernlia</t>
        </is>
      </c>
      <c r="D2353" s="26" t="n">
        <v>800</v>
      </c>
      <c r="E2353" s="26" t="n"/>
      <c r="F2353" s="26" t="n">
        <v>6934</v>
      </c>
      <c r="G2353" s="26" t="n"/>
      <c r="H2353" s="26" t="n"/>
      <c r="I2353" s="26" t="n"/>
      <c r="J2353" s="19" t="n">
        <v>0</v>
      </c>
      <c r="K2353" s="37" t="n">
        <v>0.065</v>
      </c>
    </row>
    <row r="2354">
      <c r="A2354" s="34" t="inlineStr">
        <is>
          <t>AGA SPK-tilskudd</t>
        </is>
      </c>
      <c r="B2354" s="34" t="inlineStr">
        <is>
          <t>Region Øst</t>
        </is>
      </c>
      <c r="C2354" s="34" t="inlineStr">
        <is>
          <t>Akershus ungdoms- og familiesenter - akutt  Avdeling Tjernlia</t>
        </is>
      </c>
      <c r="D2354" s="18" t="n">
        <v>9360</v>
      </c>
      <c r="E2354" s="18" t="n">
        <v>18739</v>
      </c>
      <c r="F2354" s="18" t="n">
        <v>1115</v>
      </c>
      <c r="G2354" s="18" t="n">
        <v>12097</v>
      </c>
      <c r="H2354" s="18" t="n">
        <v>16527</v>
      </c>
      <c r="I2354" s="18" t="n">
        <v>349</v>
      </c>
      <c r="J2354" s="19" t="n">
        <v>196.3125</v>
      </c>
      <c r="K2354" s="35" t="n">
        <v>-0.25</v>
      </c>
    </row>
    <row r="2355">
      <c r="A2355" s="36" t="inlineStr">
        <is>
          <t>AGA SPK-tilskudd</t>
        </is>
      </c>
      <c r="B2355" s="36" t="inlineStr">
        <is>
          <t>Region Øst</t>
        </is>
      </c>
      <c r="C2355" s="36" t="inlineStr">
        <is>
          <t>Akershus ungdoms- og familiesenter - akutt  Avdeling Tjernlia</t>
        </is>
      </c>
      <c r="D2355" s="26" t="n">
        <v>1718</v>
      </c>
      <c r="E2355" s="26" t="n">
        <v>924</v>
      </c>
      <c r="F2355" s="26" t="n">
        <v>8181</v>
      </c>
      <c r="G2355" s="26" t="n">
        <v>12747</v>
      </c>
      <c r="H2355" s="26" t="n">
        <v>506</v>
      </c>
      <c r="I2355" s="26" t="n"/>
      <c r="J2355" s="19" t="n">
        <v>0</v>
      </c>
      <c r="K2355" s="37" t="n">
        <v>0.065</v>
      </c>
    </row>
    <row r="2356">
      <c r="A2356" s="34" t="inlineStr">
        <is>
          <t>AGA SPK-tilskudd</t>
        </is>
      </c>
      <c r="B2356" s="34" t="inlineStr">
        <is>
          <t>Region Øst</t>
        </is>
      </c>
      <c r="C2356" s="34" t="inlineStr">
        <is>
          <t>Akershus ungdoms- og familiesenter - akutt  Avdeling Tjernlia</t>
        </is>
      </c>
      <c r="D2356" s="18" t="n"/>
      <c r="E2356" s="18" t="n">
        <v>1108</v>
      </c>
      <c r="F2356" s="18" t="n"/>
      <c r="G2356" s="18" t="n"/>
      <c r="H2356" s="18" t="n"/>
      <c r="I2356" s="18" t="n"/>
      <c r="J2356" s="19" t="n">
        <v>0</v>
      </c>
      <c r="K2356" s="35" t="n">
        <v>0.065</v>
      </c>
    </row>
    <row r="2357">
      <c r="A2357" s="36" t="inlineStr">
        <is>
          <t>AGA SPK-tilskudd</t>
        </is>
      </c>
      <c r="B2357" s="36" t="inlineStr">
        <is>
          <t>Region Øst</t>
        </is>
      </c>
      <c r="C2357" s="36" t="inlineStr">
        <is>
          <t>Akershus ungdoms- og familiesenter - akutt  Avdeling Tjernlia</t>
        </is>
      </c>
      <c r="D2357" s="26" t="n"/>
      <c r="E2357" s="26" t="n">
        <v>2120</v>
      </c>
      <c r="F2357" s="26" t="n"/>
      <c r="G2357" s="26" t="n"/>
      <c r="H2357" s="26" t="n"/>
      <c r="I2357" s="26" t="n"/>
      <c r="J2357" s="19" t="n">
        <v>0</v>
      </c>
      <c r="K2357" s="37" t="n">
        <v>0.065</v>
      </c>
    </row>
    <row r="2358">
      <c r="A2358" s="34" t="inlineStr">
        <is>
          <t>AGA SPK-tilskudd</t>
        </is>
      </c>
      <c r="B2358" s="34" t="inlineStr">
        <is>
          <t>Region Øst</t>
        </is>
      </c>
      <c r="C2358" s="34" t="inlineStr">
        <is>
          <t>Akershus ungdoms- og familiesenter - akutt  Avdeling Tjernlia</t>
        </is>
      </c>
      <c r="D2358" s="18" t="n">
        <v>10339</v>
      </c>
      <c r="E2358" s="18" t="n">
        <v>21680</v>
      </c>
      <c r="F2358" s="18" t="n">
        <v>13300</v>
      </c>
      <c r="G2358" s="18" t="n">
        <v>18804</v>
      </c>
      <c r="H2358" s="18" t="n">
        <v>4458</v>
      </c>
      <c r="I2358" s="18" t="n"/>
      <c r="J2358" s="19" t="n">
        <v>0</v>
      </c>
      <c r="K2358" s="35" t="n">
        <v>0.065</v>
      </c>
    </row>
    <row r="2359">
      <c r="A2359" s="36" t="inlineStr">
        <is>
          <t>AGA SPK-tilskudd</t>
        </is>
      </c>
      <c r="B2359" s="36" t="inlineStr">
        <is>
          <t>Region Øst</t>
        </is>
      </c>
      <c r="C2359" s="36" t="inlineStr">
        <is>
          <t>Akershus ungdoms- og familiesenter - akutt  Avdeling Tjernlia</t>
        </is>
      </c>
      <c r="D2359" s="26" t="n">
        <v>-30202</v>
      </c>
      <c r="E2359" s="26" t="n">
        <v>-26364</v>
      </c>
      <c r="F2359" s="26" t="n">
        <v>-8763</v>
      </c>
      <c r="G2359" s="26" t="n">
        <v>1806</v>
      </c>
      <c r="H2359" s="26" t="n">
        <v>14638</v>
      </c>
      <c r="I2359" s="26" t="n">
        <v>84</v>
      </c>
      <c r="J2359" s="19" t="n">
        <v>95.27489999999999</v>
      </c>
      <c r="K2359" s="37" t="n">
        <v>0.065</v>
      </c>
    </row>
    <row r="2360">
      <c r="A2360" s="34" t="inlineStr">
        <is>
          <t>AGA SPK-tilskudd</t>
        </is>
      </c>
      <c r="B2360" s="34" t="inlineStr">
        <is>
          <t>Region Øst</t>
        </is>
      </c>
      <c r="C2360" s="34" t="inlineStr">
        <is>
          <t>Akershus ungdoms- og familiesenter - akutt  Avdeling Tjernlia</t>
        </is>
      </c>
      <c r="D2360" s="18" t="n"/>
      <c r="E2360" s="18" t="n">
        <v>-249002</v>
      </c>
      <c r="F2360" s="18" t="n">
        <v>-263504</v>
      </c>
      <c r="G2360" s="18" t="n">
        <v>-673865</v>
      </c>
      <c r="H2360" s="18" t="n">
        <v>-145111</v>
      </c>
      <c r="I2360" s="18" t="n"/>
      <c r="J2360" s="19" t="n">
        <v>0</v>
      </c>
      <c r="K2360" s="35" t="n">
        <v>0.065</v>
      </c>
    </row>
    <row r="2361">
      <c r="A2361" s="36" t="inlineStr">
        <is>
          <t>AGA SPK-tilskudd</t>
        </is>
      </c>
      <c r="B2361" s="36" t="inlineStr">
        <is>
          <t>Region Øst</t>
        </is>
      </c>
      <c r="C2361" s="36" t="inlineStr">
        <is>
          <t>Akershus ungdoms- og familiesenter - akutt  Avdeling Tjernlia</t>
        </is>
      </c>
      <c r="D2361" s="26" t="n">
        <v>-177522</v>
      </c>
      <c r="E2361" s="26" t="n">
        <v>-521287</v>
      </c>
      <c r="F2361" s="26" t="n">
        <v>-668782</v>
      </c>
      <c r="G2361" s="26" t="n">
        <v>-1360095</v>
      </c>
      <c r="H2361" s="26" t="n">
        <v>-791685</v>
      </c>
      <c r="I2361" s="26" t="n">
        <v>-66480</v>
      </c>
      <c r="J2361" s="19" t="n">
        <v>-75403.27799999999</v>
      </c>
      <c r="K2361" s="37" t="n">
        <v>0.065</v>
      </c>
    </row>
    <row r="2362">
      <c r="A2362" s="34" t="inlineStr">
        <is>
          <t>AGA SPK-tilskudd</t>
        </is>
      </c>
      <c r="B2362" s="34" t="inlineStr">
        <is>
          <t>Region Øst</t>
        </is>
      </c>
      <c r="C2362" s="34" t="inlineStr">
        <is>
          <t>Akershus ungdoms- og familiesenter - akutt Avdeling Bjørlien</t>
        </is>
      </c>
      <c r="D2362" s="18" t="n">
        <v>155280</v>
      </c>
      <c r="E2362" s="18" t="n">
        <v>137815</v>
      </c>
      <c r="F2362" s="18" t="n">
        <v>117865</v>
      </c>
      <c r="G2362" s="18" t="n">
        <v>135264</v>
      </c>
      <c r="H2362" s="18" t="n">
        <v>148439</v>
      </c>
      <c r="I2362" s="18" t="n">
        <v>5021</v>
      </c>
      <c r="J2362" s="19" t="n">
        <v>2824.3125</v>
      </c>
      <c r="K2362" s="35" t="n">
        <v>-0.25</v>
      </c>
    </row>
    <row r="2363">
      <c r="A2363" s="36" t="inlineStr">
        <is>
          <t>AGA SPK-tilskudd</t>
        </is>
      </c>
      <c r="B2363" s="36" t="inlineStr">
        <is>
          <t>Region Øst</t>
        </is>
      </c>
      <c r="C2363" s="36" t="inlineStr">
        <is>
          <t>Akershus ungdoms- og familiesenter - akutt Avdeling Bjørlien</t>
        </is>
      </c>
      <c r="D2363" s="26" t="n">
        <v>136946</v>
      </c>
      <c r="E2363" s="26" t="n">
        <v>25151</v>
      </c>
      <c r="F2363" s="26" t="n"/>
      <c r="G2363" s="26" t="n">
        <v>144699</v>
      </c>
      <c r="H2363" s="26" t="n">
        <v>130112</v>
      </c>
      <c r="I2363" s="26" t="n">
        <v>490</v>
      </c>
      <c r="J2363" s="19" t="n">
        <v>275.625</v>
      </c>
      <c r="K2363" s="37" t="n">
        <v>-0.25</v>
      </c>
    </row>
    <row r="2364">
      <c r="A2364" s="34" t="inlineStr">
        <is>
          <t>AGA SPK-tilskudd</t>
        </is>
      </c>
      <c r="B2364" s="34" t="inlineStr">
        <is>
          <t>Region Øst</t>
        </is>
      </c>
      <c r="C2364" s="34" t="inlineStr">
        <is>
          <t>Akershus ungdoms- og familiesenter - akutt Avdeling Bjørlien</t>
        </is>
      </c>
      <c r="D2364" s="18" t="n">
        <v>9143</v>
      </c>
      <c r="E2364" s="18" t="n">
        <v>11596</v>
      </c>
      <c r="F2364" s="18" t="n">
        <v>18657</v>
      </c>
      <c r="G2364" s="18" t="n">
        <v>12138</v>
      </c>
      <c r="H2364" s="18" t="n">
        <v>24983</v>
      </c>
      <c r="I2364" s="18" t="n">
        <v>2315</v>
      </c>
      <c r="J2364" s="19" t="n">
        <v>1336.398272543877</v>
      </c>
      <c r="K2364" s="35" t="n">
        <v>-0.2402119561948648</v>
      </c>
    </row>
    <row r="2365">
      <c r="A2365" s="36" t="inlineStr">
        <is>
          <t>AGA SPK-tilskudd</t>
        </is>
      </c>
      <c r="B2365" s="36" t="inlineStr">
        <is>
          <t>Region Øst</t>
        </is>
      </c>
      <c r="C2365" s="36" t="inlineStr">
        <is>
          <t>Akershus ungdoms- og familiesenter - akutt Avdeling Bjørlien</t>
        </is>
      </c>
      <c r="D2365" s="26" t="n">
        <v>42000</v>
      </c>
      <c r="E2365" s="26" t="n">
        <v>48160</v>
      </c>
      <c r="F2365" s="26" t="n">
        <v>55931</v>
      </c>
      <c r="G2365" s="26" t="n">
        <v>68275</v>
      </c>
      <c r="H2365" s="26" t="n">
        <v>74509</v>
      </c>
      <c r="I2365" s="26" t="n">
        <v>1420</v>
      </c>
      <c r="J2365" s="19" t="n">
        <v>798.75</v>
      </c>
      <c r="K2365" s="37" t="n">
        <v>-0.25</v>
      </c>
    </row>
    <row r="2366">
      <c r="A2366" s="34" t="inlineStr">
        <is>
          <t>AGA SPK-tilskudd</t>
        </is>
      </c>
      <c r="B2366" s="34" t="inlineStr">
        <is>
          <t>Region Øst</t>
        </is>
      </c>
      <c r="C2366" s="34" t="inlineStr">
        <is>
          <t>Akershus ungdoms- og familiesenter - akutt Avdeling Bjørlien</t>
        </is>
      </c>
      <c r="D2366" s="18" t="n">
        <v>1518</v>
      </c>
      <c r="E2366" s="18" t="n"/>
      <c r="F2366" s="18" t="n">
        <v>14710</v>
      </c>
      <c r="G2366" s="18" t="n">
        <v>8169</v>
      </c>
      <c r="H2366" s="18" t="n">
        <v>9410</v>
      </c>
      <c r="I2366" s="18" t="n"/>
      <c r="J2366" s="19" t="n">
        <v>0</v>
      </c>
      <c r="K2366" s="35" t="n">
        <v>0.065</v>
      </c>
    </row>
    <row r="2367">
      <c r="A2367" s="36" t="inlineStr">
        <is>
          <t>AGA SPK-tilskudd</t>
        </is>
      </c>
      <c r="B2367" s="36" t="inlineStr">
        <is>
          <t>Region Øst</t>
        </is>
      </c>
      <c r="C2367" s="36" t="inlineStr">
        <is>
          <t>Akershus ungdoms- og familiesenter - akutt Avdeling Bjørlien</t>
        </is>
      </c>
      <c r="D2367" s="26" t="n">
        <v>1705</v>
      </c>
      <c r="E2367" s="26" t="n">
        <v>389</v>
      </c>
      <c r="F2367" s="26" t="n">
        <v>3333</v>
      </c>
      <c r="G2367" s="26" t="n">
        <v>588</v>
      </c>
      <c r="H2367" s="26" t="n">
        <v>4158</v>
      </c>
      <c r="I2367" s="26" t="n"/>
      <c r="J2367" s="19" t="n">
        <v>0</v>
      </c>
      <c r="K2367" s="37" t="n">
        <v>0.065</v>
      </c>
    </row>
    <row r="2368">
      <c r="A2368" s="34" t="inlineStr">
        <is>
          <t>AGA SPK-tilskudd</t>
        </is>
      </c>
      <c r="B2368" s="34" t="inlineStr">
        <is>
          <t>Region Øst</t>
        </is>
      </c>
      <c r="C2368" s="34" t="inlineStr">
        <is>
          <t>Akershus ungdoms- og familiesenter - akutt Avdeling Bjørlien</t>
        </is>
      </c>
      <c r="D2368" s="18" t="n">
        <v>600</v>
      </c>
      <c r="E2368" s="18" t="n"/>
      <c r="F2368" s="18" t="n"/>
      <c r="G2368" s="18" t="n"/>
      <c r="H2368" s="18" t="n"/>
      <c r="I2368" s="18" t="n"/>
      <c r="J2368" s="19" t="n">
        <v>0</v>
      </c>
      <c r="K2368" s="35" t="n">
        <v>0.065</v>
      </c>
    </row>
    <row r="2369">
      <c r="A2369" s="36" t="inlineStr">
        <is>
          <t>AGA SPK-tilskudd</t>
        </is>
      </c>
      <c r="B2369" s="36" t="inlineStr">
        <is>
          <t>Region Øst</t>
        </is>
      </c>
      <c r="C2369" s="36" t="inlineStr">
        <is>
          <t>Akershus ungdoms- og familiesenter - akutt Avdeling Bjørlien</t>
        </is>
      </c>
      <c r="D2369" s="26" t="n"/>
      <c r="E2369" s="26" t="n">
        <v>580</v>
      </c>
      <c r="F2369" s="26" t="n">
        <v>1030</v>
      </c>
      <c r="G2369" s="26" t="n"/>
      <c r="H2369" s="26" t="n"/>
      <c r="I2369" s="26" t="n"/>
      <c r="J2369" s="19" t="n">
        <v>0</v>
      </c>
      <c r="K2369" s="37" t="n">
        <v>0.065</v>
      </c>
    </row>
    <row r="2370">
      <c r="A2370" s="34" t="inlineStr">
        <is>
          <t>AGA SPK-tilskudd</t>
        </is>
      </c>
      <c r="B2370" s="34" t="inlineStr">
        <is>
          <t>Region Øst</t>
        </is>
      </c>
      <c r="C2370" s="34" t="inlineStr">
        <is>
          <t>Akershus ungdoms- og familiesenter - akutt Avdeling Bjørlien</t>
        </is>
      </c>
      <c r="D2370" s="18" t="n">
        <v>11477</v>
      </c>
      <c r="E2370" s="18" t="n">
        <v>18140</v>
      </c>
      <c r="F2370" s="18" t="n">
        <v>11075</v>
      </c>
      <c r="G2370" s="18" t="n">
        <v>13555</v>
      </c>
      <c r="H2370" s="18" t="n">
        <v>22165</v>
      </c>
      <c r="I2370" s="18" t="n">
        <v>732</v>
      </c>
      <c r="J2370" s="19" t="n">
        <v>411.75</v>
      </c>
      <c r="K2370" s="35" t="n">
        <v>-0.25</v>
      </c>
    </row>
    <row r="2371">
      <c r="A2371" s="36" t="inlineStr">
        <is>
          <t>AGA SPK-tilskudd</t>
        </is>
      </c>
      <c r="B2371" s="36" t="inlineStr">
        <is>
          <t>Region Øst</t>
        </is>
      </c>
      <c r="C2371" s="36" t="inlineStr">
        <is>
          <t>Akershus ungdoms- og familiesenter - akutt Avdeling Bjørlien</t>
        </is>
      </c>
      <c r="D2371" s="26" t="n">
        <v>790</v>
      </c>
      <c r="E2371" s="26" t="n">
        <v>59</v>
      </c>
      <c r="F2371" s="26" t="n">
        <v>502</v>
      </c>
      <c r="G2371" s="26" t="n">
        <v>9181</v>
      </c>
      <c r="H2371" s="26" t="n">
        <v>1641</v>
      </c>
      <c r="I2371" s="26" t="n"/>
      <c r="J2371" s="19" t="n">
        <v>0</v>
      </c>
      <c r="K2371" s="37" t="n">
        <v>0.065</v>
      </c>
    </row>
    <row r="2372">
      <c r="A2372" s="34" t="inlineStr">
        <is>
          <t>AGA SPK-tilskudd</t>
        </is>
      </c>
      <c r="B2372" s="34" t="inlineStr">
        <is>
          <t>Region Øst</t>
        </is>
      </c>
      <c r="C2372" s="34" t="inlineStr">
        <is>
          <t>Akershus ungdoms- og familiesenter - akutt Avdeling Bjørlien</t>
        </is>
      </c>
      <c r="D2372" s="18" t="n"/>
      <c r="E2372" s="18" t="n"/>
      <c r="F2372" s="18" t="n">
        <v>685</v>
      </c>
      <c r="G2372" s="18" t="n"/>
      <c r="H2372" s="18" t="n"/>
      <c r="I2372" s="18" t="n"/>
      <c r="J2372" s="19" t="n">
        <v>0</v>
      </c>
      <c r="K2372" s="35" t="n">
        <v>0.065</v>
      </c>
    </row>
    <row r="2373">
      <c r="A2373" s="36" t="inlineStr">
        <is>
          <t>AGA SPK-tilskudd</t>
        </is>
      </c>
      <c r="B2373" s="36" t="inlineStr">
        <is>
          <t>Region Øst</t>
        </is>
      </c>
      <c r="C2373" s="36" t="inlineStr">
        <is>
          <t>Akershus ungdoms- og familiesenter - akutt Avdeling Bjørlien</t>
        </is>
      </c>
      <c r="D2373" s="26" t="n">
        <v>5386</v>
      </c>
      <c r="E2373" s="26" t="n">
        <v>7704</v>
      </c>
      <c r="F2373" s="26" t="n">
        <v>8548</v>
      </c>
      <c r="G2373" s="26" t="n">
        <v>2544</v>
      </c>
      <c r="H2373" s="26" t="n">
        <v>4401</v>
      </c>
      <c r="I2373" s="26" t="n"/>
      <c r="J2373" s="19" t="n">
        <v>0</v>
      </c>
      <c r="K2373" s="37" t="n">
        <v>0.065</v>
      </c>
    </row>
    <row r="2374">
      <c r="A2374" s="34" t="inlineStr">
        <is>
          <t>AGA SPK-tilskudd</t>
        </is>
      </c>
      <c r="B2374" s="34" t="inlineStr">
        <is>
          <t>Region Øst</t>
        </is>
      </c>
      <c r="C2374" s="34" t="inlineStr">
        <is>
          <t>Akershus ungdoms- og familiesenter - akutt Avdeling Bjørlien</t>
        </is>
      </c>
      <c r="D2374" s="18" t="n">
        <v>-24568</v>
      </c>
      <c r="E2374" s="18" t="n">
        <v>-20211</v>
      </c>
      <c r="F2374" s="18" t="n">
        <v>-4430</v>
      </c>
      <c r="G2374" s="18" t="n">
        <v>5451</v>
      </c>
      <c r="H2374" s="18" t="n">
        <v>2552</v>
      </c>
      <c r="I2374" s="18" t="n">
        <v>2200</v>
      </c>
      <c r="J2374" s="19" t="n">
        <v>2495.295</v>
      </c>
      <c r="K2374" s="35" t="n">
        <v>0.065</v>
      </c>
    </row>
    <row r="2375">
      <c r="A2375" s="36" t="inlineStr">
        <is>
          <t>AGA SPK-tilskudd</t>
        </is>
      </c>
      <c r="B2375" s="36" t="inlineStr">
        <is>
          <t>Region Øst</t>
        </is>
      </c>
      <c r="C2375" s="36" t="inlineStr">
        <is>
          <t>Akershus ungdoms- og familiesenter - akutt Avdeling Bjørlien</t>
        </is>
      </c>
      <c r="D2375" s="26" t="n">
        <v>-267640</v>
      </c>
      <c r="E2375" s="26" t="n">
        <v>-75880</v>
      </c>
      <c r="F2375" s="26" t="n">
        <v>-70950</v>
      </c>
      <c r="G2375" s="26" t="n">
        <v>-257843</v>
      </c>
      <c r="H2375" s="26" t="n">
        <v>-254060</v>
      </c>
      <c r="I2375" s="26" t="n"/>
      <c r="J2375" s="19" t="n">
        <v>0</v>
      </c>
      <c r="K2375" s="37" t="n">
        <v>0.065</v>
      </c>
    </row>
    <row r="2376">
      <c r="A2376" s="34" t="inlineStr">
        <is>
          <t>AGA SPK-tilskudd</t>
        </is>
      </c>
      <c r="B2376" s="34" t="inlineStr">
        <is>
          <t>Region Øst</t>
        </is>
      </c>
      <c r="C2376" s="34" t="inlineStr">
        <is>
          <t>Akershus ungdoms- og familiesenter - akutt Avdeling Bjørlien</t>
        </is>
      </c>
      <c r="D2376" s="18" t="n">
        <v>-1245731</v>
      </c>
      <c r="E2376" s="18" t="n">
        <v>-961203</v>
      </c>
      <c r="F2376" s="18" t="n">
        <v>-768480</v>
      </c>
      <c r="G2376" s="18" t="n">
        <v>-1453214</v>
      </c>
      <c r="H2376" s="18" t="n">
        <v>-976718</v>
      </c>
      <c r="I2376" s="18" t="n">
        <v>-72178</v>
      </c>
      <c r="J2376" s="19" t="n">
        <v>-81866.09204999999</v>
      </c>
      <c r="K2376" s="35" t="n">
        <v>0.065</v>
      </c>
    </row>
    <row r="2377">
      <c r="A2377" s="36" t="inlineStr">
        <is>
          <t>AGA SPK-tilskudd</t>
        </is>
      </c>
      <c r="B2377" s="36" t="inlineStr">
        <is>
          <t>Region Øst</t>
        </is>
      </c>
      <c r="C2377" s="36" t="inlineStr">
        <is>
          <t>Akershus ungdoms- og familiesenter - akutt Avdeling Follo</t>
        </is>
      </c>
      <c r="D2377" s="26" t="n">
        <v>48815</v>
      </c>
      <c r="E2377" s="26" t="n">
        <v>109578</v>
      </c>
      <c r="F2377" s="26" t="n">
        <v>2045</v>
      </c>
      <c r="G2377" s="26" t="n">
        <v>32</v>
      </c>
      <c r="H2377" s="26" t="n"/>
      <c r="I2377" s="26" t="n"/>
      <c r="J2377" s="19" t="n">
        <v>0</v>
      </c>
      <c r="K2377" s="37" t="n">
        <v>0.065</v>
      </c>
    </row>
    <row r="2378">
      <c r="A2378" s="34" t="inlineStr">
        <is>
          <t>AGA SPK-tilskudd</t>
        </is>
      </c>
      <c r="B2378" s="34" t="inlineStr">
        <is>
          <t>Region Øst</t>
        </is>
      </c>
      <c r="C2378" s="34" t="inlineStr">
        <is>
          <t>Akershus ungdoms- og familiesenter - akutt Avdeling Follo</t>
        </is>
      </c>
      <c r="D2378" s="18" t="n">
        <v>12853</v>
      </c>
      <c r="E2378" s="18" t="n">
        <v>40380</v>
      </c>
      <c r="F2378" s="18" t="n"/>
      <c r="G2378" s="18" t="n"/>
      <c r="H2378" s="18" t="n"/>
      <c r="I2378" s="18" t="n"/>
      <c r="J2378" s="19" t="n">
        <v>0</v>
      </c>
      <c r="K2378" s="35" t="n">
        <v>0.065</v>
      </c>
    </row>
    <row r="2379">
      <c r="A2379" s="36" t="inlineStr">
        <is>
          <t>AGA SPK-tilskudd</t>
        </is>
      </c>
      <c r="B2379" s="36" t="inlineStr">
        <is>
          <t>Region Øst</t>
        </is>
      </c>
      <c r="C2379" s="36" t="inlineStr">
        <is>
          <t>Akershus ungdoms- og familiesenter - akutt Avdeling Follo</t>
        </is>
      </c>
      <c r="D2379" s="26" t="n">
        <v>938</v>
      </c>
      <c r="E2379" s="26" t="n">
        <v>4623</v>
      </c>
      <c r="F2379" s="26" t="n">
        <v>5567</v>
      </c>
      <c r="G2379" s="26" t="n"/>
      <c r="H2379" s="26" t="n"/>
      <c r="I2379" s="26" t="n"/>
      <c r="J2379" s="19" t="n">
        <v>0</v>
      </c>
      <c r="K2379" s="37" t="n">
        <v>0.065</v>
      </c>
    </row>
    <row r="2380">
      <c r="A2380" s="34" t="inlineStr">
        <is>
          <t>AGA SPK-tilskudd</t>
        </is>
      </c>
      <c r="B2380" s="34" t="inlineStr">
        <is>
          <t>Region Øst</t>
        </is>
      </c>
      <c r="C2380" s="34" t="inlineStr">
        <is>
          <t>Akershus ungdoms- og familiesenter - akutt Avdeling Follo</t>
        </is>
      </c>
      <c r="D2380" s="18" t="n">
        <v>18500</v>
      </c>
      <c r="E2380" s="18" t="n">
        <v>40927</v>
      </c>
      <c r="F2380" s="18" t="n">
        <v>1636</v>
      </c>
      <c r="G2380" s="18" t="n"/>
      <c r="H2380" s="18" t="n"/>
      <c r="I2380" s="18" t="n"/>
      <c r="J2380" s="19" t="n">
        <v>0</v>
      </c>
      <c r="K2380" s="35" t="n">
        <v>0.065</v>
      </c>
    </row>
    <row r="2381">
      <c r="A2381" s="36" t="inlineStr">
        <is>
          <t>AGA SPK-tilskudd</t>
        </is>
      </c>
      <c r="B2381" s="36" t="inlineStr">
        <is>
          <t>Region Øst</t>
        </is>
      </c>
      <c r="C2381" s="36" t="inlineStr">
        <is>
          <t>Akershus ungdoms- og familiesenter - akutt Avdeling Follo</t>
        </is>
      </c>
      <c r="D2381" s="26" t="n"/>
      <c r="E2381" s="26" t="n">
        <v>2898</v>
      </c>
      <c r="F2381" s="26" t="n"/>
      <c r="G2381" s="26" t="n"/>
      <c r="H2381" s="26" t="n"/>
      <c r="I2381" s="26" t="n"/>
      <c r="J2381" s="19" t="n">
        <v>0</v>
      </c>
      <c r="K2381" s="37" t="n">
        <v>0.065</v>
      </c>
    </row>
    <row r="2382">
      <c r="A2382" s="34" t="inlineStr">
        <is>
          <t>AGA SPK-tilskudd</t>
        </is>
      </c>
      <c r="B2382" s="34" t="inlineStr">
        <is>
          <t>Region Øst</t>
        </is>
      </c>
      <c r="C2382" s="34" t="inlineStr">
        <is>
          <t>Akershus ungdoms- og familiesenter - akutt Avdeling Follo</t>
        </is>
      </c>
      <c r="D2382" s="18" t="n">
        <v>1554</v>
      </c>
      <c r="E2382" s="18" t="n">
        <v>869</v>
      </c>
      <c r="F2382" s="18" t="n">
        <v>6566</v>
      </c>
      <c r="G2382" s="18" t="n"/>
      <c r="H2382" s="18" t="n"/>
      <c r="I2382" s="18" t="n"/>
      <c r="J2382" s="19" t="n">
        <v>0</v>
      </c>
      <c r="K2382" s="35" t="n">
        <v>0.065</v>
      </c>
    </row>
    <row r="2383">
      <c r="A2383" s="36" t="inlineStr">
        <is>
          <t>AGA SPK-tilskudd</t>
        </is>
      </c>
      <c r="B2383" s="36" t="inlineStr">
        <is>
          <t>Region Øst</t>
        </is>
      </c>
      <c r="C2383" s="36" t="inlineStr">
        <is>
          <t>Akershus ungdoms- og familiesenter - akutt Avdeling Follo</t>
        </is>
      </c>
      <c r="D2383" s="26" t="n">
        <v>800</v>
      </c>
      <c r="E2383" s="26" t="n"/>
      <c r="F2383" s="26" t="n"/>
      <c r="G2383" s="26" t="n"/>
      <c r="H2383" s="26" t="n"/>
      <c r="I2383" s="26" t="n"/>
      <c r="J2383" s="19" t="n">
        <v>0</v>
      </c>
      <c r="K2383" s="37" t="n">
        <v>0.065</v>
      </c>
    </row>
    <row r="2384">
      <c r="A2384" s="34" t="inlineStr">
        <is>
          <t>AGA SPK-tilskudd</t>
        </is>
      </c>
      <c r="B2384" s="34" t="inlineStr">
        <is>
          <t>Region Øst</t>
        </is>
      </c>
      <c r="C2384" s="34" t="inlineStr">
        <is>
          <t>Akershus ungdoms- og familiesenter - akutt Avdeling Follo</t>
        </is>
      </c>
      <c r="D2384" s="18" t="n">
        <v>7170</v>
      </c>
      <c r="E2384" s="18" t="n">
        <v>8321</v>
      </c>
      <c r="F2384" s="18" t="n"/>
      <c r="G2384" s="18" t="n"/>
      <c r="H2384" s="18" t="n"/>
      <c r="I2384" s="18" t="n"/>
      <c r="J2384" s="19" t="n">
        <v>0</v>
      </c>
      <c r="K2384" s="35" t="n">
        <v>0.065</v>
      </c>
    </row>
    <row r="2385">
      <c r="A2385" s="36" t="inlineStr">
        <is>
          <t>AGA SPK-tilskudd</t>
        </is>
      </c>
      <c r="B2385" s="36" t="inlineStr">
        <is>
          <t>Region Øst</t>
        </is>
      </c>
      <c r="C2385" s="36" t="inlineStr">
        <is>
          <t>Akershus ungdoms- og familiesenter - akutt Avdeling Follo</t>
        </is>
      </c>
      <c r="D2385" s="26" t="n">
        <v>695</v>
      </c>
      <c r="E2385" s="26" t="n">
        <v>120</v>
      </c>
      <c r="F2385" s="26" t="n">
        <v>994</v>
      </c>
      <c r="G2385" s="26" t="n"/>
      <c r="H2385" s="26" t="n"/>
      <c r="I2385" s="26" t="n"/>
      <c r="J2385" s="19" t="n">
        <v>0</v>
      </c>
      <c r="K2385" s="37" t="n">
        <v>0.065</v>
      </c>
    </row>
    <row r="2386">
      <c r="A2386" s="34" t="inlineStr">
        <is>
          <t>AGA SPK-tilskudd</t>
        </is>
      </c>
      <c r="B2386" s="34" t="inlineStr">
        <is>
          <t>Region Øst</t>
        </is>
      </c>
      <c r="C2386" s="34" t="inlineStr">
        <is>
          <t>Akershus ungdoms- og familiesenter - akutt Avdeling Follo</t>
        </is>
      </c>
      <c r="D2386" s="18" t="n">
        <v>876</v>
      </c>
      <c r="E2386" s="18" t="n">
        <v>13422</v>
      </c>
      <c r="F2386" s="18" t="n"/>
      <c r="G2386" s="18" t="n"/>
      <c r="H2386" s="18" t="n"/>
      <c r="I2386" s="18" t="n"/>
      <c r="J2386" s="19" t="n">
        <v>0</v>
      </c>
      <c r="K2386" s="35" t="n">
        <v>0.065</v>
      </c>
    </row>
    <row r="2387">
      <c r="A2387" s="36" t="inlineStr">
        <is>
          <t>AGA SPK-tilskudd</t>
        </is>
      </c>
      <c r="B2387" s="36" t="inlineStr">
        <is>
          <t>Region Øst</t>
        </is>
      </c>
      <c r="C2387" s="36" t="inlineStr">
        <is>
          <t>Akershus ungdoms- og familiesenter - akutt Avdeling Follo</t>
        </is>
      </c>
      <c r="D2387" s="26" t="n">
        <v>-4564</v>
      </c>
      <c r="E2387" s="26" t="n">
        <v>-8641</v>
      </c>
      <c r="F2387" s="26" t="n">
        <v>475</v>
      </c>
      <c r="G2387" s="26" t="n"/>
      <c r="H2387" s="26" t="n"/>
      <c r="I2387" s="26" t="n"/>
      <c r="J2387" s="19" t="n">
        <v>0</v>
      </c>
      <c r="K2387" s="37" t="n">
        <v>0.065</v>
      </c>
    </row>
    <row r="2388">
      <c r="A2388" s="34" t="inlineStr">
        <is>
          <t>AGA SPK-tilskudd</t>
        </is>
      </c>
      <c r="B2388" s="34" t="inlineStr">
        <is>
          <t>Region Øst</t>
        </is>
      </c>
      <c r="C2388" s="34" t="inlineStr">
        <is>
          <t>Akershus ungdoms- og familiesenter - akutt Avdeling Follo</t>
        </is>
      </c>
      <c r="D2388" s="18" t="n">
        <v>-124168</v>
      </c>
      <c r="E2388" s="18" t="n">
        <v>-53125</v>
      </c>
      <c r="F2388" s="18" t="n"/>
      <c r="G2388" s="18" t="n"/>
      <c r="H2388" s="18" t="n"/>
      <c r="I2388" s="18" t="n"/>
      <c r="J2388" s="19" t="n">
        <v>0</v>
      </c>
      <c r="K2388" s="35" t="n">
        <v>0.065</v>
      </c>
    </row>
    <row r="2389">
      <c r="A2389" s="36" t="inlineStr">
        <is>
          <t>AGA SPK-tilskudd</t>
        </is>
      </c>
      <c r="B2389" s="36" t="inlineStr">
        <is>
          <t>Region Øst</t>
        </is>
      </c>
      <c r="C2389" s="36" t="inlineStr">
        <is>
          <t>Akershus ungdoms- og familiesenter - akutt Avdeling Follo</t>
        </is>
      </c>
      <c r="D2389" s="26" t="n">
        <v>-117537</v>
      </c>
      <c r="E2389" s="26" t="n">
        <v>-737662</v>
      </c>
      <c r="F2389" s="26" t="n">
        <v>-274979</v>
      </c>
      <c r="G2389" s="26" t="n">
        <v>-99559</v>
      </c>
      <c r="H2389" s="26" t="n"/>
      <c r="I2389" s="26" t="n"/>
      <c r="J2389" s="19" t="n">
        <v>0</v>
      </c>
      <c r="K2389" s="37" t="n">
        <v>0.065</v>
      </c>
    </row>
    <row r="2390">
      <c r="A2390" s="34" t="inlineStr">
        <is>
          <t>AGA SPK-tilskudd</t>
        </is>
      </c>
      <c r="B2390" s="34" t="inlineStr">
        <is>
          <t>Region Øst</t>
        </is>
      </c>
      <c r="C2390" s="34" t="inlineStr">
        <is>
          <t>Akershus ungdoms- og familiesenter - akutt Avdeling Jibbe</t>
        </is>
      </c>
      <c r="D2390" s="18" t="n">
        <v>40606</v>
      </c>
      <c r="E2390" s="18" t="n">
        <v>132017</v>
      </c>
      <c r="F2390" s="18" t="n">
        <v>119060</v>
      </c>
      <c r="G2390" s="18" t="n">
        <v>130792</v>
      </c>
      <c r="H2390" s="18" t="n">
        <v>155269</v>
      </c>
      <c r="I2390" s="18" t="n">
        <v>4162</v>
      </c>
      <c r="J2390" s="19" t="n">
        <v>2341.125</v>
      </c>
      <c r="K2390" s="35" t="n">
        <v>-0.25</v>
      </c>
    </row>
    <row r="2391">
      <c r="A2391" s="36" t="inlineStr">
        <is>
          <t>AGA SPK-tilskudd</t>
        </is>
      </c>
      <c r="B2391" s="36" t="inlineStr">
        <is>
          <t>Region Øst</t>
        </is>
      </c>
      <c r="C2391" s="36" t="inlineStr">
        <is>
          <t>Akershus ungdoms- og familiesenter - akutt Avdeling Jibbe</t>
        </is>
      </c>
      <c r="D2391" s="26" t="n">
        <v>18095</v>
      </c>
      <c r="E2391" s="26" t="n">
        <v>4166</v>
      </c>
      <c r="F2391" s="26" t="n"/>
      <c r="G2391" s="26" t="n">
        <v>479</v>
      </c>
      <c r="H2391" s="26" t="n">
        <v>7631</v>
      </c>
      <c r="I2391" s="26" t="n">
        <v>867</v>
      </c>
      <c r="J2391" s="19" t="n">
        <v>487.6875</v>
      </c>
      <c r="K2391" s="37" t="n">
        <v>-0.25</v>
      </c>
    </row>
    <row r="2392">
      <c r="A2392" s="34" t="inlineStr">
        <is>
          <t>AGA SPK-tilskudd</t>
        </is>
      </c>
      <c r="B2392" s="34" t="inlineStr">
        <is>
          <t>Region Øst</t>
        </is>
      </c>
      <c r="C2392" s="34" t="inlineStr">
        <is>
          <t>Akershus ungdoms- og familiesenter - akutt Avdeling Jibbe</t>
        </is>
      </c>
      <c r="D2392" s="18" t="n">
        <v>1135</v>
      </c>
      <c r="E2392" s="18" t="n">
        <v>6972</v>
      </c>
      <c r="F2392" s="18" t="n">
        <v>17519</v>
      </c>
      <c r="G2392" s="18" t="n">
        <v>2300</v>
      </c>
      <c r="H2392" s="18" t="n">
        <v>17749</v>
      </c>
      <c r="I2392" s="18" t="n">
        <v>251</v>
      </c>
      <c r="J2392" s="19" t="n">
        <v>141.1875</v>
      </c>
      <c r="K2392" s="35" t="n">
        <v>-0.25</v>
      </c>
    </row>
    <row r="2393">
      <c r="A2393" s="36" t="inlineStr">
        <is>
          <t>AGA SPK-tilskudd</t>
        </is>
      </c>
      <c r="B2393" s="36" t="inlineStr">
        <is>
          <t>Region Øst</t>
        </is>
      </c>
      <c r="C2393" s="36" t="inlineStr">
        <is>
          <t>Akershus ungdoms- og familiesenter - akutt Avdeling Jibbe</t>
        </is>
      </c>
      <c r="D2393" s="26" t="n">
        <v>16200</v>
      </c>
      <c r="E2393" s="26" t="n">
        <v>51739</v>
      </c>
      <c r="F2393" s="26" t="n">
        <v>46728</v>
      </c>
      <c r="G2393" s="26" t="n">
        <v>53897</v>
      </c>
      <c r="H2393" s="26" t="n">
        <v>76023</v>
      </c>
      <c r="I2393" s="26" t="n">
        <v>283</v>
      </c>
      <c r="J2393" s="19" t="n">
        <v>159.1875</v>
      </c>
      <c r="K2393" s="37" t="n">
        <v>-0.25</v>
      </c>
    </row>
    <row r="2394">
      <c r="A2394" s="34" t="inlineStr">
        <is>
          <t>AGA SPK-tilskudd</t>
        </is>
      </c>
      <c r="B2394" s="34" t="inlineStr">
        <is>
          <t>Region Øst</t>
        </is>
      </c>
      <c r="C2394" s="34" t="inlineStr">
        <is>
          <t>Akershus ungdoms- og familiesenter - akutt Avdeling Jibbe</t>
        </is>
      </c>
      <c r="D2394" s="18" t="n"/>
      <c r="E2394" s="18" t="n">
        <v>4347</v>
      </c>
      <c r="F2394" s="18" t="n">
        <v>5856</v>
      </c>
      <c r="G2394" s="18" t="n"/>
      <c r="H2394" s="18" t="n"/>
      <c r="I2394" s="18" t="n"/>
      <c r="J2394" s="19" t="n">
        <v>0</v>
      </c>
      <c r="K2394" s="35" t="n">
        <v>0.065</v>
      </c>
    </row>
    <row r="2395">
      <c r="A2395" s="36" t="inlineStr">
        <is>
          <t>AGA SPK-tilskudd</t>
        </is>
      </c>
      <c r="B2395" s="36" t="inlineStr">
        <is>
          <t>Region Øst</t>
        </is>
      </c>
      <c r="C2395" s="36" t="inlineStr">
        <is>
          <t>Akershus ungdoms- og familiesenter - akutt Avdeling Jibbe</t>
        </is>
      </c>
      <c r="D2395" s="26" t="n">
        <v>798</v>
      </c>
      <c r="E2395" s="26" t="n">
        <v>10023</v>
      </c>
      <c r="F2395" s="26" t="n">
        <v>8469</v>
      </c>
      <c r="G2395" s="26" t="n">
        <v>6064</v>
      </c>
      <c r="H2395" s="26" t="n">
        <v>11117</v>
      </c>
      <c r="I2395" s="26" t="n">
        <v>1440</v>
      </c>
      <c r="J2395" s="19" t="n">
        <v>1823.502371225154</v>
      </c>
      <c r="K2395" s="37" t="n">
        <v>0.1253093313078761</v>
      </c>
    </row>
    <row r="2396">
      <c r="A2396" s="34" t="inlineStr">
        <is>
          <t>AGA SPK-tilskudd</t>
        </is>
      </c>
      <c r="B2396" s="34" t="inlineStr">
        <is>
          <t>Region Øst</t>
        </is>
      </c>
      <c r="C2396" s="34" t="inlineStr">
        <is>
          <t>Akershus ungdoms- og familiesenter - akutt Avdeling Jibbe</t>
        </is>
      </c>
      <c r="D2396" s="18" t="n"/>
      <c r="E2396" s="18" t="n"/>
      <c r="F2396" s="18" t="n"/>
      <c r="G2396" s="18" t="n"/>
      <c r="H2396" s="18" t="n">
        <v>280</v>
      </c>
      <c r="I2396" s="18" t="n">
        <v>280</v>
      </c>
      <c r="J2396" s="19" t="n">
        <v>317.583</v>
      </c>
      <c r="K2396" s="35" t="n">
        <v>0.065</v>
      </c>
    </row>
    <row r="2397">
      <c r="A2397" s="36" t="inlineStr">
        <is>
          <t>AGA SPK-tilskudd</t>
        </is>
      </c>
      <c r="B2397" s="36" t="inlineStr">
        <is>
          <t>Region Øst</t>
        </is>
      </c>
      <c r="C2397" s="36" t="inlineStr">
        <is>
          <t>Akershus ungdoms- og familiesenter - akutt Avdeling Jibbe</t>
        </is>
      </c>
      <c r="D2397" s="26" t="n"/>
      <c r="E2397" s="26" t="n"/>
      <c r="F2397" s="26" t="n"/>
      <c r="G2397" s="26" t="n">
        <v>270</v>
      </c>
      <c r="H2397" s="26" t="n">
        <v>1250</v>
      </c>
      <c r="I2397" s="26" t="n"/>
      <c r="J2397" s="19" t="n">
        <v>0</v>
      </c>
      <c r="K2397" s="37" t="n">
        <v>0.065</v>
      </c>
    </row>
    <row r="2398">
      <c r="A2398" s="34" t="inlineStr">
        <is>
          <t>AGA SPK-tilskudd</t>
        </is>
      </c>
      <c r="B2398" s="34" t="inlineStr">
        <is>
          <t>Region Øst</t>
        </is>
      </c>
      <c r="C2398" s="34" t="inlineStr">
        <is>
          <t>Akershus ungdoms- og familiesenter - akutt Avdeling Jibbe</t>
        </is>
      </c>
      <c r="D2398" s="18" t="n">
        <v>5698</v>
      </c>
      <c r="E2398" s="18" t="n">
        <v>14634</v>
      </c>
      <c r="F2398" s="18" t="n">
        <v>1468</v>
      </c>
      <c r="G2398" s="18" t="n">
        <v>14704</v>
      </c>
      <c r="H2398" s="18" t="n">
        <v>19026</v>
      </c>
      <c r="I2398" s="18" t="n"/>
      <c r="J2398" s="19" t="n">
        <v>0</v>
      </c>
      <c r="K2398" s="35" t="n">
        <v>0.065</v>
      </c>
    </row>
    <row r="2399">
      <c r="A2399" s="36" t="inlineStr">
        <is>
          <t>AGA SPK-tilskudd</t>
        </is>
      </c>
      <c r="B2399" s="36" t="inlineStr">
        <is>
          <t>Region Øst</t>
        </is>
      </c>
      <c r="C2399" s="36" t="inlineStr">
        <is>
          <t>Akershus ungdoms- og familiesenter - akutt Avdeling Jibbe</t>
        </is>
      </c>
      <c r="D2399" s="26" t="n">
        <v>121</v>
      </c>
      <c r="E2399" s="26" t="n">
        <v>1267</v>
      </c>
      <c r="F2399" s="26" t="n">
        <v>1027</v>
      </c>
      <c r="G2399" s="26" t="n">
        <v>1519</v>
      </c>
      <c r="H2399" s="26" t="n">
        <v>5144</v>
      </c>
      <c r="I2399" s="26" t="n">
        <v>684</v>
      </c>
      <c r="J2399" s="19" t="n">
        <v>1068.75</v>
      </c>
      <c r="K2399" s="37" t="n">
        <v>0.25</v>
      </c>
    </row>
    <row r="2400">
      <c r="A2400" s="34" t="inlineStr">
        <is>
          <t>AGA SPK-tilskudd</t>
        </is>
      </c>
      <c r="B2400" s="34" t="inlineStr">
        <is>
          <t>Region Øst</t>
        </is>
      </c>
      <c r="C2400" s="34" t="inlineStr">
        <is>
          <t>Akershus ungdoms- og familiesenter - akutt Avdeling Jibbe</t>
        </is>
      </c>
      <c r="D2400" s="18" t="n"/>
      <c r="E2400" s="18" t="n">
        <v>18202</v>
      </c>
      <c r="F2400" s="18" t="n">
        <v>11137</v>
      </c>
      <c r="G2400" s="18" t="n">
        <v>12864</v>
      </c>
      <c r="H2400" s="18" t="n">
        <v>4490</v>
      </c>
      <c r="I2400" s="18" t="n"/>
      <c r="J2400" s="19" t="n">
        <v>0</v>
      </c>
      <c r="K2400" s="35" t="n">
        <v>0.065</v>
      </c>
    </row>
    <row r="2401">
      <c r="A2401" s="36" t="inlineStr">
        <is>
          <t>AGA SPK-tilskudd</t>
        </is>
      </c>
      <c r="B2401" s="36" t="inlineStr">
        <is>
          <t>Region Øst</t>
        </is>
      </c>
      <c r="C2401" s="36" t="inlineStr">
        <is>
          <t>Akershus ungdoms- og familiesenter - akutt Avdeling Jibbe</t>
        </is>
      </c>
      <c r="D2401" s="26" t="n">
        <v>29313</v>
      </c>
      <c r="E2401" s="26" t="n">
        <v>39380</v>
      </c>
      <c r="F2401" s="26" t="n">
        <v>2957</v>
      </c>
      <c r="G2401" s="26" t="n">
        <v>17760</v>
      </c>
      <c r="H2401" s="26" t="n">
        <v>28919</v>
      </c>
      <c r="I2401" s="26" t="n">
        <v>7147</v>
      </c>
      <c r="J2401" s="19" t="n">
        <v>4063.957782593466</v>
      </c>
      <c r="K2401" s="37" t="n">
        <v>-0.2459281947477754</v>
      </c>
    </row>
    <row r="2402">
      <c r="A2402" s="34" t="inlineStr">
        <is>
          <t>AGA SPK-tilskudd</t>
        </is>
      </c>
      <c r="B2402" s="34" t="inlineStr">
        <is>
          <t>Region Øst</t>
        </is>
      </c>
      <c r="C2402" s="34" t="inlineStr">
        <is>
          <t>Akershus ungdoms- og familiesenter - akutt Avdeling Jibbe</t>
        </is>
      </c>
      <c r="D2402" s="18" t="n">
        <v>-56600</v>
      </c>
      <c r="E2402" s="18" t="n">
        <v>-271298</v>
      </c>
      <c r="F2402" s="18" t="n">
        <v>-1214265</v>
      </c>
      <c r="G2402" s="18" t="n">
        <v>-366281</v>
      </c>
      <c r="H2402" s="18" t="n">
        <v>-627178</v>
      </c>
      <c r="I2402" s="18" t="n">
        <v>-93180</v>
      </c>
      <c r="J2402" s="19" t="n">
        <v>-105687.0855</v>
      </c>
      <c r="K2402" s="35" t="n">
        <v>0.065</v>
      </c>
    </row>
    <row r="2403">
      <c r="A2403" s="36" t="inlineStr">
        <is>
          <t>AGA SPK-tilskudd</t>
        </is>
      </c>
      <c r="B2403" s="36" t="inlineStr">
        <is>
          <t>Region Øst</t>
        </is>
      </c>
      <c r="C2403" s="36" t="inlineStr">
        <is>
          <t>Akershus ungdoms- og familiesenter - akutt, adm</t>
        </is>
      </c>
      <c r="D2403" s="26" t="n"/>
      <c r="E2403" s="26" t="n"/>
      <c r="F2403" s="26" t="n"/>
      <c r="G2403" s="26" t="n"/>
      <c r="H2403" s="26" t="n"/>
      <c r="I2403" s="26" t="n">
        <v>35730</v>
      </c>
      <c r="J2403" s="19" t="n">
        <v>40525.85924999999</v>
      </c>
      <c r="K2403" s="37" t="n">
        <v>0.065</v>
      </c>
    </row>
    <row r="2404">
      <c r="A2404" s="34" t="inlineStr">
        <is>
          <t>AGA SPK-tilskudd</t>
        </is>
      </c>
      <c r="B2404" s="34" t="inlineStr">
        <is>
          <t>Region Øst</t>
        </is>
      </c>
      <c r="C2404" s="34" t="inlineStr">
        <is>
          <t>Akershus ungdoms- og familiesenter - akutt, adm</t>
        </is>
      </c>
      <c r="D2404" s="18" t="n"/>
      <c r="E2404" s="18" t="n"/>
      <c r="F2404" s="18" t="n"/>
      <c r="G2404" s="18" t="n"/>
      <c r="H2404" s="18" t="n"/>
      <c r="I2404" s="18" t="n">
        <v>8493</v>
      </c>
      <c r="J2404" s="19" t="n">
        <v>9632.972924999998</v>
      </c>
      <c r="K2404" s="35" t="n">
        <v>0.065</v>
      </c>
    </row>
    <row r="2405">
      <c r="A2405" s="36" t="inlineStr">
        <is>
          <t>AGA SPK-tilskudd</t>
        </is>
      </c>
      <c r="B2405" s="36" t="inlineStr">
        <is>
          <t>Region Øst</t>
        </is>
      </c>
      <c r="C2405" s="36" t="inlineStr">
        <is>
          <t>Akershus ungdoms- og familiesenter - akutt, adm</t>
        </is>
      </c>
      <c r="D2405" s="26" t="n"/>
      <c r="E2405" s="26" t="n"/>
      <c r="F2405" s="26" t="n"/>
      <c r="G2405" s="26" t="n"/>
      <c r="H2405" s="26" t="n"/>
      <c r="I2405" s="26" t="n">
        <v>8650</v>
      </c>
      <c r="J2405" s="19" t="n">
        <v>9811.046249999998</v>
      </c>
      <c r="K2405" s="37" t="n">
        <v>0.065</v>
      </c>
    </row>
    <row r="2406">
      <c r="A2406" s="34" t="inlineStr">
        <is>
          <t>AGA SPK-tilskudd</t>
        </is>
      </c>
      <c r="B2406" s="34" t="inlineStr">
        <is>
          <t>Region Øst</t>
        </is>
      </c>
      <c r="C2406" s="34" t="inlineStr">
        <is>
          <t>Akershus ungdoms- og familiesenter - akutt, adm</t>
        </is>
      </c>
      <c r="D2406" s="18" t="n"/>
      <c r="E2406" s="18" t="n"/>
      <c r="F2406" s="18" t="n"/>
      <c r="G2406" s="18" t="n"/>
      <c r="H2406" s="18" t="n"/>
      <c r="I2406" s="18" t="n">
        <v>11112</v>
      </c>
      <c r="J2406" s="19" t="n">
        <v>12603.5082</v>
      </c>
      <c r="K2406" s="35" t="n">
        <v>0.065</v>
      </c>
    </row>
    <row r="2407">
      <c r="A2407" s="36" t="inlineStr">
        <is>
          <t>AGA SPK-tilskudd</t>
        </is>
      </c>
      <c r="B2407" s="36" t="inlineStr">
        <is>
          <t>Region Øst</t>
        </is>
      </c>
      <c r="C2407" s="36" t="inlineStr">
        <is>
          <t>Akershus ungdoms- og familiesenter - akutt, adm</t>
        </is>
      </c>
      <c r="D2407" s="26" t="n"/>
      <c r="E2407" s="26" t="n"/>
      <c r="F2407" s="26" t="n"/>
      <c r="G2407" s="26" t="n"/>
      <c r="H2407" s="26" t="n"/>
      <c r="I2407" s="26" t="n">
        <v>80439</v>
      </c>
      <c r="J2407" s="19" t="n">
        <v>91235.92477499999</v>
      </c>
      <c r="K2407" s="37" t="n">
        <v>0.065</v>
      </c>
    </row>
    <row r="2408">
      <c r="A2408" s="34" t="inlineStr">
        <is>
          <t>AGA SPK-tilskudd</t>
        </is>
      </c>
      <c r="B2408" s="34" t="inlineStr">
        <is>
          <t>Region Øst</t>
        </is>
      </c>
      <c r="C2408" s="34" t="inlineStr">
        <is>
          <t>Akershus ungdoms- og familiesenter - akutt, adm</t>
        </is>
      </c>
      <c r="D2408" s="18" t="n"/>
      <c r="E2408" s="18" t="n"/>
      <c r="F2408" s="18" t="n"/>
      <c r="G2408" s="18" t="n"/>
      <c r="H2408" s="18" t="n"/>
      <c r="I2408" s="18" t="n">
        <v>24471</v>
      </c>
      <c r="J2408" s="19" t="n">
        <v>27755.61997499999</v>
      </c>
      <c r="K2408" s="35" t="n">
        <v>0.065</v>
      </c>
    </row>
    <row r="2409">
      <c r="A2409" s="36" t="inlineStr">
        <is>
          <t>AGA SPK-tilskudd</t>
        </is>
      </c>
      <c r="B2409" s="36" t="inlineStr">
        <is>
          <t>Region Øst</t>
        </is>
      </c>
      <c r="C2409" s="36" t="inlineStr">
        <is>
          <t>Akershus ungdoms- og familiesenter - akutt, adm</t>
        </is>
      </c>
      <c r="D2409" s="26" t="n"/>
      <c r="E2409" s="26" t="n"/>
      <c r="F2409" s="26" t="n"/>
      <c r="G2409" s="26" t="n"/>
      <c r="H2409" s="26" t="n"/>
      <c r="I2409" s="26" t="n">
        <v>4401</v>
      </c>
      <c r="J2409" s="19" t="n">
        <v>4991.724224999999</v>
      </c>
      <c r="K2409" s="37" t="n">
        <v>0.065</v>
      </c>
    </row>
    <row r="2410">
      <c r="A2410" s="34" t="inlineStr">
        <is>
          <t>AGA SPK-tilskudd</t>
        </is>
      </c>
      <c r="B2410" s="34" t="inlineStr">
        <is>
          <t>Region Øst</t>
        </is>
      </c>
      <c r="C2410" s="34" t="inlineStr">
        <is>
          <t>Akershus ungdoms- og familiesenter - akutt, adm</t>
        </is>
      </c>
      <c r="D2410" s="18" t="n"/>
      <c r="E2410" s="18" t="n"/>
      <c r="F2410" s="18" t="n"/>
      <c r="G2410" s="18" t="n"/>
      <c r="H2410" s="18" t="n"/>
      <c r="I2410" s="18" t="n">
        <v>5188</v>
      </c>
      <c r="J2410" s="19" t="n">
        <v>5884.359299999999</v>
      </c>
      <c r="K2410" s="35" t="n">
        <v>0.065</v>
      </c>
    </row>
    <row r="2411">
      <c r="A2411" s="36" t="inlineStr">
        <is>
          <t>AGA SPK-tilskudd</t>
        </is>
      </c>
      <c r="B2411" s="36" t="inlineStr">
        <is>
          <t>Region Øst</t>
        </is>
      </c>
      <c r="C2411" s="36" t="inlineStr">
        <is>
          <t>Akershus ungdoms- og familiesenter - akutt, avd Bjørlien</t>
        </is>
      </c>
      <c r="D2411" s="26" t="n"/>
      <c r="E2411" s="26" t="n"/>
      <c r="F2411" s="26" t="n"/>
      <c r="G2411" s="26" t="n"/>
      <c r="H2411" s="26" t="n"/>
      <c r="I2411" s="26" t="n">
        <v>148986</v>
      </c>
      <c r="J2411" s="19" t="n">
        <v>168983.64585</v>
      </c>
      <c r="K2411" s="37" t="n">
        <v>0.065</v>
      </c>
    </row>
    <row r="2412">
      <c r="A2412" s="34" t="inlineStr">
        <is>
          <t>AGA SPK-tilskudd</t>
        </is>
      </c>
      <c r="B2412" s="34" t="inlineStr">
        <is>
          <t>Region Øst</t>
        </is>
      </c>
      <c r="C2412" s="34" t="inlineStr">
        <is>
          <t>Akershus ungdoms- og familiesenter - akutt, avd Bjørlien</t>
        </is>
      </c>
      <c r="D2412" s="18" t="n"/>
      <c r="E2412" s="18" t="n"/>
      <c r="F2412" s="18" t="n"/>
      <c r="G2412" s="18" t="n"/>
      <c r="H2412" s="18" t="n"/>
      <c r="I2412" s="18" t="n">
        <v>29360</v>
      </c>
      <c r="J2412" s="19" t="n">
        <v>33300.846</v>
      </c>
      <c r="K2412" s="35" t="n">
        <v>0.065</v>
      </c>
    </row>
    <row r="2413">
      <c r="A2413" s="36" t="inlineStr">
        <is>
          <t>AGA SPK-tilskudd</t>
        </is>
      </c>
      <c r="B2413" s="36" t="inlineStr">
        <is>
          <t>Region Øst</t>
        </is>
      </c>
      <c r="C2413" s="36" t="inlineStr">
        <is>
          <t>Akershus ungdoms- og familiesenter - akutt, avd Bjørlien</t>
        </is>
      </c>
      <c r="D2413" s="26" t="n"/>
      <c r="E2413" s="26" t="n"/>
      <c r="F2413" s="26" t="n"/>
      <c r="G2413" s="26" t="n"/>
      <c r="H2413" s="26" t="n"/>
      <c r="I2413" s="26" t="n">
        <v>6700</v>
      </c>
      <c r="J2413" s="19" t="n">
        <v>7599.307499999999</v>
      </c>
      <c r="K2413" s="37" t="n">
        <v>0.065</v>
      </c>
    </row>
    <row r="2414">
      <c r="A2414" s="34" t="inlineStr">
        <is>
          <t>AGA SPK-tilskudd</t>
        </is>
      </c>
      <c r="B2414" s="34" t="inlineStr">
        <is>
          <t>Region Øst</t>
        </is>
      </c>
      <c r="C2414" s="34" t="inlineStr">
        <is>
          <t>Akershus ungdoms- og familiesenter - akutt, avd Bjørlien</t>
        </is>
      </c>
      <c r="D2414" s="18" t="n"/>
      <c r="E2414" s="18" t="n"/>
      <c r="F2414" s="18" t="n"/>
      <c r="G2414" s="18" t="n"/>
      <c r="H2414" s="18" t="n"/>
      <c r="I2414" s="18" t="n">
        <v>70644</v>
      </c>
      <c r="J2414" s="19" t="n">
        <v>80126.19089999999</v>
      </c>
      <c r="K2414" s="35" t="n">
        <v>0.065</v>
      </c>
    </row>
    <row r="2415">
      <c r="A2415" s="36" t="inlineStr">
        <is>
          <t>AGA SPK-tilskudd</t>
        </is>
      </c>
      <c r="B2415" s="36" t="inlineStr">
        <is>
          <t>Region Øst</t>
        </is>
      </c>
      <c r="C2415" s="36" t="inlineStr">
        <is>
          <t>Akershus ungdoms- og familiesenter - akutt, avd Bjørlien</t>
        </is>
      </c>
      <c r="D2415" s="26" t="n"/>
      <c r="E2415" s="26" t="n"/>
      <c r="F2415" s="26" t="n"/>
      <c r="G2415" s="26" t="n"/>
      <c r="H2415" s="26" t="n"/>
      <c r="I2415" s="26" t="n">
        <v>1609</v>
      </c>
      <c r="J2415" s="19" t="n">
        <v>1824.968025</v>
      </c>
      <c r="K2415" s="37" t="n">
        <v>0.065</v>
      </c>
    </row>
    <row r="2416">
      <c r="A2416" s="34" t="inlineStr">
        <is>
          <t>AGA SPK-tilskudd</t>
        </is>
      </c>
      <c r="B2416" s="34" t="inlineStr">
        <is>
          <t>Region Øst</t>
        </is>
      </c>
      <c r="C2416" s="34" t="inlineStr">
        <is>
          <t>Akershus ungdoms- og familiesenter - akutt, avd Bjørlien</t>
        </is>
      </c>
      <c r="D2416" s="18" t="n"/>
      <c r="E2416" s="18" t="n"/>
      <c r="F2416" s="18" t="n"/>
      <c r="G2416" s="18" t="n"/>
      <c r="H2416" s="18" t="n"/>
      <c r="I2416" s="18" t="n">
        <v>1254</v>
      </c>
      <c r="J2416" s="19" t="n">
        <v>1422.31815</v>
      </c>
      <c r="K2416" s="35" t="n">
        <v>0.065</v>
      </c>
    </row>
    <row r="2417">
      <c r="A2417" s="36" t="inlineStr">
        <is>
          <t>AGA SPK-tilskudd</t>
        </is>
      </c>
      <c r="B2417" s="36" t="inlineStr">
        <is>
          <t>Region Øst</t>
        </is>
      </c>
      <c r="C2417" s="36" t="inlineStr">
        <is>
          <t>Akershus ungdoms- og familiesenter - akutt, avd Bjørlien</t>
        </is>
      </c>
      <c r="D2417" s="26" t="n"/>
      <c r="E2417" s="26" t="n"/>
      <c r="F2417" s="26" t="n"/>
      <c r="G2417" s="26" t="n"/>
      <c r="H2417" s="26" t="n"/>
      <c r="I2417" s="26" t="n">
        <v>42076</v>
      </c>
      <c r="J2417" s="19" t="n">
        <v>47723.6511</v>
      </c>
      <c r="K2417" s="37" t="n">
        <v>0.065</v>
      </c>
    </row>
    <row r="2418">
      <c r="A2418" s="34" t="inlineStr">
        <is>
          <t>AGA SPK-tilskudd</t>
        </is>
      </c>
      <c r="B2418" s="34" t="inlineStr">
        <is>
          <t>Region Øst</t>
        </is>
      </c>
      <c r="C2418" s="34" t="inlineStr">
        <is>
          <t>Akershus ungdoms- og familiesenter - akutt, avd Bjørlien</t>
        </is>
      </c>
      <c r="D2418" s="18" t="n"/>
      <c r="E2418" s="18" t="n"/>
      <c r="F2418" s="18" t="n"/>
      <c r="G2418" s="18" t="n"/>
      <c r="H2418" s="18" t="n"/>
      <c r="I2418" s="18" t="n">
        <v>4502</v>
      </c>
      <c r="J2418" s="19" t="n">
        <v>5106.280949999999</v>
      </c>
      <c r="K2418" s="35" t="n">
        <v>0.065</v>
      </c>
    </row>
    <row r="2419">
      <c r="A2419" s="36" t="inlineStr">
        <is>
          <t>AGA SPK-tilskudd</t>
        </is>
      </c>
      <c r="B2419" s="36" t="inlineStr">
        <is>
          <t>Region Øst</t>
        </is>
      </c>
      <c r="C2419" s="36" t="inlineStr">
        <is>
          <t>Akershus ungdoms- og familiesenter - akutt, avd Bjørlien</t>
        </is>
      </c>
      <c r="D2419" s="26" t="n"/>
      <c r="E2419" s="26" t="n"/>
      <c r="F2419" s="26" t="n"/>
      <c r="G2419" s="26" t="n"/>
      <c r="H2419" s="26" t="n"/>
      <c r="I2419" s="26" t="n">
        <v>966</v>
      </c>
      <c r="J2419" s="19" t="n">
        <v>1095.66135</v>
      </c>
      <c r="K2419" s="37" t="n">
        <v>0.065</v>
      </c>
    </row>
    <row r="2420">
      <c r="A2420" s="34" t="inlineStr">
        <is>
          <t>AGA SPK-tilskudd</t>
        </is>
      </c>
      <c r="B2420" s="34" t="inlineStr">
        <is>
          <t>Region Øst</t>
        </is>
      </c>
      <c r="C2420" s="34" t="inlineStr">
        <is>
          <t>Akershus ungdoms- og familiesenter - akutt, avd Bjørlien</t>
        </is>
      </c>
      <c r="D2420" s="18" t="n"/>
      <c r="E2420" s="18" t="n"/>
      <c r="F2420" s="18" t="n"/>
      <c r="G2420" s="18" t="n"/>
      <c r="H2420" s="18" t="n"/>
      <c r="I2420" s="18" t="n">
        <v>2940</v>
      </c>
      <c r="J2420" s="19" t="n">
        <v>3334.621499999999</v>
      </c>
      <c r="K2420" s="35" t="n">
        <v>0.065</v>
      </c>
    </row>
    <row r="2421">
      <c r="A2421" s="36" t="inlineStr">
        <is>
          <t>AGA SPK-tilskudd</t>
        </is>
      </c>
      <c r="B2421" s="36" t="inlineStr">
        <is>
          <t>Region Øst</t>
        </is>
      </c>
      <c r="C2421" s="36" t="inlineStr">
        <is>
          <t>Akershus ungdoms- og familiesenter - akutt, avd Bjørlien</t>
        </is>
      </c>
      <c r="D2421" s="26" t="n"/>
      <c r="E2421" s="26" t="n"/>
      <c r="F2421" s="26" t="n"/>
      <c r="G2421" s="26" t="n"/>
      <c r="H2421" s="26" t="n"/>
      <c r="I2421" s="26" t="n">
        <v>6731</v>
      </c>
      <c r="J2421" s="19" t="n">
        <v>7634.468474999999</v>
      </c>
      <c r="K2421" s="37" t="n">
        <v>0.065</v>
      </c>
    </row>
    <row r="2422">
      <c r="A2422" s="34" t="inlineStr">
        <is>
          <t>AGA SPK-tilskudd</t>
        </is>
      </c>
      <c r="B2422" s="34" t="inlineStr">
        <is>
          <t>Region Øst</t>
        </is>
      </c>
      <c r="C2422" s="34" t="inlineStr">
        <is>
          <t>Akershus ungdoms- og familiesenter - akutt, avd Bjørlien</t>
        </is>
      </c>
      <c r="D2422" s="18" t="n"/>
      <c r="E2422" s="18" t="n"/>
      <c r="F2422" s="18" t="n"/>
      <c r="G2422" s="18" t="n"/>
      <c r="H2422" s="18" t="n"/>
      <c r="I2422" s="18" t="n">
        <v>-154232</v>
      </c>
      <c r="J2422" s="19" t="n">
        <v>-174933.7902</v>
      </c>
      <c r="K2422" s="35" t="n">
        <v>0.065</v>
      </c>
    </row>
    <row r="2423">
      <c r="A2423" s="36" t="inlineStr">
        <is>
          <t>AGA SPK-tilskudd</t>
        </is>
      </c>
      <c r="B2423" s="36" t="inlineStr">
        <is>
          <t>Region Øst</t>
        </is>
      </c>
      <c r="C2423" s="36" t="inlineStr">
        <is>
          <t>Akershus ungdoms- og familiesenter - akutt, avd Bjørlien</t>
        </is>
      </c>
      <c r="D2423" s="26" t="n"/>
      <c r="E2423" s="26" t="n"/>
      <c r="F2423" s="26" t="n"/>
      <c r="G2423" s="26" t="n"/>
      <c r="H2423" s="26" t="n"/>
      <c r="I2423" s="26" t="n">
        <v>-357576</v>
      </c>
      <c r="J2423" s="19" t="n">
        <v>-405571.6385999999</v>
      </c>
      <c r="K2423" s="37" t="n">
        <v>0.065</v>
      </c>
    </row>
    <row r="2424">
      <c r="A2424" s="34" t="inlineStr">
        <is>
          <t>AGA SPK-tilskudd</t>
        </is>
      </c>
      <c r="B2424" s="34" t="inlineStr">
        <is>
          <t>Region Øst</t>
        </is>
      </c>
      <c r="C2424" s="34" t="inlineStr">
        <is>
          <t>Akershus ungdoms- og familiesenter - akutt, avd Jibbe</t>
        </is>
      </c>
      <c r="D2424" s="18" t="n"/>
      <c r="E2424" s="18" t="n"/>
      <c r="F2424" s="18" t="n"/>
      <c r="G2424" s="18" t="n"/>
      <c r="H2424" s="18" t="n"/>
      <c r="I2424" s="18" t="n">
        <v>156674</v>
      </c>
      <c r="J2424" s="19" t="n">
        <v>177703.56765</v>
      </c>
      <c r="K2424" s="35" t="n">
        <v>0.065</v>
      </c>
    </row>
    <row r="2425">
      <c r="A2425" s="36" t="inlineStr">
        <is>
          <t>AGA SPK-tilskudd</t>
        </is>
      </c>
      <c r="B2425" s="36" t="inlineStr">
        <is>
          <t>Region Øst</t>
        </is>
      </c>
      <c r="C2425" s="36" t="inlineStr">
        <is>
          <t>Akershus ungdoms- og familiesenter - akutt, avd Jibbe</t>
        </is>
      </c>
      <c r="D2425" s="26" t="n"/>
      <c r="E2425" s="26" t="n"/>
      <c r="F2425" s="26" t="n"/>
      <c r="G2425" s="26" t="n"/>
      <c r="H2425" s="26" t="n"/>
      <c r="I2425" s="26" t="n">
        <v>10522</v>
      </c>
      <c r="J2425" s="19" t="n">
        <v>11934.31545</v>
      </c>
      <c r="K2425" s="37" t="n">
        <v>0.065</v>
      </c>
    </row>
    <row r="2426">
      <c r="A2426" s="34" t="inlineStr">
        <is>
          <t>AGA SPK-tilskudd</t>
        </is>
      </c>
      <c r="B2426" s="34" t="inlineStr">
        <is>
          <t>Region Øst</t>
        </is>
      </c>
      <c r="C2426" s="34" t="inlineStr">
        <is>
          <t>Akershus ungdoms- og familiesenter - akutt, avd Jibbe</t>
        </is>
      </c>
      <c r="D2426" s="18" t="n"/>
      <c r="E2426" s="18" t="n"/>
      <c r="F2426" s="18" t="n"/>
      <c r="G2426" s="18" t="n"/>
      <c r="H2426" s="18" t="n"/>
      <c r="I2426" s="18" t="n">
        <v>85637</v>
      </c>
      <c r="J2426" s="19" t="n">
        <v>97131.62632499999</v>
      </c>
      <c r="K2426" s="35" t="n">
        <v>0.065</v>
      </c>
    </row>
    <row r="2427">
      <c r="A2427" s="36" t="inlineStr">
        <is>
          <t>AGA SPK-tilskudd</t>
        </is>
      </c>
      <c r="B2427" s="36" t="inlineStr">
        <is>
          <t>Region Øst</t>
        </is>
      </c>
      <c r="C2427" s="36" t="inlineStr">
        <is>
          <t>Akershus ungdoms- og familiesenter - akutt, avd Jibbe</t>
        </is>
      </c>
      <c r="D2427" s="26" t="n"/>
      <c r="E2427" s="26" t="n"/>
      <c r="F2427" s="26" t="n"/>
      <c r="G2427" s="26" t="n"/>
      <c r="H2427" s="26" t="n"/>
      <c r="I2427" s="26" t="n">
        <v>6948</v>
      </c>
      <c r="J2427" s="19" t="n">
        <v>7880.595299999999</v>
      </c>
      <c r="K2427" s="37" t="n">
        <v>0.065</v>
      </c>
    </row>
    <row r="2428">
      <c r="A2428" s="34" t="inlineStr">
        <is>
          <t>AGA SPK-tilskudd</t>
        </is>
      </c>
      <c r="B2428" s="34" t="inlineStr">
        <is>
          <t>Region Øst</t>
        </is>
      </c>
      <c r="C2428" s="34" t="inlineStr">
        <is>
          <t>Akershus ungdoms- og familiesenter - akutt, avd Jibbe</t>
        </is>
      </c>
      <c r="D2428" s="18" t="n"/>
      <c r="E2428" s="18" t="n"/>
      <c r="F2428" s="18" t="n"/>
      <c r="G2428" s="18" t="n"/>
      <c r="H2428" s="18" t="n"/>
      <c r="I2428" s="18" t="n">
        <v>7773</v>
      </c>
      <c r="J2428" s="19" t="n">
        <v>8816.330924999998</v>
      </c>
      <c r="K2428" s="35" t="n">
        <v>0.065</v>
      </c>
    </row>
    <row r="2429">
      <c r="A2429" s="36" t="inlineStr">
        <is>
          <t>AGA SPK-tilskudd</t>
        </is>
      </c>
      <c r="B2429" s="36" t="inlineStr">
        <is>
          <t>Region Øst</t>
        </is>
      </c>
      <c r="C2429" s="36" t="inlineStr">
        <is>
          <t>Akershus ungdoms- og familiesenter - akutt, avd Jibbe</t>
        </is>
      </c>
      <c r="D2429" s="26" t="n"/>
      <c r="E2429" s="26" t="n"/>
      <c r="F2429" s="26" t="n"/>
      <c r="G2429" s="26" t="n"/>
      <c r="H2429" s="26" t="n"/>
      <c r="I2429" s="26" t="n">
        <v>140</v>
      </c>
      <c r="J2429" s="19" t="n">
        <v>158.7915</v>
      </c>
      <c r="K2429" s="37" t="n">
        <v>0.065</v>
      </c>
    </row>
    <row r="2430">
      <c r="A2430" s="34" t="inlineStr">
        <is>
          <t>AGA SPK-tilskudd</t>
        </is>
      </c>
      <c r="B2430" s="34" t="inlineStr">
        <is>
          <t>Region Øst</t>
        </is>
      </c>
      <c r="C2430" s="34" t="inlineStr">
        <is>
          <t>Akershus ungdoms- og familiesenter - akutt, avd Jibbe</t>
        </is>
      </c>
      <c r="D2430" s="18" t="n"/>
      <c r="E2430" s="18" t="n"/>
      <c r="F2430" s="18" t="n"/>
      <c r="G2430" s="18" t="n"/>
      <c r="H2430" s="18" t="n"/>
      <c r="I2430" s="18" t="n">
        <v>151</v>
      </c>
      <c r="J2430" s="19" t="n">
        <v>171.267975</v>
      </c>
      <c r="K2430" s="35" t="n">
        <v>0.065</v>
      </c>
    </row>
    <row r="2431">
      <c r="A2431" s="36" t="inlineStr">
        <is>
          <t>AGA SPK-tilskudd</t>
        </is>
      </c>
      <c r="B2431" s="36" t="inlineStr">
        <is>
          <t>Region Øst</t>
        </is>
      </c>
      <c r="C2431" s="36" t="inlineStr">
        <is>
          <t>Akershus ungdoms- og familiesenter - akutt, avd Jibbe</t>
        </is>
      </c>
      <c r="D2431" s="26" t="n"/>
      <c r="E2431" s="26" t="n"/>
      <c r="F2431" s="26" t="n"/>
      <c r="G2431" s="26" t="n"/>
      <c r="H2431" s="26" t="n"/>
      <c r="I2431" s="26" t="n">
        <v>3242</v>
      </c>
      <c r="J2431" s="19" t="n">
        <v>3677.157449999999</v>
      </c>
      <c r="K2431" s="37" t="n">
        <v>0.065</v>
      </c>
    </row>
    <row r="2432">
      <c r="A2432" s="34" t="inlineStr">
        <is>
          <t>AGA SPK-tilskudd</t>
        </is>
      </c>
      <c r="B2432" s="34" t="inlineStr">
        <is>
          <t>Region Øst</t>
        </is>
      </c>
      <c r="C2432" s="34" t="inlineStr">
        <is>
          <t>Akershus ungdoms- og familiesenter - akutt, avd Jibbe</t>
        </is>
      </c>
      <c r="D2432" s="18" t="n"/>
      <c r="E2432" s="18" t="n"/>
      <c r="F2432" s="18" t="n"/>
      <c r="G2432" s="18" t="n"/>
      <c r="H2432" s="18" t="n"/>
      <c r="I2432" s="18" t="n">
        <v>14697</v>
      </c>
      <c r="J2432" s="19" t="n">
        <v>16669.704825</v>
      </c>
      <c r="K2432" s="35" t="n">
        <v>0.065</v>
      </c>
    </row>
    <row r="2433">
      <c r="A2433" s="36" t="inlineStr">
        <is>
          <t>AGA SPK-tilskudd</t>
        </is>
      </c>
      <c r="B2433" s="36" t="inlineStr">
        <is>
          <t>Region Øst</t>
        </is>
      </c>
      <c r="C2433" s="36" t="inlineStr">
        <is>
          <t>Akershus ungdoms- og familiesenter - akutt, avd Jibbe</t>
        </is>
      </c>
      <c r="D2433" s="26" t="n"/>
      <c r="E2433" s="26" t="n"/>
      <c r="F2433" s="26" t="n"/>
      <c r="G2433" s="26" t="n"/>
      <c r="H2433" s="26" t="n"/>
      <c r="I2433" s="26" t="n">
        <v>-753999</v>
      </c>
      <c r="J2433" s="19" t="n">
        <v>-855204.5157749999</v>
      </c>
      <c r="K2433" s="37" t="n">
        <v>0.065</v>
      </c>
    </row>
    <row r="2434">
      <c r="A2434" s="34" t="inlineStr">
        <is>
          <t>AGA SPK-tilskudd</t>
        </is>
      </c>
      <c r="B2434" s="34" t="inlineStr">
        <is>
          <t>Region Øst</t>
        </is>
      </c>
      <c r="C2434" s="34" t="inlineStr">
        <is>
          <t>Akershus ungdoms- og familiesenter - akutt, avd Sole</t>
        </is>
      </c>
      <c r="D2434" s="18" t="n"/>
      <c r="E2434" s="18" t="n"/>
      <c r="F2434" s="18" t="n"/>
      <c r="G2434" s="18" t="n"/>
      <c r="H2434" s="18" t="n"/>
      <c r="I2434" s="18" t="n">
        <v>193271</v>
      </c>
      <c r="J2434" s="19" t="n">
        <v>219212.799975</v>
      </c>
      <c r="K2434" s="35" t="n">
        <v>0.065</v>
      </c>
    </row>
    <row r="2435">
      <c r="A2435" s="36" t="inlineStr">
        <is>
          <t>AGA SPK-tilskudd</t>
        </is>
      </c>
      <c r="B2435" s="36" t="inlineStr">
        <is>
          <t>Region Øst</t>
        </is>
      </c>
      <c r="C2435" s="36" t="inlineStr">
        <is>
          <t>Akershus ungdoms- og familiesenter - akutt, avd Sole</t>
        </is>
      </c>
      <c r="D2435" s="26" t="n"/>
      <c r="E2435" s="26" t="n"/>
      <c r="F2435" s="26" t="n"/>
      <c r="G2435" s="26" t="n"/>
      <c r="H2435" s="26" t="n"/>
      <c r="I2435" s="26" t="n">
        <v>15389</v>
      </c>
      <c r="J2435" s="19" t="n">
        <v>17454.588525</v>
      </c>
      <c r="K2435" s="37" t="n">
        <v>0.065</v>
      </c>
    </row>
    <row r="2436">
      <c r="A2436" s="34" t="inlineStr">
        <is>
          <t>AGA SPK-tilskudd</t>
        </is>
      </c>
      <c r="B2436" s="34" t="inlineStr">
        <is>
          <t>Region Øst</t>
        </is>
      </c>
      <c r="C2436" s="34" t="inlineStr">
        <is>
          <t>Akershus ungdoms- og familiesenter - akutt, avd Sole</t>
        </is>
      </c>
      <c r="D2436" s="18" t="n"/>
      <c r="E2436" s="18" t="n"/>
      <c r="F2436" s="18" t="n"/>
      <c r="G2436" s="18" t="n"/>
      <c r="H2436" s="18" t="n"/>
      <c r="I2436" s="18" t="n">
        <v>20836</v>
      </c>
      <c r="J2436" s="19" t="n">
        <v>23632.7121</v>
      </c>
      <c r="K2436" s="35" t="n">
        <v>0.065</v>
      </c>
    </row>
    <row r="2437">
      <c r="A2437" s="36" t="inlineStr">
        <is>
          <t>AGA SPK-tilskudd</t>
        </is>
      </c>
      <c r="B2437" s="36" t="inlineStr">
        <is>
          <t>Region Øst</t>
        </is>
      </c>
      <c r="C2437" s="36" t="inlineStr">
        <is>
          <t>Akershus ungdoms- og familiesenter - akutt, avd Sole</t>
        </is>
      </c>
      <c r="D2437" s="26" t="n"/>
      <c r="E2437" s="26" t="n"/>
      <c r="F2437" s="26" t="n"/>
      <c r="G2437" s="26" t="n"/>
      <c r="H2437" s="26" t="n"/>
      <c r="I2437" s="26" t="n">
        <v>77708</v>
      </c>
      <c r="J2437" s="19" t="n">
        <v>88138.35629999998</v>
      </c>
      <c r="K2437" s="37" t="n">
        <v>0.065</v>
      </c>
    </row>
    <row r="2438">
      <c r="A2438" s="34" t="inlineStr">
        <is>
          <t>AGA SPK-tilskudd</t>
        </is>
      </c>
      <c r="B2438" s="34" t="inlineStr">
        <is>
          <t>Region Øst</t>
        </is>
      </c>
      <c r="C2438" s="34" t="inlineStr">
        <is>
          <t>Akershus ungdoms- og familiesenter - akutt, avd Sole</t>
        </is>
      </c>
      <c r="D2438" s="18" t="n"/>
      <c r="E2438" s="18" t="n"/>
      <c r="F2438" s="18" t="n"/>
      <c r="G2438" s="18" t="n"/>
      <c r="H2438" s="18" t="n"/>
      <c r="I2438" s="18" t="n">
        <v>21352</v>
      </c>
      <c r="J2438" s="19" t="n">
        <v>24217.9722</v>
      </c>
      <c r="K2438" s="35" t="n">
        <v>0.065</v>
      </c>
    </row>
    <row r="2439">
      <c r="A2439" s="36" t="inlineStr">
        <is>
          <t>AGA SPK-tilskudd</t>
        </is>
      </c>
      <c r="B2439" s="36" t="inlineStr">
        <is>
          <t>Region Øst</t>
        </is>
      </c>
      <c r="C2439" s="36" t="inlineStr">
        <is>
          <t>Akershus ungdoms- og familiesenter - akutt, avd Sole</t>
        </is>
      </c>
      <c r="D2439" s="26" t="n"/>
      <c r="E2439" s="26" t="n"/>
      <c r="F2439" s="26" t="n"/>
      <c r="G2439" s="26" t="n"/>
      <c r="H2439" s="26" t="n"/>
      <c r="I2439" s="26" t="n">
        <v>3624</v>
      </c>
      <c r="J2439" s="19" t="n">
        <v>4110.431399999999</v>
      </c>
      <c r="K2439" s="37" t="n">
        <v>0.065</v>
      </c>
    </row>
    <row r="2440">
      <c r="A2440" s="34" t="inlineStr">
        <is>
          <t>AGA SPK-tilskudd</t>
        </is>
      </c>
      <c r="B2440" s="34" t="inlineStr">
        <is>
          <t>Region Øst</t>
        </is>
      </c>
      <c r="C2440" s="34" t="inlineStr">
        <is>
          <t>Akershus ungdoms- og familiesenter - akutt, avd Sole</t>
        </is>
      </c>
      <c r="D2440" s="18" t="n"/>
      <c r="E2440" s="18" t="n"/>
      <c r="F2440" s="18" t="n"/>
      <c r="G2440" s="18" t="n"/>
      <c r="H2440" s="18" t="n"/>
      <c r="I2440" s="18" t="n">
        <v>51635</v>
      </c>
      <c r="J2440" s="19" t="n">
        <v>58565.70787499999</v>
      </c>
      <c r="K2440" s="35" t="n">
        <v>0.065</v>
      </c>
    </row>
    <row r="2441">
      <c r="A2441" s="36" t="inlineStr">
        <is>
          <t>AGA SPK-tilskudd</t>
        </is>
      </c>
      <c r="B2441" s="36" t="inlineStr">
        <is>
          <t>Region Øst</t>
        </is>
      </c>
      <c r="C2441" s="36" t="inlineStr">
        <is>
          <t>Akershus ungdoms- og familiesenter - akutt, avd Sole</t>
        </is>
      </c>
      <c r="D2441" s="26" t="n"/>
      <c r="E2441" s="26" t="n"/>
      <c r="F2441" s="26" t="n"/>
      <c r="G2441" s="26" t="n"/>
      <c r="H2441" s="26" t="n"/>
      <c r="I2441" s="26" t="n">
        <v>2482</v>
      </c>
      <c r="J2441" s="19" t="n">
        <v>2815.14645</v>
      </c>
      <c r="K2441" s="37" t="n">
        <v>0.065</v>
      </c>
    </row>
    <row r="2442">
      <c r="A2442" s="34" t="inlineStr">
        <is>
          <t>AGA SPK-tilskudd</t>
        </is>
      </c>
      <c r="B2442" s="34" t="inlineStr">
        <is>
          <t>Region Øst</t>
        </is>
      </c>
      <c r="C2442" s="34" t="inlineStr">
        <is>
          <t>Akershus ungdoms- og familiesenter - akutt, avd Sole</t>
        </is>
      </c>
      <c r="D2442" s="18" t="n"/>
      <c r="E2442" s="18" t="n"/>
      <c r="F2442" s="18" t="n"/>
      <c r="G2442" s="18" t="n"/>
      <c r="H2442" s="18" t="n"/>
      <c r="I2442" s="18" t="n">
        <v>1595</v>
      </c>
      <c r="J2442" s="19" t="n">
        <v>1809.088875</v>
      </c>
      <c r="K2442" s="35" t="n">
        <v>0.065</v>
      </c>
    </row>
    <row r="2443">
      <c r="A2443" s="36" t="inlineStr">
        <is>
          <t>AGA SPK-tilskudd</t>
        </is>
      </c>
      <c r="B2443" s="36" t="inlineStr">
        <is>
          <t>Region Øst</t>
        </is>
      </c>
      <c r="C2443" s="36" t="inlineStr">
        <is>
          <t>Akershus ungdoms- og familiesenter - akutt, avd Sole</t>
        </is>
      </c>
      <c r="D2443" s="26" t="n"/>
      <c r="E2443" s="26" t="n"/>
      <c r="F2443" s="26" t="n"/>
      <c r="G2443" s="26" t="n"/>
      <c r="H2443" s="26" t="n"/>
      <c r="I2443" s="26" t="n">
        <v>5124</v>
      </c>
      <c r="J2443" s="19" t="n">
        <v>5811.768899999999</v>
      </c>
      <c r="K2443" s="37" t="n">
        <v>0.065</v>
      </c>
    </row>
    <row r="2444">
      <c r="A2444" s="34" t="inlineStr">
        <is>
          <t>AGA SPK-tilskudd</t>
        </is>
      </c>
      <c r="B2444" s="34" t="inlineStr">
        <is>
          <t>Region Øst</t>
        </is>
      </c>
      <c r="C2444" s="34" t="inlineStr">
        <is>
          <t>Akershus ungdoms- og familiesenter - akutt, avd Sole</t>
        </is>
      </c>
      <c r="D2444" s="18" t="n"/>
      <c r="E2444" s="18" t="n"/>
      <c r="F2444" s="18" t="n"/>
      <c r="G2444" s="18" t="n"/>
      <c r="H2444" s="18" t="n"/>
      <c r="I2444" s="18" t="n">
        <v>-676</v>
      </c>
      <c r="J2444" s="19" t="n">
        <v>-766.7360999999999</v>
      </c>
      <c r="K2444" s="35" t="n">
        <v>0.065</v>
      </c>
    </row>
    <row r="2445">
      <c r="A2445" s="36" t="inlineStr">
        <is>
          <t>AGA SPK-tilskudd</t>
        </is>
      </c>
      <c r="B2445" s="36" t="inlineStr">
        <is>
          <t>Region Øst</t>
        </is>
      </c>
      <c r="C2445" s="36" t="inlineStr">
        <is>
          <t>Akershus ungdoms- og familiesenter - akutt, avd Sole</t>
        </is>
      </c>
      <c r="D2445" s="26" t="n"/>
      <c r="E2445" s="26" t="n"/>
      <c r="F2445" s="26" t="n"/>
      <c r="G2445" s="26" t="n"/>
      <c r="H2445" s="26" t="n"/>
      <c r="I2445" s="26" t="n">
        <v>-100530</v>
      </c>
      <c r="J2445" s="19" t="n">
        <v>-114023.63925</v>
      </c>
      <c r="K2445" s="37" t="n">
        <v>0.065</v>
      </c>
    </row>
    <row r="2446">
      <c r="A2446" s="34" t="inlineStr">
        <is>
          <t>AGA SPK-tilskudd</t>
        </is>
      </c>
      <c r="B2446" s="34" t="inlineStr">
        <is>
          <t>Region Øst</t>
        </is>
      </c>
      <c r="C2446" s="34" t="inlineStr">
        <is>
          <t>Akershus ungdoms- og familiesenter - akutt, avd Sole</t>
        </is>
      </c>
      <c r="D2446" s="18" t="n"/>
      <c r="E2446" s="18" t="n"/>
      <c r="F2446" s="18" t="n"/>
      <c r="G2446" s="18" t="n"/>
      <c r="H2446" s="18" t="n"/>
      <c r="I2446" s="18" t="n">
        <v>-1033326</v>
      </c>
      <c r="J2446" s="19" t="n">
        <v>-1172024.18235</v>
      </c>
      <c r="K2446" s="35" t="n">
        <v>0.065</v>
      </c>
    </row>
    <row r="2447">
      <c r="A2447" s="36" t="inlineStr">
        <is>
          <t>AGA SPK-tilskudd</t>
        </is>
      </c>
      <c r="B2447" s="36" t="inlineStr">
        <is>
          <t>Region Øst</t>
        </is>
      </c>
      <c r="C2447" s="36" t="inlineStr">
        <is>
          <t>Akershus ungdoms- og familiesenter - akutt, avd Tjernlia</t>
        </is>
      </c>
      <c r="D2447" s="26" t="n"/>
      <c r="E2447" s="26" t="n"/>
      <c r="F2447" s="26" t="n"/>
      <c r="G2447" s="26" t="n"/>
      <c r="H2447" s="26" t="n"/>
      <c r="I2447" s="26" t="n">
        <v>158671</v>
      </c>
      <c r="J2447" s="19" t="n">
        <v>179968.614975</v>
      </c>
      <c r="K2447" s="37" t="n">
        <v>0.065</v>
      </c>
    </row>
    <row r="2448">
      <c r="A2448" s="34" t="inlineStr">
        <is>
          <t>AGA SPK-tilskudd</t>
        </is>
      </c>
      <c r="B2448" s="34" t="inlineStr">
        <is>
          <t>Region Øst</t>
        </is>
      </c>
      <c r="C2448" s="34" t="inlineStr">
        <is>
          <t>Akershus ungdoms- og familiesenter - akutt, avd Tjernlia</t>
        </is>
      </c>
      <c r="D2448" s="18" t="n"/>
      <c r="E2448" s="18" t="n"/>
      <c r="F2448" s="18" t="n"/>
      <c r="G2448" s="18" t="n"/>
      <c r="H2448" s="18" t="n"/>
      <c r="I2448" s="18" t="n">
        <v>164392</v>
      </c>
      <c r="J2448" s="19" t="n">
        <v>186457.5162</v>
      </c>
      <c r="K2448" s="35" t="n">
        <v>0.065</v>
      </c>
    </row>
    <row r="2449">
      <c r="A2449" s="36" t="inlineStr">
        <is>
          <t>AGA SPK-tilskudd</t>
        </is>
      </c>
      <c r="B2449" s="36" t="inlineStr">
        <is>
          <t>Region Øst</t>
        </is>
      </c>
      <c r="C2449" s="36" t="inlineStr">
        <is>
          <t>Akershus ungdoms- og familiesenter - akutt, avd Tjernlia</t>
        </is>
      </c>
      <c r="D2449" s="26" t="n"/>
      <c r="E2449" s="26" t="n"/>
      <c r="F2449" s="26" t="n"/>
      <c r="G2449" s="26" t="n"/>
      <c r="H2449" s="26" t="n"/>
      <c r="I2449" s="26" t="n">
        <v>4206</v>
      </c>
      <c r="J2449" s="19" t="n">
        <v>4770.55035</v>
      </c>
      <c r="K2449" s="37" t="n">
        <v>0.065</v>
      </c>
    </row>
    <row r="2450">
      <c r="A2450" s="34" t="inlineStr">
        <is>
          <t>AGA SPK-tilskudd</t>
        </is>
      </c>
      <c r="B2450" s="34" t="inlineStr">
        <is>
          <t>Region Øst</t>
        </is>
      </c>
      <c r="C2450" s="34" t="inlineStr">
        <is>
          <t>Akershus ungdoms- og familiesenter - akutt, avd Tjernlia</t>
        </is>
      </c>
      <c r="D2450" s="18" t="n"/>
      <c r="E2450" s="18" t="n"/>
      <c r="F2450" s="18" t="n"/>
      <c r="G2450" s="18" t="n"/>
      <c r="H2450" s="18" t="n"/>
      <c r="I2450" s="18" t="n">
        <v>90683</v>
      </c>
      <c r="J2450" s="19" t="n">
        <v>102854.925675</v>
      </c>
      <c r="K2450" s="35" t="n">
        <v>0.065</v>
      </c>
    </row>
    <row r="2451">
      <c r="A2451" s="36" t="inlineStr">
        <is>
          <t>AGA SPK-tilskudd</t>
        </is>
      </c>
      <c r="B2451" s="36" t="inlineStr">
        <is>
          <t>Region Øst</t>
        </is>
      </c>
      <c r="C2451" s="36" t="inlineStr">
        <is>
          <t>Akershus ungdoms- og familiesenter - akutt, avd Tjernlia</t>
        </is>
      </c>
      <c r="D2451" s="26" t="n"/>
      <c r="E2451" s="26" t="n"/>
      <c r="F2451" s="26" t="n"/>
      <c r="G2451" s="26" t="n"/>
      <c r="H2451" s="26" t="n"/>
      <c r="I2451" s="26" t="n">
        <v>1856</v>
      </c>
      <c r="J2451" s="19" t="n">
        <v>2105.121599999999</v>
      </c>
      <c r="K2451" s="37" t="n">
        <v>0.065</v>
      </c>
    </row>
    <row r="2452">
      <c r="A2452" s="34" t="inlineStr">
        <is>
          <t>AGA SPK-tilskudd</t>
        </is>
      </c>
      <c r="B2452" s="34" t="inlineStr">
        <is>
          <t>Region Øst</t>
        </is>
      </c>
      <c r="C2452" s="34" t="inlineStr">
        <is>
          <t>Akershus ungdoms- og familiesenter - akutt, avd Tjernlia</t>
        </is>
      </c>
      <c r="D2452" s="18" t="n"/>
      <c r="E2452" s="18" t="n"/>
      <c r="F2452" s="18" t="n"/>
      <c r="G2452" s="18" t="n"/>
      <c r="H2452" s="18" t="n"/>
      <c r="I2452" s="18" t="n">
        <v>578</v>
      </c>
      <c r="J2452" s="19" t="n">
        <v>655.5820499999999</v>
      </c>
      <c r="K2452" s="35" t="n">
        <v>0.065</v>
      </c>
    </row>
    <row r="2453">
      <c r="A2453" s="36" t="inlineStr">
        <is>
          <t>AGA SPK-tilskudd</t>
        </is>
      </c>
      <c r="B2453" s="36" t="inlineStr">
        <is>
          <t>Region Øst</t>
        </is>
      </c>
      <c r="C2453" s="36" t="inlineStr">
        <is>
          <t>Akershus ungdoms- og familiesenter - akutt, avd Tjernlia</t>
        </is>
      </c>
      <c r="D2453" s="26" t="n"/>
      <c r="E2453" s="26" t="n"/>
      <c r="F2453" s="26" t="n"/>
      <c r="G2453" s="26" t="n"/>
      <c r="H2453" s="26" t="n"/>
      <c r="I2453" s="26" t="n">
        <v>9009</v>
      </c>
      <c r="J2453" s="19" t="n">
        <v>10218.233025</v>
      </c>
      <c r="K2453" s="37" t="n">
        <v>0.065</v>
      </c>
    </row>
    <row r="2454">
      <c r="A2454" s="34" t="inlineStr">
        <is>
          <t>AGA SPK-tilskudd</t>
        </is>
      </c>
      <c r="B2454" s="34" t="inlineStr">
        <is>
          <t>Region Øst</t>
        </is>
      </c>
      <c r="C2454" s="34" t="inlineStr">
        <is>
          <t>Akershus ungdoms- og familiesenter - akutt, avd Tjernlia</t>
        </is>
      </c>
      <c r="D2454" s="18" t="n"/>
      <c r="E2454" s="18" t="n"/>
      <c r="F2454" s="18" t="n"/>
      <c r="G2454" s="18" t="n"/>
      <c r="H2454" s="18" t="n"/>
      <c r="I2454" s="18" t="n">
        <v>1025</v>
      </c>
      <c r="J2454" s="19" t="n">
        <v>1162.580625</v>
      </c>
      <c r="K2454" s="35" t="n">
        <v>0.065</v>
      </c>
    </row>
    <row r="2455">
      <c r="A2455" s="36" t="inlineStr">
        <is>
          <t>AGA SPK-tilskudd</t>
        </is>
      </c>
      <c r="B2455" s="36" t="inlineStr">
        <is>
          <t>Region Øst</t>
        </is>
      </c>
      <c r="C2455" s="36" t="inlineStr">
        <is>
          <t>Akershus ungdoms- og familiesenter - akutt, avd Tjernlia</t>
        </is>
      </c>
      <c r="D2455" s="26" t="n"/>
      <c r="E2455" s="26" t="n"/>
      <c r="F2455" s="26" t="n"/>
      <c r="G2455" s="26" t="n"/>
      <c r="H2455" s="26" t="n"/>
      <c r="I2455" s="26" t="n">
        <v>2300</v>
      </c>
      <c r="J2455" s="19" t="n">
        <v>2608.7175</v>
      </c>
      <c r="K2455" s="37" t="n">
        <v>0.065</v>
      </c>
    </row>
    <row r="2456">
      <c r="A2456" s="34" t="inlineStr">
        <is>
          <t>AGA SPK-tilskudd</t>
        </is>
      </c>
      <c r="B2456" s="34" t="inlineStr">
        <is>
          <t>Region Øst</t>
        </is>
      </c>
      <c r="C2456" s="34" t="inlineStr">
        <is>
          <t>Akershus ungdoms- og familiesenter - akutt, avd Tjernlia</t>
        </is>
      </c>
      <c r="D2456" s="18" t="n"/>
      <c r="E2456" s="18" t="n"/>
      <c r="F2456" s="18" t="n"/>
      <c r="G2456" s="18" t="n"/>
      <c r="H2456" s="18" t="n"/>
      <c r="I2456" s="18" t="n">
        <v>14638</v>
      </c>
      <c r="J2456" s="19" t="n">
        <v>16602.78555</v>
      </c>
      <c r="K2456" s="35" t="n">
        <v>0.065</v>
      </c>
    </row>
    <row r="2457">
      <c r="A2457" s="36" t="inlineStr">
        <is>
          <t>AGA SPK-tilskudd</t>
        </is>
      </c>
      <c r="B2457" s="36" t="inlineStr">
        <is>
          <t>Region Øst</t>
        </is>
      </c>
      <c r="C2457" s="36" t="inlineStr">
        <is>
          <t>Akershus ungdoms- og familiesenter - akutt, avd Tjernlia</t>
        </is>
      </c>
      <c r="D2457" s="26" t="n"/>
      <c r="E2457" s="26" t="n"/>
      <c r="F2457" s="26" t="n"/>
      <c r="G2457" s="26" t="n"/>
      <c r="H2457" s="26" t="n"/>
      <c r="I2457" s="26" t="n">
        <v>-395815</v>
      </c>
      <c r="J2457" s="19" t="n">
        <v>-448943.2683749999</v>
      </c>
      <c r="K2457" s="37" t="n">
        <v>0.065</v>
      </c>
    </row>
    <row r="2458">
      <c r="A2458" s="34" t="inlineStr">
        <is>
          <t>AGA SPK-tilskudd</t>
        </is>
      </c>
      <c r="B2458" s="34" t="inlineStr">
        <is>
          <t>Region Øst</t>
        </is>
      </c>
      <c r="C2458" s="34" t="inlineStr">
        <is>
          <t>Akershus ungdoms- og familiesenter - akutt, avd Tjernlia</t>
        </is>
      </c>
      <c r="D2458" s="18" t="n"/>
      <c r="E2458" s="18" t="n"/>
      <c r="F2458" s="18" t="n"/>
      <c r="G2458" s="18" t="n"/>
      <c r="H2458" s="18" t="n"/>
      <c r="I2458" s="18" t="n">
        <v>-1398780</v>
      </c>
      <c r="J2458" s="19" t="n">
        <v>-1586531.2455</v>
      </c>
      <c r="K2458" s="35" t="n">
        <v>0.065</v>
      </c>
    </row>
    <row r="2459">
      <c r="A2459" s="36" t="inlineStr">
        <is>
          <t>AGA SPK-tilskudd</t>
        </is>
      </c>
      <c r="B2459" s="36" t="inlineStr">
        <is>
          <t>Region Øst</t>
        </is>
      </c>
      <c r="C2459" s="36" t="inlineStr">
        <is>
          <t>Akershus ungdoms- og familiesenter Avdeling Beredskapshjem</t>
        </is>
      </c>
      <c r="D2459" s="26" t="n">
        <v>3560</v>
      </c>
      <c r="E2459" s="26" t="n"/>
      <c r="F2459" s="26" t="n"/>
      <c r="G2459" s="26" t="n"/>
      <c r="H2459" s="26" t="n"/>
      <c r="I2459" s="26" t="n"/>
      <c r="J2459" s="19" t="n">
        <v>0</v>
      </c>
      <c r="K2459" s="37" t="n">
        <v>0.065</v>
      </c>
    </row>
    <row r="2460">
      <c r="A2460" s="34" t="inlineStr">
        <is>
          <t>AGA SPK-tilskudd</t>
        </is>
      </c>
      <c r="B2460" s="34" t="inlineStr">
        <is>
          <t>Region Øst</t>
        </is>
      </c>
      <c r="C2460" s="34" t="inlineStr">
        <is>
          <t>Akershus ungdoms- og familiesenter Avdeling Beredskapshjem</t>
        </is>
      </c>
      <c r="D2460" s="18" t="n">
        <v>1640</v>
      </c>
      <c r="E2460" s="18" t="n"/>
      <c r="F2460" s="18" t="n"/>
      <c r="G2460" s="18" t="n"/>
      <c r="H2460" s="18" t="n"/>
      <c r="I2460" s="18" t="n"/>
      <c r="J2460" s="19" t="n">
        <v>0</v>
      </c>
      <c r="K2460" s="35" t="n">
        <v>0.065</v>
      </c>
    </row>
    <row r="2461">
      <c r="A2461" s="36" t="inlineStr">
        <is>
          <t>AGA SPK-tilskudd</t>
        </is>
      </c>
      <c r="B2461" s="36" t="inlineStr">
        <is>
          <t>Region Øst</t>
        </is>
      </c>
      <c r="C2461" s="36" t="inlineStr">
        <is>
          <t>Akershus ungdoms- og familiesenter Avdeling Beredskapshjem</t>
        </is>
      </c>
      <c r="D2461" s="26" t="n">
        <v>252</v>
      </c>
      <c r="E2461" s="26" t="n"/>
      <c r="F2461" s="26" t="n"/>
      <c r="G2461" s="26" t="n"/>
      <c r="H2461" s="26" t="n"/>
      <c r="I2461" s="26" t="n"/>
      <c r="J2461" s="19" t="n">
        <v>0</v>
      </c>
      <c r="K2461" s="37" t="n">
        <v>0.065</v>
      </c>
    </row>
    <row r="2462">
      <c r="A2462" s="34" t="inlineStr">
        <is>
          <t>AGA SPK-tilskudd</t>
        </is>
      </c>
      <c r="B2462" s="34" t="inlineStr">
        <is>
          <t>Region Øst</t>
        </is>
      </c>
      <c r="C2462" s="34" t="inlineStr">
        <is>
          <t>Akershus ungdoms- og familiesenter Avdeling Beredskapshjem</t>
        </is>
      </c>
      <c r="D2462" s="18" t="n">
        <v>38</v>
      </c>
      <c r="E2462" s="18" t="n"/>
      <c r="F2462" s="18" t="n"/>
      <c r="G2462" s="18" t="n"/>
      <c r="H2462" s="18" t="n"/>
      <c r="I2462" s="18" t="n"/>
      <c r="J2462" s="19" t="n">
        <v>0</v>
      </c>
      <c r="K2462" s="35" t="n">
        <v>0.065</v>
      </c>
    </row>
    <row r="2463">
      <c r="A2463" s="36" t="inlineStr">
        <is>
          <t>AGA SPK-tilskudd</t>
        </is>
      </c>
      <c r="B2463" s="36" t="inlineStr">
        <is>
          <t>Region Øst</t>
        </is>
      </c>
      <c r="C2463" s="36" t="inlineStr">
        <is>
          <t>Akershus ungdoms- og familiesenter Avdeling Beredskapshjem</t>
        </is>
      </c>
      <c r="D2463" s="26" t="n">
        <v>710</v>
      </c>
      <c r="E2463" s="26" t="n"/>
      <c r="F2463" s="26" t="n"/>
      <c r="G2463" s="26" t="n"/>
      <c r="H2463" s="26" t="n"/>
      <c r="I2463" s="26" t="n"/>
      <c r="J2463" s="19" t="n">
        <v>0</v>
      </c>
      <c r="K2463" s="37" t="n">
        <v>0.065</v>
      </c>
    </row>
    <row r="2464">
      <c r="A2464" s="34" t="inlineStr">
        <is>
          <t>AGA SPK-tilskudd</t>
        </is>
      </c>
      <c r="B2464" s="34" t="inlineStr">
        <is>
          <t>Region Øst</t>
        </is>
      </c>
      <c r="C2464" s="34" t="inlineStr">
        <is>
          <t>Akershus ungdoms- og familiesenter Avdeling Beredskapshjem</t>
        </is>
      </c>
      <c r="D2464" s="18" t="n">
        <v>2043</v>
      </c>
      <c r="E2464" s="18" t="n"/>
      <c r="F2464" s="18" t="n"/>
      <c r="G2464" s="18" t="n"/>
      <c r="H2464" s="18" t="n"/>
      <c r="I2464" s="18" t="n"/>
      <c r="J2464" s="19" t="n">
        <v>0</v>
      </c>
      <c r="K2464" s="35" t="n">
        <v>0.065</v>
      </c>
    </row>
    <row r="2465">
      <c r="A2465" s="36" t="inlineStr">
        <is>
          <t>AGA SPK-tilskudd</t>
        </is>
      </c>
      <c r="B2465" s="36" t="inlineStr">
        <is>
          <t>Region Øst</t>
        </is>
      </c>
      <c r="C2465" s="36" t="inlineStr">
        <is>
          <t>Anskaffelse</t>
        </is>
      </c>
      <c r="D2465" s="26" t="n"/>
      <c r="E2465" s="26" t="n"/>
      <c r="F2465" s="26" t="n">
        <v>21472</v>
      </c>
      <c r="G2465" s="26" t="n"/>
      <c r="H2465" s="26" t="n"/>
      <c r="I2465" s="26" t="n"/>
      <c r="J2465" s="19" t="n">
        <v>0</v>
      </c>
      <c r="K2465" s="37" t="n">
        <v>0.065</v>
      </c>
    </row>
    <row r="2466">
      <c r="A2466" s="34" t="inlineStr">
        <is>
          <t>AGA SPK-tilskudd</t>
        </is>
      </c>
      <c r="B2466" s="34" t="inlineStr">
        <is>
          <t>Region Øst</t>
        </is>
      </c>
      <c r="C2466" s="34" t="inlineStr">
        <is>
          <t>Avdeling for brukertjenester</t>
        </is>
      </c>
      <c r="D2466" s="18" t="n"/>
      <c r="E2466" s="18" t="n"/>
      <c r="F2466" s="18" t="n"/>
      <c r="G2466" s="18" t="n"/>
      <c r="H2466" s="18" t="n"/>
      <c r="I2466" s="18" t="n">
        <v>479</v>
      </c>
      <c r="J2466" s="19" t="n">
        <v>543.2937749999999</v>
      </c>
      <c r="K2466" s="35" t="n">
        <v>0.065</v>
      </c>
    </row>
    <row r="2467">
      <c r="A2467" s="36" t="inlineStr">
        <is>
          <t>AGA SPK-tilskudd</t>
        </is>
      </c>
      <c r="B2467" s="36" t="inlineStr">
        <is>
          <t>Region Øst</t>
        </is>
      </c>
      <c r="C2467" s="36" t="inlineStr">
        <is>
          <t>Avdeling for brukertjenester</t>
        </is>
      </c>
      <c r="D2467" s="26" t="n"/>
      <c r="E2467" s="26" t="n"/>
      <c r="F2467" s="26" t="n"/>
      <c r="G2467" s="26" t="n"/>
      <c r="H2467" s="26" t="n"/>
      <c r="I2467" s="26" t="n">
        <v>200</v>
      </c>
      <c r="J2467" s="19" t="n">
        <v>226.845</v>
      </c>
      <c r="K2467" s="37" t="n">
        <v>0.065</v>
      </c>
    </row>
    <row r="2468">
      <c r="A2468" s="34" t="inlineStr">
        <is>
          <t>AGA SPK-tilskudd</t>
        </is>
      </c>
      <c r="B2468" s="34" t="inlineStr">
        <is>
          <t>Region Øst</t>
        </is>
      </c>
      <c r="C2468" s="34" t="inlineStr">
        <is>
          <t>Avdeling for brukertjenester</t>
        </is>
      </c>
      <c r="D2468" s="18" t="n"/>
      <c r="E2468" s="18" t="n"/>
      <c r="F2468" s="18" t="n"/>
      <c r="G2468" s="18" t="n"/>
      <c r="H2468" s="18" t="n"/>
      <c r="I2468" s="18" t="n">
        <v>184</v>
      </c>
      <c r="J2468" s="19" t="n">
        <v>208.6974</v>
      </c>
      <c r="K2468" s="35" t="n">
        <v>0.065</v>
      </c>
    </row>
    <row r="2469">
      <c r="A2469" s="36" t="inlineStr">
        <is>
          <t>AGA SPK-tilskudd</t>
        </is>
      </c>
      <c r="B2469" s="36" t="inlineStr">
        <is>
          <t>Region Øst</t>
        </is>
      </c>
      <c r="C2469" s="36" t="inlineStr">
        <is>
          <t>Avdeling for statlig barnevern</t>
        </is>
      </c>
      <c r="D2469" s="26" t="n"/>
      <c r="E2469" s="26" t="n"/>
      <c r="F2469" s="26" t="n">
        <v>2821</v>
      </c>
      <c r="G2469" s="26" t="n"/>
      <c r="H2469" s="26" t="n"/>
      <c r="I2469" s="26" t="n"/>
      <c r="J2469" s="19" t="n">
        <v>0</v>
      </c>
      <c r="K2469" s="37" t="n">
        <v>0.065</v>
      </c>
    </row>
    <row r="2470">
      <c r="A2470" s="34" t="inlineStr">
        <is>
          <t>AGA SPK-tilskudd</t>
        </is>
      </c>
      <c r="B2470" s="34" t="inlineStr">
        <is>
          <t>Region Øst</t>
        </is>
      </c>
      <c r="C2470" s="34" t="inlineStr">
        <is>
          <t>Avdeling for statlig barnevern</t>
        </is>
      </c>
      <c r="D2470" s="18" t="n">
        <v>11607</v>
      </c>
      <c r="E2470" s="18" t="n"/>
      <c r="F2470" s="18" t="n"/>
      <c r="G2470" s="18" t="n"/>
      <c r="H2470" s="18" t="n">
        <v>333</v>
      </c>
      <c r="I2470" s="18" t="n"/>
      <c r="J2470" s="19" t="n">
        <v>0</v>
      </c>
      <c r="K2470" s="35" t="n">
        <v>0.065</v>
      </c>
    </row>
    <row r="2471">
      <c r="A2471" s="36" t="inlineStr">
        <is>
          <t>AGA SPK-tilskudd</t>
        </is>
      </c>
      <c r="B2471" s="36" t="inlineStr">
        <is>
          <t>Region Øst</t>
        </is>
      </c>
      <c r="C2471" s="36" t="inlineStr">
        <is>
          <t>Avdeling for statlig barnevern</t>
        </is>
      </c>
      <c r="D2471" s="26" t="n"/>
      <c r="E2471" s="26" t="n"/>
      <c r="F2471" s="26" t="n">
        <v>614</v>
      </c>
      <c r="G2471" s="26" t="n"/>
      <c r="H2471" s="26" t="n"/>
      <c r="I2471" s="26" t="n"/>
      <c r="J2471" s="19" t="n">
        <v>0</v>
      </c>
      <c r="K2471" s="37" t="n">
        <v>0.065</v>
      </c>
    </row>
    <row r="2472">
      <c r="A2472" s="34" t="inlineStr">
        <is>
          <t>AGA SPK-tilskudd</t>
        </is>
      </c>
      <c r="B2472" s="34" t="inlineStr">
        <is>
          <t>Region Øst</t>
        </is>
      </c>
      <c r="C2472" s="34" t="inlineStr">
        <is>
          <t>Borg barne- og  familiesenter  Avdeling for beredskapshjem</t>
        </is>
      </c>
      <c r="D2472" s="18" t="n">
        <v>256</v>
      </c>
      <c r="E2472" s="18" t="n"/>
      <c r="F2472" s="18" t="n"/>
      <c r="G2472" s="18" t="n"/>
      <c r="H2472" s="18" t="n"/>
      <c r="I2472" s="18" t="n"/>
      <c r="J2472" s="19" t="n">
        <v>0</v>
      </c>
      <c r="K2472" s="35" t="n">
        <v>0.065</v>
      </c>
    </row>
    <row r="2473">
      <c r="A2473" s="36" t="inlineStr">
        <is>
          <t>AGA SPK-tilskudd</t>
        </is>
      </c>
      <c r="B2473" s="36" t="inlineStr">
        <is>
          <t>Region Øst</t>
        </is>
      </c>
      <c r="C2473" s="36" t="inlineStr">
        <is>
          <t>Borg barne- og  familiesenter  Avdeling for beredskapshjem</t>
        </is>
      </c>
      <c r="D2473" s="26" t="n">
        <v>34</v>
      </c>
      <c r="E2473" s="26" t="n"/>
      <c r="F2473" s="26" t="n"/>
      <c r="G2473" s="26" t="n"/>
      <c r="H2473" s="26" t="n"/>
      <c r="I2473" s="26" t="n"/>
      <c r="J2473" s="19" t="n">
        <v>0</v>
      </c>
      <c r="K2473" s="37" t="n">
        <v>0.065</v>
      </c>
    </row>
    <row r="2474">
      <c r="A2474" s="34" t="inlineStr">
        <is>
          <t>AGA SPK-tilskudd</t>
        </is>
      </c>
      <c r="B2474" s="34" t="inlineStr">
        <is>
          <t>Region Øst</t>
        </is>
      </c>
      <c r="C2474" s="34" t="inlineStr">
        <is>
          <t>Borg barne- og familiesenter Avdeling for beredskapshjem</t>
        </is>
      </c>
      <c r="D2474" s="18" t="n"/>
      <c r="E2474" s="18" t="n"/>
      <c r="F2474" s="18" t="n">
        <v>60</v>
      </c>
      <c r="G2474" s="18" t="n"/>
      <c r="H2474" s="18" t="n"/>
      <c r="I2474" s="18" t="n"/>
      <c r="J2474" s="19" t="n">
        <v>0</v>
      </c>
      <c r="K2474" s="35" t="n">
        <v>0.065</v>
      </c>
    </row>
    <row r="2475">
      <c r="A2475" s="36" t="inlineStr">
        <is>
          <t>AGA SPK-tilskudd</t>
        </is>
      </c>
      <c r="B2475" s="36" t="inlineStr">
        <is>
          <t>Region Øst</t>
        </is>
      </c>
      <c r="C2475" s="36" t="inlineStr">
        <is>
          <t>Borg barne- og familiesenter Avdeling for beredskapshjem</t>
        </is>
      </c>
      <c r="D2475" s="26" t="n"/>
      <c r="E2475" s="26" t="n"/>
      <c r="F2475" s="26" t="n">
        <v>640</v>
      </c>
      <c r="G2475" s="26" t="n"/>
      <c r="H2475" s="26" t="n"/>
      <c r="I2475" s="26" t="n"/>
      <c r="J2475" s="19" t="n">
        <v>0</v>
      </c>
      <c r="K2475" s="37" t="n">
        <v>0.065</v>
      </c>
    </row>
    <row r="2476">
      <c r="A2476" s="34" t="inlineStr">
        <is>
          <t>AGA SPK-tilskudd</t>
        </is>
      </c>
      <c r="B2476" s="34" t="inlineStr">
        <is>
          <t>Region Øst</t>
        </is>
      </c>
      <c r="C2476" s="34" t="inlineStr">
        <is>
          <t>Borg barne- og familiesenter Avdeling for beredskapshjem</t>
        </is>
      </c>
      <c r="D2476" s="18" t="n"/>
      <c r="E2476" s="18" t="n"/>
      <c r="F2476" s="18" t="n">
        <v>85</v>
      </c>
      <c r="G2476" s="18" t="n"/>
      <c r="H2476" s="18" t="n"/>
      <c r="I2476" s="18" t="n"/>
      <c r="J2476" s="19" t="n">
        <v>0</v>
      </c>
      <c r="K2476" s="35" t="n">
        <v>0.065</v>
      </c>
    </row>
    <row r="2477">
      <c r="A2477" s="36" t="inlineStr">
        <is>
          <t>AGA SPK-tilskudd</t>
        </is>
      </c>
      <c r="B2477" s="36" t="inlineStr">
        <is>
          <t>Region Øst</t>
        </is>
      </c>
      <c r="C2477" s="36" t="inlineStr">
        <is>
          <t>Borg barne- og familiesenter Avdeling for beredskapshjem - 2</t>
        </is>
      </c>
      <c r="D2477" s="26" t="n"/>
      <c r="E2477" s="26" t="n">
        <v>1477</v>
      </c>
      <c r="F2477" s="26" t="n"/>
      <c r="G2477" s="26" t="n"/>
      <c r="H2477" s="26" t="n"/>
      <c r="I2477" s="26" t="n"/>
      <c r="J2477" s="19" t="n">
        <v>0</v>
      </c>
      <c r="K2477" s="37" t="n">
        <v>0.065</v>
      </c>
    </row>
    <row r="2478">
      <c r="A2478" s="34" t="inlineStr">
        <is>
          <t>AGA SPK-tilskudd</t>
        </is>
      </c>
      <c r="B2478" s="34" t="inlineStr">
        <is>
          <t>Region Øst</t>
        </is>
      </c>
      <c r="C2478" s="34" t="inlineStr">
        <is>
          <t>Borg barne- og familiesenter Avdeling for beredskapshjem - 2</t>
        </is>
      </c>
      <c r="D2478" s="18" t="n"/>
      <c r="E2478" s="18" t="n">
        <v>194</v>
      </c>
      <c r="F2478" s="18" t="n"/>
      <c r="G2478" s="18" t="n"/>
      <c r="H2478" s="18" t="n"/>
      <c r="I2478" s="18" t="n"/>
      <c r="J2478" s="19" t="n">
        <v>0</v>
      </c>
      <c r="K2478" s="35" t="n">
        <v>0.065</v>
      </c>
    </row>
    <row r="2479">
      <c r="A2479" s="36" t="inlineStr">
        <is>
          <t>AGA SPK-tilskudd</t>
        </is>
      </c>
      <c r="B2479" s="36" t="inlineStr">
        <is>
          <t>Region Øst</t>
        </is>
      </c>
      <c r="C2479" s="36" t="inlineStr">
        <is>
          <t>Borg barne- og familiesenter Avdeling for beredskapshjem - 2</t>
        </is>
      </c>
      <c r="D2479" s="26" t="n"/>
      <c r="E2479" s="26" t="n"/>
      <c r="F2479" s="26" t="n">
        <v>1592</v>
      </c>
      <c r="G2479" s="26" t="n"/>
      <c r="H2479" s="26" t="n"/>
      <c r="I2479" s="26" t="n"/>
      <c r="J2479" s="19" t="n">
        <v>0</v>
      </c>
      <c r="K2479" s="37" t="n">
        <v>0.065</v>
      </c>
    </row>
    <row r="2480">
      <c r="A2480" s="34" t="inlineStr">
        <is>
          <t>AGA SPK-tilskudd</t>
        </is>
      </c>
      <c r="B2480" s="34" t="inlineStr">
        <is>
          <t>Region Øst</t>
        </is>
      </c>
      <c r="C2480" s="34" t="inlineStr">
        <is>
          <t>Borg barne- og familiesenter Avdeling for beredskapshjem - 3</t>
        </is>
      </c>
      <c r="D2480" s="18" t="n">
        <v>6910</v>
      </c>
      <c r="E2480" s="18" t="n"/>
      <c r="F2480" s="18" t="n"/>
      <c r="G2480" s="18" t="n"/>
      <c r="H2480" s="18" t="n"/>
      <c r="I2480" s="18" t="n"/>
      <c r="J2480" s="19" t="n">
        <v>0</v>
      </c>
      <c r="K2480" s="35" t="n">
        <v>0.065</v>
      </c>
    </row>
    <row r="2481">
      <c r="A2481" s="36" t="inlineStr">
        <is>
          <t>AGA SPK-tilskudd</t>
        </is>
      </c>
      <c r="B2481" s="36" t="inlineStr">
        <is>
          <t>Region Øst</t>
        </is>
      </c>
      <c r="C2481" s="36" t="inlineStr">
        <is>
          <t>Borg barne- og familiesenter Avdeling for beredskapshjem - 3</t>
        </is>
      </c>
      <c r="D2481" s="26" t="n">
        <v>449052</v>
      </c>
      <c r="E2481" s="26" t="n"/>
      <c r="F2481" s="26" t="n"/>
      <c r="G2481" s="26" t="n"/>
      <c r="H2481" s="26" t="n"/>
      <c r="I2481" s="26" t="n"/>
      <c r="J2481" s="19" t="n">
        <v>0</v>
      </c>
      <c r="K2481" s="37" t="n">
        <v>0.065</v>
      </c>
    </row>
    <row r="2482">
      <c r="A2482" s="34" t="inlineStr">
        <is>
          <t>AGA SPK-tilskudd</t>
        </is>
      </c>
      <c r="B2482" s="34" t="inlineStr">
        <is>
          <t>Region Øst</t>
        </is>
      </c>
      <c r="C2482" s="34" t="inlineStr">
        <is>
          <t>Borg barne- og familiesenter Avdeling for beredskapshjem - 3</t>
        </is>
      </c>
      <c r="D2482" s="18" t="n">
        <v>75425</v>
      </c>
      <c r="E2482" s="18" t="n"/>
      <c r="F2482" s="18" t="n"/>
      <c r="G2482" s="18" t="n"/>
      <c r="H2482" s="18" t="n"/>
      <c r="I2482" s="18" t="n"/>
      <c r="J2482" s="19" t="n">
        <v>0</v>
      </c>
      <c r="K2482" s="35" t="n">
        <v>0.065</v>
      </c>
    </row>
    <row r="2483">
      <c r="A2483" s="36" t="inlineStr">
        <is>
          <t>AGA SPK-tilskudd</t>
        </is>
      </c>
      <c r="B2483" s="36" t="inlineStr">
        <is>
          <t>Region Øst</t>
        </is>
      </c>
      <c r="C2483" s="36" t="inlineStr">
        <is>
          <t>Borg barne- og familiesenter Avdeling for beredskapshjem - 3</t>
        </is>
      </c>
      <c r="D2483" s="26" t="n">
        <v>1700</v>
      </c>
      <c r="E2483" s="26" t="n"/>
      <c r="F2483" s="26" t="n"/>
      <c r="G2483" s="26" t="n"/>
      <c r="H2483" s="26" t="n"/>
      <c r="I2483" s="26" t="n"/>
      <c r="J2483" s="19" t="n">
        <v>0</v>
      </c>
      <c r="K2483" s="37" t="n">
        <v>0.065</v>
      </c>
    </row>
    <row r="2484">
      <c r="A2484" s="34" t="inlineStr">
        <is>
          <t>AGA SPK-tilskudd</t>
        </is>
      </c>
      <c r="B2484" s="34" t="inlineStr">
        <is>
          <t>Region Øst</t>
        </is>
      </c>
      <c r="C2484" s="34" t="inlineStr">
        <is>
          <t>Borg barne- og familiesenter Avdeling for spesialiserte fosterhjem</t>
        </is>
      </c>
      <c r="D2484" s="18" t="n">
        <v>140</v>
      </c>
      <c r="E2484" s="18" t="n"/>
      <c r="F2484" s="18" t="n"/>
      <c r="G2484" s="18" t="n"/>
      <c r="H2484" s="18" t="n"/>
      <c r="I2484" s="18" t="n"/>
      <c r="J2484" s="19" t="n">
        <v>0</v>
      </c>
      <c r="K2484" s="35" t="n">
        <v>0.065</v>
      </c>
    </row>
    <row r="2485">
      <c r="A2485" s="36" t="inlineStr">
        <is>
          <t>AGA SPK-tilskudd</t>
        </is>
      </c>
      <c r="B2485" s="36" t="inlineStr">
        <is>
          <t>Region Øst</t>
        </is>
      </c>
      <c r="C2485" s="36" t="inlineStr">
        <is>
          <t>Borg barne- og familiesenter Avdeling for spesialiserte fosterhjem</t>
        </is>
      </c>
      <c r="D2485" s="26" t="n">
        <v>16</v>
      </c>
      <c r="E2485" s="26" t="n"/>
      <c r="F2485" s="26" t="n"/>
      <c r="G2485" s="26" t="n"/>
      <c r="H2485" s="26" t="n"/>
      <c r="I2485" s="26" t="n"/>
      <c r="J2485" s="19" t="n">
        <v>0</v>
      </c>
      <c r="K2485" s="37" t="n">
        <v>0.065</v>
      </c>
    </row>
    <row r="2486">
      <c r="A2486" s="34" t="inlineStr">
        <is>
          <t>AGA SPK-tilskudd</t>
        </is>
      </c>
      <c r="B2486" s="34" t="inlineStr">
        <is>
          <t>Region Øst</t>
        </is>
      </c>
      <c r="C2486" s="34" t="inlineStr">
        <is>
          <t>Borg barne- og familiesenter, Avdeling for beredskapshjem - 2</t>
        </is>
      </c>
      <c r="D2486" s="18" t="n">
        <v>823</v>
      </c>
      <c r="E2486" s="18" t="n">
        <v>248</v>
      </c>
      <c r="F2486" s="18" t="n"/>
      <c r="G2486" s="18" t="n"/>
      <c r="H2486" s="18" t="n"/>
      <c r="I2486" s="18" t="n"/>
      <c r="J2486" s="19" t="n">
        <v>0</v>
      </c>
      <c r="K2486" s="35" t="n">
        <v>0.065</v>
      </c>
    </row>
    <row r="2487">
      <c r="A2487" s="36" t="inlineStr">
        <is>
          <t>AGA SPK-tilskudd</t>
        </is>
      </c>
      <c r="B2487" s="36" t="inlineStr">
        <is>
          <t>Region Øst</t>
        </is>
      </c>
      <c r="C2487" s="36" t="inlineStr">
        <is>
          <t>Borg barne- og familiesenter, Avdeling for beredskapshjem - 2</t>
        </is>
      </c>
      <c r="D2487" s="26" t="n">
        <v>105</v>
      </c>
      <c r="E2487" s="26" t="n">
        <v>33</v>
      </c>
      <c r="F2487" s="26" t="n"/>
      <c r="G2487" s="26" t="n"/>
      <c r="H2487" s="26" t="n"/>
      <c r="I2487" s="26" t="n"/>
      <c r="J2487" s="19" t="n">
        <v>0</v>
      </c>
      <c r="K2487" s="37" t="n">
        <v>0.065</v>
      </c>
    </row>
    <row r="2488">
      <c r="A2488" s="34" t="inlineStr">
        <is>
          <t>AGA SPK-tilskudd</t>
        </is>
      </c>
      <c r="B2488" s="34" t="inlineStr">
        <is>
          <t>Region Øst</t>
        </is>
      </c>
      <c r="C2488" s="34" t="inlineStr">
        <is>
          <t>Borg barne- og familiesenter, Avdeling for beredskapshjem - 2</t>
        </is>
      </c>
      <c r="D2488" s="18" t="n">
        <v>180</v>
      </c>
      <c r="E2488" s="18" t="n"/>
      <c r="F2488" s="18" t="n"/>
      <c r="G2488" s="18" t="n"/>
      <c r="H2488" s="18" t="n"/>
      <c r="I2488" s="18" t="n"/>
      <c r="J2488" s="19" t="n">
        <v>0</v>
      </c>
      <c r="K2488" s="35" t="n">
        <v>0.065</v>
      </c>
    </row>
    <row r="2489">
      <c r="A2489" s="36" t="inlineStr">
        <is>
          <t>AGA SPK-tilskudd</t>
        </is>
      </c>
      <c r="B2489" s="36" t="inlineStr">
        <is>
          <t>Region Øst</t>
        </is>
      </c>
      <c r="C2489" s="36" t="inlineStr">
        <is>
          <t>Bufetat Enhet for inntakstøtte</t>
        </is>
      </c>
      <c r="D2489" s="26" t="n"/>
      <c r="E2489" s="26" t="n"/>
      <c r="F2489" s="26" t="n">
        <v>-20933</v>
      </c>
      <c r="G2489" s="26" t="n"/>
      <c r="H2489" s="26" t="n"/>
      <c r="I2489" s="26" t="n"/>
      <c r="J2489" s="19" t="n">
        <v>0</v>
      </c>
      <c r="K2489" s="37" t="n">
        <v>0.065</v>
      </c>
    </row>
    <row r="2490">
      <c r="A2490" s="34" t="inlineStr">
        <is>
          <t>AGA SPK-tilskudd</t>
        </is>
      </c>
      <c r="B2490" s="34" t="inlineStr">
        <is>
          <t>Region Øst</t>
        </is>
      </c>
      <c r="C2490" s="34" t="inlineStr">
        <is>
          <t>Bufetat Øst Innlandet Barnevernsenter</t>
        </is>
      </c>
      <c r="D2490" s="18" t="n">
        <v>39890</v>
      </c>
      <c r="E2490" s="18" t="n">
        <v>46126</v>
      </c>
      <c r="F2490" s="18" t="n">
        <v>35749</v>
      </c>
      <c r="G2490" s="18" t="n">
        <v>38501</v>
      </c>
      <c r="H2490" s="18" t="n">
        <v>50142</v>
      </c>
      <c r="I2490" s="18" t="n">
        <v>62253</v>
      </c>
      <c r="J2490" s="19" t="n">
        <v>74383.87253727707</v>
      </c>
      <c r="K2490" s="35" t="n">
        <v>0.09309837772036356</v>
      </c>
    </row>
    <row r="2491">
      <c r="A2491" s="36" t="inlineStr">
        <is>
          <t>AGA SPK-tilskudd</t>
        </is>
      </c>
      <c r="B2491" s="36" t="inlineStr">
        <is>
          <t>Region Øst</t>
        </is>
      </c>
      <c r="C2491" s="36" t="inlineStr">
        <is>
          <t>Bufetat Øst Innlandet Barnevernsenter</t>
        </is>
      </c>
      <c r="D2491" s="26" t="n">
        <v>21201</v>
      </c>
      <c r="E2491" s="26" t="n">
        <v>143957</v>
      </c>
      <c r="F2491" s="26" t="n">
        <v>60680</v>
      </c>
      <c r="G2491" s="26" t="n">
        <v>39840</v>
      </c>
      <c r="H2491" s="26" t="n">
        <v>67412</v>
      </c>
      <c r="I2491" s="26" t="n">
        <v>121660</v>
      </c>
      <c r="J2491" s="19" t="n">
        <v>190093.75</v>
      </c>
      <c r="K2491" s="37" t="n">
        <v>0.25</v>
      </c>
    </row>
    <row r="2492">
      <c r="A2492" s="34" t="inlineStr">
        <is>
          <t>AGA SPK-tilskudd</t>
        </is>
      </c>
      <c r="B2492" s="34" t="inlineStr">
        <is>
          <t>Region Øst</t>
        </is>
      </c>
      <c r="C2492" s="34" t="inlineStr">
        <is>
          <t>Bufetat Øst Innlandet Barnevernsenter</t>
        </is>
      </c>
      <c r="D2492" s="18" t="n">
        <v>4600</v>
      </c>
      <c r="E2492" s="18" t="n">
        <v>6646</v>
      </c>
      <c r="F2492" s="18" t="n">
        <v>6953</v>
      </c>
      <c r="G2492" s="18" t="n">
        <v>7965</v>
      </c>
      <c r="H2492" s="18" t="n">
        <v>10684</v>
      </c>
      <c r="I2492" s="18" t="n">
        <v>13408</v>
      </c>
      <c r="J2492" s="19" t="n">
        <v>20568.68224928364</v>
      </c>
      <c r="K2492" s="35" t="n">
        <v>0.2385719318177155</v>
      </c>
    </row>
    <row r="2493">
      <c r="A2493" s="36" t="inlineStr">
        <is>
          <t>AGA SPK-tilskudd</t>
        </is>
      </c>
      <c r="B2493" s="36" t="inlineStr">
        <is>
          <t>Region Øst</t>
        </is>
      </c>
      <c r="C2493" s="36" t="inlineStr">
        <is>
          <t>Bufetat Øst Innlandet Barnevernsenter</t>
        </is>
      </c>
      <c r="D2493" s="26" t="n"/>
      <c r="E2493" s="26" t="n">
        <v>8000</v>
      </c>
      <c r="F2493" s="26" t="n">
        <v>2898</v>
      </c>
      <c r="G2493" s="26" t="n">
        <v>40525</v>
      </c>
      <c r="H2493" s="26" t="n"/>
      <c r="I2493" s="26" t="n">
        <v>30450</v>
      </c>
      <c r="J2493" s="19" t="n">
        <v>47578.125</v>
      </c>
      <c r="K2493" s="37" t="n">
        <v>0.25</v>
      </c>
    </row>
    <row r="2494">
      <c r="A2494" s="34" t="inlineStr">
        <is>
          <t>AGA SPK-tilskudd</t>
        </is>
      </c>
      <c r="B2494" s="34" t="inlineStr">
        <is>
          <t>Region Øst</t>
        </is>
      </c>
      <c r="C2494" s="34" t="inlineStr">
        <is>
          <t>Bufetat Øst Innlandet Barnevernsenter</t>
        </is>
      </c>
      <c r="D2494" s="18" t="n"/>
      <c r="E2494" s="18" t="n"/>
      <c r="F2494" s="18" t="n">
        <v>3410</v>
      </c>
      <c r="G2494" s="18" t="n">
        <v>609</v>
      </c>
      <c r="H2494" s="18" t="n">
        <v>3327</v>
      </c>
      <c r="I2494" s="18" t="n">
        <v>2857</v>
      </c>
      <c r="J2494" s="19" t="n">
        <v>3240.480825</v>
      </c>
      <c r="K2494" s="35" t="n">
        <v>0.065</v>
      </c>
    </row>
    <row r="2495">
      <c r="A2495" s="36" t="inlineStr">
        <is>
          <t>AGA SPK-tilskudd</t>
        </is>
      </c>
      <c r="B2495" s="36" t="inlineStr">
        <is>
          <t>Region Øst</t>
        </is>
      </c>
      <c r="C2495" s="36" t="inlineStr">
        <is>
          <t>Bufetat Øst Innlandet Barnevernsenter</t>
        </is>
      </c>
      <c r="D2495" s="26" t="n">
        <v>845</v>
      </c>
      <c r="E2495" s="26" t="n">
        <v>3592</v>
      </c>
      <c r="F2495" s="26" t="n">
        <v>8952</v>
      </c>
      <c r="G2495" s="26" t="n">
        <v>2580</v>
      </c>
      <c r="H2495" s="26" t="n">
        <v>7288</v>
      </c>
      <c r="I2495" s="26" t="n">
        <v>10951</v>
      </c>
      <c r="J2495" s="19" t="n">
        <v>17110.9375</v>
      </c>
      <c r="K2495" s="37" t="n">
        <v>0.25</v>
      </c>
    </row>
    <row r="2496">
      <c r="A2496" s="34" t="inlineStr">
        <is>
          <t>AGA SPK-tilskudd</t>
        </is>
      </c>
      <c r="B2496" s="34" t="inlineStr">
        <is>
          <t>Region Øst</t>
        </is>
      </c>
      <c r="C2496" s="34" t="inlineStr">
        <is>
          <t>Bufetat Øst Innlandet Barnevernsenter</t>
        </is>
      </c>
      <c r="D2496" s="18" t="n">
        <v>35310</v>
      </c>
      <c r="E2496" s="18" t="n">
        <v>75658</v>
      </c>
      <c r="F2496" s="18" t="n">
        <v>44083</v>
      </c>
      <c r="G2496" s="18" t="n">
        <v>28874</v>
      </c>
      <c r="H2496" s="18" t="n">
        <v>214271</v>
      </c>
      <c r="I2496" s="18" t="n">
        <v>31486</v>
      </c>
      <c r="J2496" s="19" t="n">
        <v>30074.98369311541</v>
      </c>
      <c r="K2496" s="35" t="n">
        <v>-0.02266386838714129</v>
      </c>
    </row>
    <row r="2497">
      <c r="A2497" s="36" t="inlineStr">
        <is>
          <t>AGA SPK-tilskudd</t>
        </is>
      </c>
      <c r="B2497" s="36" t="inlineStr">
        <is>
          <t>Region Øst</t>
        </is>
      </c>
      <c r="C2497" s="36" t="inlineStr">
        <is>
          <t>Bufetat Øst Innlandet Barnevernsenter</t>
        </is>
      </c>
      <c r="D2497" s="26" t="n">
        <v>6657</v>
      </c>
      <c r="E2497" s="26" t="n">
        <v>21840</v>
      </c>
      <c r="F2497" s="26" t="n">
        <v>9275</v>
      </c>
      <c r="G2497" s="26" t="n">
        <v>38777</v>
      </c>
      <c r="H2497" s="26" t="n">
        <v>51089</v>
      </c>
      <c r="I2497" s="26" t="n">
        <v>6252</v>
      </c>
      <c r="J2497" s="19" t="n">
        <v>6096.985108765237</v>
      </c>
      <c r="K2497" s="37" t="n">
        <v>-0.01247503746694201</v>
      </c>
    </row>
    <row r="2498">
      <c r="A2498" s="34" t="inlineStr">
        <is>
          <t>AGA SPK-tilskudd</t>
        </is>
      </c>
      <c r="B2498" s="34" t="inlineStr">
        <is>
          <t>Region Øst</t>
        </is>
      </c>
      <c r="C2498" s="34" t="inlineStr">
        <is>
          <t>Bufetat Øst Innlandet Barnevernsenter</t>
        </is>
      </c>
      <c r="D2498" s="18" t="n">
        <v>163</v>
      </c>
      <c r="E2498" s="18" t="n">
        <v>776</v>
      </c>
      <c r="F2498" s="18" t="n">
        <v>3934</v>
      </c>
      <c r="G2498" s="18" t="n">
        <v>2278</v>
      </c>
      <c r="H2498" s="18" t="n">
        <v>3999</v>
      </c>
      <c r="I2498" s="18" t="n">
        <v>6248</v>
      </c>
      <c r="J2498" s="19" t="n">
        <v>9762.5</v>
      </c>
      <c r="K2498" s="35" t="n">
        <v>0.25</v>
      </c>
    </row>
    <row r="2499">
      <c r="A2499" s="36" t="inlineStr">
        <is>
          <t>AGA SPK-tilskudd</t>
        </is>
      </c>
      <c r="B2499" s="36" t="inlineStr">
        <is>
          <t>Region Øst</t>
        </is>
      </c>
      <c r="C2499" s="36" t="inlineStr">
        <is>
          <t>Bufetat Øst Innlandet Barnevernsenter</t>
        </is>
      </c>
      <c r="D2499" s="26" t="n"/>
      <c r="E2499" s="26" t="n">
        <v>2085</v>
      </c>
      <c r="F2499" s="26" t="n"/>
      <c r="G2499" s="26" t="n"/>
      <c r="H2499" s="26" t="n">
        <v>9739</v>
      </c>
      <c r="I2499" s="26" t="n"/>
      <c r="J2499" s="19" t="n">
        <v>0</v>
      </c>
      <c r="K2499" s="37" t="n">
        <v>0.065</v>
      </c>
    </row>
    <row r="2500">
      <c r="A2500" s="34" t="inlineStr">
        <is>
          <t>AGA SPK-tilskudd</t>
        </is>
      </c>
      <c r="B2500" s="34" t="inlineStr">
        <is>
          <t>Region Øst</t>
        </is>
      </c>
      <c r="C2500" s="34" t="inlineStr">
        <is>
          <t>Bufetat Øst Innlandet Barnevernsenter</t>
        </is>
      </c>
      <c r="D2500" s="18" t="n">
        <v>290</v>
      </c>
      <c r="E2500" s="18" t="n">
        <v>542</v>
      </c>
      <c r="F2500" s="18" t="n">
        <v>334</v>
      </c>
      <c r="G2500" s="18" t="n"/>
      <c r="H2500" s="18" t="n"/>
      <c r="I2500" s="18" t="n"/>
      <c r="J2500" s="19" t="n">
        <v>0</v>
      </c>
      <c r="K2500" s="35" t="n">
        <v>0.065</v>
      </c>
    </row>
    <row r="2501">
      <c r="A2501" s="36" t="inlineStr">
        <is>
          <t>AGA SPK-tilskudd</t>
        </is>
      </c>
      <c r="B2501" s="36" t="inlineStr">
        <is>
          <t>Region Øst</t>
        </is>
      </c>
      <c r="C2501" s="36" t="inlineStr">
        <is>
          <t>Bufetat Øst Innlandet Barnevernsenter</t>
        </is>
      </c>
      <c r="D2501" s="26" t="n">
        <v>42077</v>
      </c>
      <c r="E2501" s="26" t="n">
        <v>31203</v>
      </c>
      <c r="F2501" s="26" t="n">
        <v>68710</v>
      </c>
      <c r="G2501" s="26" t="n">
        <v>29771</v>
      </c>
      <c r="H2501" s="26" t="n">
        <v>40646</v>
      </c>
      <c r="I2501" s="26" t="n">
        <v>62848</v>
      </c>
      <c r="J2501" s="19" t="n">
        <v>73788.74761056078</v>
      </c>
      <c r="K2501" s="37" t="n">
        <v>0.08355095379284738</v>
      </c>
    </row>
    <row r="2502">
      <c r="A2502" s="34" t="inlineStr">
        <is>
          <t>AGA SPK-tilskudd</t>
        </is>
      </c>
      <c r="B2502" s="34" t="inlineStr">
        <is>
          <t>Region Øst</t>
        </is>
      </c>
      <c r="C2502" s="34" t="inlineStr">
        <is>
          <t>Bufetat Øst Innlandet Barnevernsenter</t>
        </is>
      </c>
      <c r="D2502" s="18" t="n"/>
      <c r="E2502" s="18" t="n"/>
      <c r="F2502" s="18" t="n"/>
      <c r="G2502" s="18" t="n"/>
      <c r="H2502" s="18" t="n"/>
      <c r="I2502" s="18" t="n">
        <v>-79200</v>
      </c>
      <c r="J2502" s="19" t="n">
        <v>-89830.61999999998</v>
      </c>
      <c r="K2502" s="35" t="n">
        <v>0.065</v>
      </c>
    </row>
    <row r="2503">
      <c r="A2503" s="36" t="inlineStr">
        <is>
          <t>AGA SPK-tilskudd</t>
        </is>
      </c>
      <c r="B2503" s="36" t="inlineStr">
        <is>
          <t>Region Øst</t>
        </is>
      </c>
      <c r="C2503" s="36" t="inlineStr">
        <is>
          <t>Bufetat Øst Innlandet Barnevernsenter</t>
        </is>
      </c>
      <c r="D2503" s="26" t="n">
        <v>-168300</v>
      </c>
      <c r="E2503" s="26" t="n"/>
      <c r="F2503" s="26" t="n"/>
      <c r="G2503" s="26" t="n"/>
      <c r="H2503" s="26" t="n"/>
      <c r="I2503" s="26" t="n"/>
      <c r="J2503" s="19" t="n">
        <v>0</v>
      </c>
      <c r="K2503" s="37" t="n">
        <v>0.065</v>
      </c>
    </row>
    <row r="2504">
      <c r="A2504" s="34" t="inlineStr">
        <is>
          <t>AGA SPK-tilskudd</t>
        </is>
      </c>
      <c r="B2504" s="34" t="inlineStr">
        <is>
          <t>Region Øst</t>
        </is>
      </c>
      <c r="C2504" s="34" t="inlineStr">
        <is>
          <t>Bufetat Øst Innlandet Barnevernsenter</t>
        </is>
      </c>
      <c r="D2504" s="18" t="n"/>
      <c r="E2504" s="18" t="n">
        <v>-9284</v>
      </c>
      <c r="F2504" s="18" t="n">
        <v>-28932</v>
      </c>
      <c r="G2504" s="18" t="n">
        <v>-1826</v>
      </c>
      <c r="H2504" s="18" t="n">
        <v>-32484</v>
      </c>
      <c r="I2504" s="18" t="n">
        <v>-4061</v>
      </c>
      <c r="J2504" s="19" t="n">
        <v>-4606.087724999999</v>
      </c>
      <c r="K2504" s="35" t="n">
        <v>0.065</v>
      </c>
    </row>
    <row r="2505">
      <c r="A2505" s="36" t="inlineStr">
        <is>
          <t>AGA SPK-tilskudd</t>
        </is>
      </c>
      <c r="B2505" s="36" t="inlineStr">
        <is>
          <t>Region Øst</t>
        </is>
      </c>
      <c r="C2505" s="36" t="inlineStr">
        <is>
          <t>Bufetats behandlingssenter Akershus/Østfold - Administrasjon</t>
        </is>
      </c>
      <c r="D2505" s="26" t="n"/>
      <c r="E2505" s="26" t="n"/>
      <c r="F2505" s="26" t="n"/>
      <c r="G2505" s="26" t="n">
        <v>32976</v>
      </c>
      <c r="H2505" s="26" t="n">
        <v>38540</v>
      </c>
      <c r="I2505" s="26" t="n">
        <v>573</v>
      </c>
      <c r="J2505" s="19" t="n">
        <v>649.9109249999999</v>
      </c>
      <c r="K2505" s="37" t="n">
        <v>0.065</v>
      </c>
    </row>
    <row r="2506">
      <c r="A2506" s="34" t="inlineStr">
        <is>
          <t>AGA SPK-tilskudd</t>
        </is>
      </c>
      <c r="B2506" s="34" t="inlineStr">
        <is>
          <t>Region Øst</t>
        </is>
      </c>
      <c r="C2506" s="34" t="inlineStr">
        <is>
          <t>Bufetats behandlingssenter Akershus/Østfold - Administrasjon</t>
        </is>
      </c>
      <c r="D2506" s="18" t="n"/>
      <c r="E2506" s="18" t="n"/>
      <c r="F2506" s="18" t="n"/>
      <c r="G2506" s="18" t="n">
        <v>8032</v>
      </c>
      <c r="H2506" s="18" t="n">
        <v>37206</v>
      </c>
      <c r="I2506" s="18" t="n">
        <v>2608</v>
      </c>
      <c r="J2506" s="19" t="n">
        <v>2958.058799999999</v>
      </c>
      <c r="K2506" s="35" t="n">
        <v>0.065</v>
      </c>
    </row>
    <row r="2507">
      <c r="A2507" s="36" t="inlineStr">
        <is>
          <t>AGA SPK-tilskudd</t>
        </is>
      </c>
      <c r="B2507" s="36" t="inlineStr">
        <is>
          <t>Region Øst</t>
        </is>
      </c>
      <c r="C2507" s="36" t="inlineStr">
        <is>
          <t>Bufetats behandlingssenter Akershus/Østfold - Administrasjon</t>
        </is>
      </c>
      <c r="D2507" s="26" t="n"/>
      <c r="E2507" s="26" t="n"/>
      <c r="F2507" s="26" t="n"/>
      <c r="G2507" s="26" t="n">
        <v>6837</v>
      </c>
      <c r="H2507" s="26" t="n">
        <v>8464</v>
      </c>
      <c r="I2507" s="26" t="n"/>
      <c r="J2507" s="19" t="n">
        <v>0</v>
      </c>
      <c r="K2507" s="37" t="n">
        <v>0.065</v>
      </c>
    </row>
    <row r="2508">
      <c r="A2508" s="34" t="inlineStr">
        <is>
          <t>AGA SPK-tilskudd</t>
        </is>
      </c>
      <c r="B2508" s="34" t="inlineStr">
        <is>
          <t>Region Øst</t>
        </is>
      </c>
      <c r="C2508" s="34" t="inlineStr">
        <is>
          <t>Bufetats behandlingssenter Akershus/Østfold - Administrasjon</t>
        </is>
      </c>
      <c r="D2508" s="18" t="n"/>
      <c r="E2508" s="18" t="n"/>
      <c r="F2508" s="18" t="n"/>
      <c r="G2508" s="18" t="n"/>
      <c r="H2508" s="18" t="n">
        <v>3243</v>
      </c>
      <c r="I2508" s="18" t="n"/>
      <c r="J2508" s="19" t="n">
        <v>0</v>
      </c>
      <c r="K2508" s="35" t="n">
        <v>0.065</v>
      </c>
    </row>
    <row r="2509">
      <c r="A2509" s="36" t="inlineStr">
        <is>
          <t>AGA SPK-tilskudd</t>
        </is>
      </c>
      <c r="B2509" s="36" t="inlineStr">
        <is>
          <t>Region Øst</t>
        </is>
      </c>
      <c r="C2509" s="36" t="inlineStr">
        <is>
          <t>Bufetats behandlingssenter Akershus/Østfold - Administrasjon</t>
        </is>
      </c>
      <c r="D2509" s="26" t="n"/>
      <c r="E2509" s="26" t="n"/>
      <c r="F2509" s="26" t="n"/>
      <c r="G2509" s="26" t="n">
        <v>5759</v>
      </c>
      <c r="H2509" s="26" t="n">
        <v>14777</v>
      </c>
      <c r="I2509" s="26" t="n">
        <v>3910</v>
      </c>
      <c r="J2509" s="19" t="n">
        <v>4434.81975</v>
      </c>
      <c r="K2509" s="37" t="n">
        <v>0.065</v>
      </c>
    </row>
    <row r="2510">
      <c r="A2510" s="34" t="inlineStr">
        <is>
          <t>AGA SPK-tilskudd</t>
        </is>
      </c>
      <c r="B2510" s="34" t="inlineStr">
        <is>
          <t>Region Øst</t>
        </is>
      </c>
      <c r="C2510" s="34" t="inlineStr">
        <is>
          <t>Bufetats behandlingssenter Akershus/Østfold - Administrasjon</t>
        </is>
      </c>
      <c r="D2510" s="18" t="n"/>
      <c r="E2510" s="18" t="n"/>
      <c r="F2510" s="18" t="n"/>
      <c r="G2510" s="18" t="n">
        <v>520</v>
      </c>
      <c r="H2510" s="18" t="n">
        <v>6157</v>
      </c>
      <c r="I2510" s="18" t="n"/>
      <c r="J2510" s="19" t="n">
        <v>0</v>
      </c>
      <c r="K2510" s="35" t="n">
        <v>0.065</v>
      </c>
    </row>
    <row r="2511">
      <c r="A2511" s="36" t="inlineStr">
        <is>
          <t>AGA SPK-tilskudd</t>
        </is>
      </c>
      <c r="B2511" s="36" t="inlineStr">
        <is>
          <t>Region Øst</t>
        </is>
      </c>
      <c r="C2511" s="36" t="inlineStr">
        <is>
          <t>Bufetats behandlingssenter Akershus/Østfold - Administrasjon</t>
        </is>
      </c>
      <c r="D2511" s="26" t="n"/>
      <c r="E2511" s="26" t="n"/>
      <c r="F2511" s="26" t="n"/>
      <c r="G2511" s="26" t="n"/>
      <c r="H2511" s="26" t="n">
        <v>3015</v>
      </c>
      <c r="I2511" s="26" t="n"/>
      <c r="J2511" s="19" t="n">
        <v>0</v>
      </c>
      <c r="K2511" s="37" t="n">
        <v>0.065</v>
      </c>
    </row>
    <row r="2512">
      <c r="A2512" s="34" t="inlineStr">
        <is>
          <t>AGA SPK-tilskudd</t>
        </is>
      </c>
      <c r="B2512" s="34" t="inlineStr">
        <is>
          <t>Region Øst</t>
        </is>
      </c>
      <c r="C2512" s="34" t="inlineStr">
        <is>
          <t>Bufetats behandlingssenter Akershus/Østfold - Administrasjon</t>
        </is>
      </c>
      <c r="D2512" s="18" t="n"/>
      <c r="E2512" s="18" t="n"/>
      <c r="F2512" s="18" t="n"/>
      <c r="G2512" s="18" t="n">
        <v>2666</v>
      </c>
      <c r="H2512" s="18" t="n">
        <v>6056</v>
      </c>
      <c r="I2512" s="18" t="n">
        <v>7354</v>
      </c>
      <c r="J2512" s="19" t="n">
        <v>8341.090649999998</v>
      </c>
      <c r="K2512" s="35" t="n">
        <v>0.065</v>
      </c>
    </row>
    <row r="2513">
      <c r="A2513" s="36" t="inlineStr">
        <is>
          <t>AGA SPK-tilskudd</t>
        </is>
      </c>
      <c r="B2513" s="36" t="inlineStr">
        <is>
          <t>Region Øst</t>
        </is>
      </c>
      <c r="C2513" s="36" t="inlineStr">
        <is>
          <t>Bufetats behandlingssenter Akershus/Østfold - Administrasjon</t>
        </is>
      </c>
      <c r="D2513" s="26" t="n"/>
      <c r="E2513" s="26" t="n"/>
      <c r="F2513" s="26" t="n"/>
      <c r="G2513" s="26" t="n">
        <v>1919</v>
      </c>
      <c r="H2513" s="26" t="n">
        <v>8274</v>
      </c>
      <c r="I2513" s="26" t="n">
        <v>1581</v>
      </c>
      <c r="J2513" s="19" t="n">
        <v>1793.209725</v>
      </c>
      <c r="K2513" s="37" t="n">
        <v>0.065</v>
      </c>
    </row>
    <row r="2514">
      <c r="A2514" s="34" t="inlineStr">
        <is>
          <t>AGA SPK-tilskudd</t>
        </is>
      </c>
      <c r="B2514" s="34" t="inlineStr">
        <is>
          <t>Region Øst</t>
        </is>
      </c>
      <c r="C2514" s="34" t="inlineStr">
        <is>
          <t>Bufetats behandlingssenter Akershus/Østfold - Administrasjon</t>
        </is>
      </c>
      <c r="D2514" s="18" t="n"/>
      <c r="E2514" s="18" t="n"/>
      <c r="F2514" s="18" t="n"/>
      <c r="G2514" s="18" t="n">
        <v>6721</v>
      </c>
      <c r="H2514" s="18" t="n"/>
      <c r="I2514" s="18" t="n"/>
      <c r="J2514" s="19" t="n">
        <v>0</v>
      </c>
      <c r="K2514" s="35" t="n">
        <v>0.065</v>
      </c>
    </row>
    <row r="2515">
      <c r="A2515" s="36" t="inlineStr">
        <is>
          <t>AGA SPK-tilskudd</t>
        </is>
      </c>
      <c r="B2515" s="36" t="inlineStr">
        <is>
          <t>Region Øst</t>
        </is>
      </c>
      <c r="C2515" s="36" t="inlineStr">
        <is>
          <t>Bufetats behandlingssenter Akershus/Østfold - Administrasjon</t>
        </is>
      </c>
      <c r="D2515" s="26" t="n"/>
      <c r="E2515" s="26" t="n"/>
      <c r="F2515" s="26" t="n"/>
      <c r="G2515" s="26" t="n">
        <v>-3726</v>
      </c>
      <c r="H2515" s="26" t="n">
        <v>-3950</v>
      </c>
      <c r="I2515" s="26" t="n"/>
      <c r="J2515" s="19" t="n">
        <v>0</v>
      </c>
      <c r="K2515" s="37" t="n">
        <v>0.065</v>
      </c>
    </row>
    <row r="2516">
      <c r="A2516" s="34" t="inlineStr">
        <is>
          <t>AGA SPK-tilskudd</t>
        </is>
      </c>
      <c r="B2516" s="34" t="inlineStr">
        <is>
          <t>Region Øst</t>
        </is>
      </c>
      <c r="C2516" s="34" t="inlineStr">
        <is>
          <t>Bufetats behandlingssenter Akershus/Østfold - Administrasjon</t>
        </is>
      </c>
      <c r="D2516" s="18" t="n"/>
      <c r="E2516" s="18" t="n"/>
      <c r="F2516" s="18" t="n"/>
      <c r="G2516" s="18" t="n">
        <v>-572</v>
      </c>
      <c r="H2516" s="18" t="n">
        <v>-37966</v>
      </c>
      <c r="I2516" s="18" t="n">
        <v>-462</v>
      </c>
      <c r="J2516" s="19" t="n">
        <v>-524.01195</v>
      </c>
      <c r="K2516" s="35" t="n">
        <v>0.065</v>
      </c>
    </row>
    <row r="2517">
      <c r="A2517" s="36" t="inlineStr">
        <is>
          <t>AGA SPK-tilskudd</t>
        </is>
      </c>
      <c r="B2517" s="36" t="inlineStr">
        <is>
          <t>Region Øst</t>
        </is>
      </c>
      <c r="C2517" s="36" t="inlineStr">
        <is>
          <t>Bufetats behandlingssenter Akershus/Østfold, Avdeling Kroerveien Institusjon</t>
        </is>
      </c>
      <c r="D2517" s="26" t="n"/>
      <c r="E2517" s="26" t="n"/>
      <c r="F2517" s="26" t="n"/>
      <c r="G2517" s="26" t="n">
        <v>86418</v>
      </c>
      <c r="H2517" s="26" t="n">
        <v>199548</v>
      </c>
      <c r="I2517" s="26" t="n">
        <v>3687</v>
      </c>
      <c r="J2517" s="19" t="n">
        <v>4181.887575</v>
      </c>
      <c r="K2517" s="37" t="n">
        <v>0.065</v>
      </c>
    </row>
    <row r="2518">
      <c r="A2518" s="34" t="inlineStr">
        <is>
          <t>AGA SPK-tilskudd</t>
        </is>
      </c>
      <c r="B2518" s="34" t="inlineStr">
        <is>
          <t>Region Øst</t>
        </is>
      </c>
      <c r="C2518" s="34" t="inlineStr">
        <is>
          <t>Bufetats behandlingssenter Akershus/Østfold, Avdeling Kroerveien Institusjon</t>
        </is>
      </c>
      <c r="D2518" s="18" t="n"/>
      <c r="E2518" s="18" t="n"/>
      <c r="F2518" s="18" t="n"/>
      <c r="G2518" s="18" t="n">
        <v>93745</v>
      </c>
      <c r="H2518" s="18" t="n">
        <v>267340</v>
      </c>
      <c r="I2518" s="18" t="n">
        <v>14870</v>
      </c>
      <c r="J2518" s="19" t="n">
        <v>16865.92575</v>
      </c>
      <c r="K2518" s="35" t="n">
        <v>0.065</v>
      </c>
    </row>
    <row r="2519">
      <c r="A2519" s="36" t="inlineStr">
        <is>
          <t>AGA SPK-tilskudd</t>
        </is>
      </c>
      <c r="B2519" s="36" t="inlineStr">
        <is>
          <t>Region Øst</t>
        </is>
      </c>
      <c r="C2519" s="36" t="inlineStr">
        <is>
          <t>Bufetats behandlingssenter Akershus/Østfold, Avdeling Kroerveien Institusjon</t>
        </is>
      </c>
      <c r="D2519" s="26" t="n"/>
      <c r="E2519" s="26" t="n"/>
      <c r="F2519" s="26" t="n"/>
      <c r="G2519" s="26" t="n">
        <v>5278</v>
      </c>
      <c r="H2519" s="26" t="n">
        <v>30190</v>
      </c>
      <c r="I2519" s="26" t="n">
        <v>6438</v>
      </c>
      <c r="J2519" s="19" t="n">
        <v>7302.140549999999</v>
      </c>
      <c r="K2519" s="37" t="n">
        <v>0.065</v>
      </c>
    </row>
    <row r="2520">
      <c r="A2520" s="34" t="inlineStr">
        <is>
          <t>AGA SPK-tilskudd</t>
        </is>
      </c>
      <c r="B2520" s="34" t="inlineStr">
        <is>
          <t>Region Øst</t>
        </is>
      </c>
      <c r="C2520" s="34" t="inlineStr">
        <is>
          <t>Bufetats behandlingssenter Akershus/Østfold, Avdeling Kroerveien Institusjon</t>
        </is>
      </c>
      <c r="D2520" s="18" t="n"/>
      <c r="E2520" s="18" t="n"/>
      <c r="F2520" s="18" t="n"/>
      <c r="G2520" s="18" t="n">
        <v>32391</v>
      </c>
      <c r="H2520" s="18" t="n">
        <v>72428</v>
      </c>
      <c r="I2520" s="18" t="n"/>
      <c r="J2520" s="19" t="n">
        <v>0</v>
      </c>
      <c r="K2520" s="35" t="n">
        <v>0.065</v>
      </c>
    </row>
    <row r="2521">
      <c r="A2521" s="36" t="inlineStr">
        <is>
          <t>AGA SPK-tilskudd</t>
        </is>
      </c>
      <c r="B2521" s="36" t="inlineStr">
        <is>
          <t>Region Øst</t>
        </is>
      </c>
      <c r="C2521" s="36" t="inlineStr">
        <is>
          <t>Bufetats behandlingssenter Akershus/Østfold, Avdeling Kroerveien Institusjon</t>
        </is>
      </c>
      <c r="D2521" s="26" t="n"/>
      <c r="E2521" s="26" t="n"/>
      <c r="F2521" s="26" t="n"/>
      <c r="G2521" s="26" t="n">
        <v>5096</v>
      </c>
      <c r="H2521" s="26" t="n">
        <v>3993</v>
      </c>
      <c r="I2521" s="26" t="n"/>
      <c r="J2521" s="19" t="n">
        <v>0</v>
      </c>
      <c r="K2521" s="37" t="n">
        <v>0.065</v>
      </c>
    </row>
    <row r="2522">
      <c r="A2522" s="34" t="inlineStr">
        <is>
          <t>AGA SPK-tilskudd</t>
        </is>
      </c>
      <c r="B2522" s="34" t="inlineStr">
        <is>
          <t>Region Øst</t>
        </is>
      </c>
      <c r="C2522" s="34" t="inlineStr">
        <is>
          <t>Bufetats behandlingssenter Akershus/Østfold, Avdeling Kroerveien Institusjon</t>
        </is>
      </c>
      <c r="D2522" s="18" t="n"/>
      <c r="E2522" s="18" t="n"/>
      <c r="F2522" s="18" t="n"/>
      <c r="G2522" s="18" t="n"/>
      <c r="H2522" s="18" t="n">
        <v>1127</v>
      </c>
      <c r="I2522" s="18" t="n"/>
      <c r="J2522" s="19" t="n">
        <v>0</v>
      </c>
      <c r="K2522" s="35" t="n">
        <v>0.065</v>
      </c>
    </row>
    <row r="2523">
      <c r="A2523" s="36" t="inlineStr">
        <is>
          <t>AGA SPK-tilskudd</t>
        </is>
      </c>
      <c r="B2523" s="36" t="inlineStr">
        <is>
          <t>Region Øst</t>
        </is>
      </c>
      <c r="C2523" s="36" t="inlineStr">
        <is>
          <t>Bufetats behandlingssenter Akershus/Østfold, Avdeling Kroerveien Institusjon</t>
        </is>
      </c>
      <c r="D2523" s="26" t="n"/>
      <c r="E2523" s="26" t="n"/>
      <c r="F2523" s="26" t="n"/>
      <c r="G2523" s="26" t="n">
        <v>1163</v>
      </c>
      <c r="H2523" s="26" t="n"/>
      <c r="I2523" s="26" t="n"/>
      <c r="J2523" s="19" t="n">
        <v>0</v>
      </c>
      <c r="K2523" s="37" t="n">
        <v>0.065</v>
      </c>
    </row>
    <row r="2524">
      <c r="A2524" s="34" t="inlineStr">
        <is>
          <t>AGA SPK-tilskudd</t>
        </is>
      </c>
      <c r="B2524" s="34" t="inlineStr">
        <is>
          <t>Region Øst</t>
        </is>
      </c>
      <c r="C2524" s="34" t="inlineStr">
        <is>
          <t>Bufetats behandlingssenter Akershus/Østfold, Avdeling Kroerveien Institusjon</t>
        </is>
      </c>
      <c r="D2524" s="18" t="n"/>
      <c r="E2524" s="18" t="n"/>
      <c r="F2524" s="18" t="n"/>
      <c r="G2524" s="18" t="n">
        <v>10717</v>
      </c>
      <c r="H2524" s="18" t="n">
        <v>10811</v>
      </c>
      <c r="I2524" s="18" t="n"/>
      <c r="J2524" s="19" t="n">
        <v>0</v>
      </c>
      <c r="K2524" s="35" t="n">
        <v>0.065</v>
      </c>
    </row>
    <row r="2525">
      <c r="A2525" s="36" t="inlineStr">
        <is>
          <t>AGA SPK-tilskudd</t>
        </is>
      </c>
      <c r="B2525" s="36" t="inlineStr">
        <is>
          <t>Region Øst</t>
        </is>
      </c>
      <c r="C2525" s="36" t="inlineStr">
        <is>
          <t>Bufetats behandlingssenter Akershus/Østfold, Avdeling Kroerveien Institusjon</t>
        </is>
      </c>
      <c r="D2525" s="26" t="n"/>
      <c r="E2525" s="26" t="n"/>
      <c r="F2525" s="26" t="n"/>
      <c r="G2525" s="26" t="n">
        <v>1184</v>
      </c>
      <c r="H2525" s="26" t="n">
        <v>1767</v>
      </c>
      <c r="I2525" s="26" t="n">
        <v>158</v>
      </c>
      <c r="J2525" s="19" t="n">
        <v>179.20755</v>
      </c>
      <c r="K2525" s="37" t="n">
        <v>0.065</v>
      </c>
    </row>
    <row r="2526">
      <c r="A2526" s="34" t="inlineStr">
        <is>
          <t>AGA SPK-tilskudd</t>
        </is>
      </c>
      <c r="B2526" s="34" t="inlineStr">
        <is>
          <t>Region Øst</t>
        </is>
      </c>
      <c r="C2526" s="34" t="inlineStr">
        <is>
          <t>Bufetats behandlingssenter Akershus/Østfold, Avdeling Kroerveien Institusjon</t>
        </is>
      </c>
      <c r="D2526" s="18" t="n"/>
      <c r="E2526" s="18" t="n"/>
      <c r="F2526" s="18" t="n"/>
      <c r="G2526" s="18" t="n">
        <v>3495</v>
      </c>
      <c r="H2526" s="18" t="n">
        <v>4195</v>
      </c>
      <c r="I2526" s="18" t="n"/>
      <c r="J2526" s="19" t="n">
        <v>0</v>
      </c>
      <c r="K2526" s="35" t="n">
        <v>0.065</v>
      </c>
    </row>
    <row r="2527">
      <c r="A2527" s="36" t="inlineStr">
        <is>
          <t>AGA SPK-tilskudd</t>
        </is>
      </c>
      <c r="B2527" s="36" t="inlineStr">
        <is>
          <t>Region Øst</t>
        </is>
      </c>
      <c r="C2527" s="36" t="inlineStr">
        <is>
          <t>Bufetats behandlingssenter Akershus/Østfold, Avdeling Kroerveien Institusjon</t>
        </is>
      </c>
      <c r="D2527" s="26" t="n"/>
      <c r="E2527" s="26" t="n"/>
      <c r="F2527" s="26" t="n"/>
      <c r="G2527" s="26" t="n">
        <v>-19400</v>
      </c>
      <c r="H2527" s="26" t="n">
        <v>-40000</v>
      </c>
      <c r="I2527" s="26" t="n">
        <v>4114</v>
      </c>
      <c r="J2527" s="19" t="n">
        <v>4666.201649999999</v>
      </c>
      <c r="K2527" s="37" t="n">
        <v>0.065</v>
      </c>
    </row>
    <row r="2528">
      <c r="A2528" s="34" t="inlineStr">
        <is>
          <t>AGA SPK-tilskudd</t>
        </is>
      </c>
      <c r="B2528" s="34" t="inlineStr">
        <is>
          <t>Region Øst</t>
        </is>
      </c>
      <c r="C2528" s="34" t="inlineStr">
        <is>
          <t>Bufetats behandlingssenter Akershus/Østfold, Avdeling Kroerveien Institusjon</t>
        </is>
      </c>
      <c r="D2528" s="18" t="n"/>
      <c r="E2528" s="18" t="n"/>
      <c r="F2528" s="18" t="n"/>
      <c r="G2528" s="18" t="n"/>
      <c r="H2528" s="18" t="n">
        <v>-15744</v>
      </c>
      <c r="I2528" s="18" t="n"/>
      <c r="J2528" s="19" t="n">
        <v>0</v>
      </c>
      <c r="K2528" s="35" t="n">
        <v>0.065</v>
      </c>
    </row>
    <row r="2529">
      <c r="A2529" s="36" t="inlineStr">
        <is>
          <t>AGA SPK-tilskudd</t>
        </is>
      </c>
      <c r="B2529" s="36" t="inlineStr">
        <is>
          <t>Region Øst</t>
        </is>
      </c>
      <c r="C2529" s="36" t="inlineStr">
        <is>
          <t>Bufetats behandlingssenter Akershus/Østfold, Avdeling Kroerveien Institusjon</t>
        </is>
      </c>
      <c r="D2529" s="26" t="n"/>
      <c r="E2529" s="26" t="n"/>
      <c r="F2529" s="26" t="n"/>
      <c r="G2529" s="26" t="n">
        <v>-210708</v>
      </c>
      <c r="H2529" s="26" t="n">
        <v>-432547</v>
      </c>
      <c r="I2529" s="26" t="n">
        <v>-113462</v>
      </c>
      <c r="J2529" s="19" t="n">
        <v>-128691.43695</v>
      </c>
      <c r="K2529" s="37" t="n">
        <v>0.065</v>
      </c>
    </row>
    <row r="2530">
      <c r="A2530" s="34" t="inlineStr">
        <is>
          <t>AGA SPK-tilskudd</t>
        </is>
      </c>
      <c r="B2530" s="34" t="inlineStr">
        <is>
          <t>Region Øst</t>
        </is>
      </c>
      <c r="C2530" s="34" t="inlineStr">
        <is>
          <t>Bufetats behandlingssenter Akershus/Østfold, Avdeling Ressursteam</t>
        </is>
      </c>
      <c r="D2530" s="18" t="n"/>
      <c r="E2530" s="18" t="n"/>
      <c r="F2530" s="18" t="n"/>
      <c r="G2530" s="18" t="n">
        <v>43116</v>
      </c>
      <c r="H2530" s="18" t="n">
        <v>85275</v>
      </c>
      <c r="I2530" s="18" t="n">
        <v>728</v>
      </c>
      <c r="J2530" s="19" t="n">
        <v>825.7157999999998</v>
      </c>
      <c r="K2530" s="35" t="n">
        <v>0.065</v>
      </c>
    </row>
    <row r="2531">
      <c r="A2531" s="36" t="inlineStr">
        <is>
          <t>AGA SPK-tilskudd</t>
        </is>
      </c>
      <c r="B2531" s="36" t="inlineStr">
        <is>
          <t>Region Øst</t>
        </is>
      </c>
      <c r="C2531" s="36" t="inlineStr">
        <is>
          <t>Bufetats behandlingssenter Akershus/Østfold, Avdeling Ressursteam</t>
        </is>
      </c>
      <c r="D2531" s="26" t="n"/>
      <c r="E2531" s="26" t="n"/>
      <c r="F2531" s="26" t="n"/>
      <c r="G2531" s="26" t="n">
        <v>6971</v>
      </c>
      <c r="H2531" s="26" t="n"/>
      <c r="I2531" s="26" t="n"/>
      <c r="J2531" s="19" t="n">
        <v>0</v>
      </c>
      <c r="K2531" s="37" t="n">
        <v>0.065</v>
      </c>
    </row>
    <row r="2532">
      <c r="A2532" s="34" t="inlineStr">
        <is>
          <t>AGA SPK-tilskudd</t>
        </is>
      </c>
      <c r="B2532" s="34" t="inlineStr">
        <is>
          <t>Region Øst</t>
        </is>
      </c>
      <c r="C2532" s="34" t="inlineStr">
        <is>
          <t>Bufetats behandlingssenter Akershus/Østfold, Avdeling Ressursteam</t>
        </is>
      </c>
      <c r="D2532" s="18" t="n"/>
      <c r="E2532" s="18" t="n"/>
      <c r="F2532" s="18" t="n"/>
      <c r="G2532" s="18" t="n">
        <v>30832</v>
      </c>
      <c r="H2532" s="18" t="n">
        <v>25355</v>
      </c>
      <c r="I2532" s="18" t="n">
        <v>2334</v>
      </c>
      <c r="J2532" s="19" t="n">
        <v>2647.28115</v>
      </c>
      <c r="K2532" s="35" t="n">
        <v>0.065</v>
      </c>
    </row>
    <row r="2533">
      <c r="A2533" s="36" t="inlineStr">
        <is>
          <t>AGA SPK-tilskudd</t>
        </is>
      </c>
      <c r="B2533" s="36" t="inlineStr">
        <is>
          <t>Region Øst</t>
        </is>
      </c>
      <c r="C2533" s="36" t="inlineStr">
        <is>
          <t>Bufetats behandlingssenter Akershus/Østfold, Avdeling Ressursteam</t>
        </is>
      </c>
      <c r="D2533" s="26" t="n"/>
      <c r="E2533" s="26" t="n"/>
      <c r="F2533" s="26" t="n"/>
      <c r="G2533" s="26" t="n">
        <v>8828</v>
      </c>
      <c r="H2533" s="26" t="n">
        <v>16650</v>
      </c>
      <c r="I2533" s="26" t="n"/>
      <c r="J2533" s="19" t="n">
        <v>0</v>
      </c>
      <c r="K2533" s="37" t="n">
        <v>0.065</v>
      </c>
    </row>
    <row r="2534">
      <c r="A2534" s="34" t="inlineStr">
        <is>
          <t>AGA SPK-tilskudd</t>
        </is>
      </c>
      <c r="B2534" s="34" t="inlineStr">
        <is>
          <t>Region Øst</t>
        </is>
      </c>
      <c r="C2534" s="34" t="inlineStr">
        <is>
          <t>Bufetats behandlingssenter Akershus/Østfold, Avdeling Ressursteam</t>
        </is>
      </c>
      <c r="D2534" s="18" t="n"/>
      <c r="E2534" s="18" t="n"/>
      <c r="F2534" s="18" t="n"/>
      <c r="G2534" s="18" t="n"/>
      <c r="H2534" s="18" t="n">
        <v>1725</v>
      </c>
      <c r="I2534" s="18" t="n"/>
      <c r="J2534" s="19" t="n">
        <v>0</v>
      </c>
      <c r="K2534" s="35" t="n">
        <v>0.065</v>
      </c>
    </row>
    <row r="2535">
      <c r="A2535" s="36" t="inlineStr">
        <is>
          <t>AGA SPK-tilskudd</t>
        </is>
      </c>
      <c r="B2535" s="36" t="inlineStr">
        <is>
          <t>Region Øst</t>
        </is>
      </c>
      <c r="C2535" s="36" t="inlineStr">
        <is>
          <t>Bufetats behandlingssenter Akershus/Østfold, Avdeling Ressursteam</t>
        </is>
      </c>
      <c r="D2535" s="26" t="n"/>
      <c r="E2535" s="26" t="n"/>
      <c r="F2535" s="26" t="n"/>
      <c r="G2535" s="26" t="n">
        <v>410</v>
      </c>
      <c r="H2535" s="26" t="n">
        <v>9885</v>
      </c>
      <c r="I2535" s="26" t="n">
        <v>-343</v>
      </c>
      <c r="J2535" s="19" t="n">
        <v>-389.0391749999999</v>
      </c>
      <c r="K2535" s="37" t="n">
        <v>0.065</v>
      </c>
    </row>
    <row r="2536">
      <c r="A2536" s="34" t="inlineStr">
        <is>
          <t>AGA SPK-tilskudd</t>
        </is>
      </c>
      <c r="B2536" s="34" t="inlineStr">
        <is>
          <t>Region Øst</t>
        </is>
      </c>
      <c r="C2536" s="34" t="inlineStr">
        <is>
          <t>Bufetats behandlingssenter Akershus/Østfold, Avdeling Ressursteam</t>
        </is>
      </c>
      <c r="D2536" s="18" t="n"/>
      <c r="E2536" s="18" t="n"/>
      <c r="F2536" s="18" t="n"/>
      <c r="G2536" s="18" t="n">
        <v>4358</v>
      </c>
      <c r="H2536" s="18" t="n">
        <v>4123</v>
      </c>
      <c r="I2536" s="18" t="n"/>
      <c r="J2536" s="19" t="n">
        <v>0</v>
      </c>
      <c r="K2536" s="35" t="n">
        <v>0.065</v>
      </c>
    </row>
    <row r="2537">
      <c r="A2537" s="36" t="inlineStr">
        <is>
          <t>AGA SPK-tilskudd</t>
        </is>
      </c>
      <c r="B2537" s="36" t="inlineStr">
        <is>
          <t>Region Øst</t>
        </is>
      </c>
      <c r="C2537" s="36" t="inlineStr">
        <is>
          <t>Bufetats behandlingssenter Akershus/Østfold, Avdeling Ressursteam</t>
        </is>
      </c>
      <c r="D2537" s="26" t="n"/>
      <c r="E2537" s="26" t="n"/>
      <c r="F2537" s="26" t="n"/>
      <c r="G2537" s="26" t="n"/>
      <c r="H2537" s="26" t="n">
        <v>6187</v>
      </c>
      <c r="I2537" s="26" t="n">
        <v>419</v>
      </c>
      <c r="J2537" s="19" t="n">
        <v>475.2402749999999</v>
      </c>
      <c r="K2537" s="37" t="n">
        <v>0.065</v>
      </c>
    </row>
    <row r="2538">
      <c r="A2538" s="34" t="inlineStr">
        <is>
          <t>AGA SPK-tilskudd</t>
        </is>
      </c>
      <c r="B2538" s="34" t="inlineStr">
        <is>
          <t>Region Øst</t>
        </is>
      </c>
      <c r="C2538" s="34" t="inlineStr">
        <is>
          <t>Bufetats behandlingssenter Akershus/Østfold, Avdeling Ressursteam</t>
        </is>
      </c>
      <c r="D2538" s="18" t="n"/>
      <c r="E2538" s="18" t="n"/>
      <c r="F2538" s="18" t="n"/>
      <c r="G2538" s="18" t="n">
        <v>569</v>
      </c>
      <c r="H2538" s="18" t="n">
        <v>3783</v>
      </c>
      <c r="I2538" s="18" t="n">
        <v>9</v>
      </c>
      <c r="J2538" s="19" t="n">
        <v>10.208025</v>
      </c>
      <c r="K2538" s="35" t="n">
        <v>0.065</v>
      </c>
    </row>
    <row r="2539">
      <c r="A2539" s="36" t="inlineStr">
        <is>
          <t>AGA SPK-tilskudd</t>
        </is>
      </c>
      <c r="B2539" s="36" t="inlineStr">
        <is>
          <t>Region Øst</t>
        </is>
      </c>
      <c r="C2539" s="36" t="inlineStr">
        <is>
          <t>Bufetats behandlingssenter Akershus/Østfold, Avdeling Ressursteam</t>
        </is>
      </c>
      <c r="D2539" s="26" t="n"/>
      <c r="E2539" s="26" t="n"/>
      <c r="F2539" s="26" t="n"/>
      <c r="G2539" s="26" t="n">
        <v>2487</v>
      </c>
      <c r="H2539" s="26" t="n">
        <v>5936</v>
      </c>
      <c r="I2539" s="26" t="n">
        <v>-137</v>
      </c>
      <c r="J2539" s="19" t="n">
        <v>-155.388825</v>
      </c>
      <c r="K2539" s="37" t="n">
        <v>0.065</v>
      </c>
    </row>
    <row r="2540">
      <c r="A2540" s="34" t="inlineStr">
        <is>
          <t>AGA SPK-tilskudd</t>
        </is>
      </c>
      <c r="B2540" s="34" t="inlineStr">
        <is>
          <t>Region Øst</t>
        </is>
      </c>
      <c r="C2540" s="34" t="inlineStr">
        <is>
          <t>Bufetats behandlingssenter Akershus/Østfold, Avdeling Ressursteam</t>
        </is>
      </c>
      <c r="D2540" s="18" t="n"/>
      <c r="E2540" s="18" t="n"/>
      <c r="F2540" s="18" t="n"/>
      <c r="G2540" s="18" t="n"/>
      <c r="H2540" s="18" t="n">
        <v>1595</v>
      </c>
      <c r="I2540" s="18" t="n"/>
      <c r="J2540" s="19" t="n">
        <v>0</v>
      </c>
      <c r="K2540" s="35" t="n">
        <v>0.065</v>
      </c>
    </row>
    <row r="2541">
      <c r="A2541" s="36" t="inlineStr">
        <is>
          <t>AGA SPK-tilskudd</t>
        </is>
      </c>
      <c r="B2541" s="36" t="inlineStr">
        <is>
          <t>Region Øst</t>
        </is>
      </c>
      <c r="C2541" s="36" t="inlineStr">
        <is>
          <t>Bufetats behandlingssenter Akershus/Østfold, Avdeling Ressursteam</t>
        </is>
      </c>
      <c r="D2541" s="26" t="n"/>
      <c r="E2541" s="26" t="n"/>
      <c r="F2541" s="26" t="n"/>
      <c r="G2541" s="26" t="n">
        <v>-8850</v>
      </c>
      <c r="H2541" s="26" t="n">
        <v>-5380</v>
      </c>
      <c r="I2541" s="26" t="n"/>
      <c r="J2541" s="19" t="n">
        <v>0</v>
      </c>
      <c r="K2541" s="37" t="n">
        <v>0.065</v>
      </c>
    </row>
    <row r="2542">
      <c r="A2542" s="34" t="inlineStr">
        <is>
          <t>AGA SPK-tilskudd</t>
        </is>
      </c>
      <c r="B2542" s="34" t="inlineStr">
        <is>
          <t>Region Øst</t>
        </is>
      </c>
      <c r="C2542" s="34" t="inlineStr">
        <is>
          <t>Bufetats behandlingssenter Akershus/Østfold, Avdeling Ressursteam</t>
        </is>
      </c>
      <c r="D2542" s="18" t="n"/>
      <c r="E2542" s="18" t="n"/>
      <c r="F2542" s="18" t="n"/>
      <c r="G2542" s="18" t="n"/>
      <c r="H2542" s="18" t="n">
        <v>-431244</v>
      </c>
      <c r="I2542" s="18" t="n"/>
      <c r="J2542" s="19" t="n">
        <v>0</v>
      </c>
      <c r="K2542" s="35" t="n">
        <v>0.065</v>
      </c>
    </row>
    <row r="2543">
      <c r="A2543" s="36" t="inlineStr">
        <is>
          <t>AGA SPK-tilskudd</t>
        </is>
      </c>
      <c r="B2543" s="36" t="inlineStr">
        <is>
          <t>Region Øst</t>
        </is>
      </c>
      <c r="C2543" s="36" t="inlineStr">
        <is>
          <t>Bufetats behandlingssenter Akershus/Østfold, Avdeling Ressursteam</t>
        </is>
      </c>
      <c r="D2543" s="26" t="n"/>
      <c r="E2543" s="26" t="n"/>
      <c r="F2543" s="26" t="n"/>
      <c r="G2543" s="26" t="n">
        <v>-378645</v>
      </c>
      <c r="H2543" s="26" t="n">
        <v>-561680</v>
      </c>
      <c r="I2543" s="26" t="n">
        <v>-16050</v>
      </c>
      <c r="J2543" s="19" t="n">
        <v>-18204.31125</v>
      </c>
      <c r="K2543" s="37" t="n">
        <v>0.065</v>
      </c>
    </row>
    <row r="2544">
      <c r="A2544" s="34" t="inlineStr">
        <is>
          <t>AGA SPK-tilskudd</t>
        </is>
      </c>
      <c r="B2544" s="34" t="inlineStr">
        <is>
          <t>Region Øst</t>
        </is>
      </c>
      <c r="C2544" s="34" t="inlineStr">
        <is>
          <t>Bufetats behandlingssenter Akershus/Østfold, Avdeling Ås</t>
        </is>
      </c>
      <c r="D2544" s="18" t="n"/>
      <c r="E2544" s="18" t="n"/>
      <c r="F2544" s="18" t="n"/>
      <c r="G2544" s="18" t="n">
        <v>78172</v>
      </c>
      <c r="H2544" s="18" t="n">
        <v>173044</v>
      </c>
      <c r="I2544" s="18" t="n">
        <v>3756</v>
      </c>
      <c r="J2544" s="19" t="n">
        <v>4260.1491</v>
      </c>
      <c r="K2544" s="35" t="n">
        <v>0.065</v>
      </c>
    </row>
    <row r="2545">
      <c r="A2545" s="36" t="inlineStr">
        <is>
          <t>AGA SPK-tilskudd</t>
        </is>
      </c>
      <c r="B2545" s="36" t="inlineStr">
        <is>
          <t>Region Øst</t>
        </is>
      </c>
      <c r="C2545" s="36" t="inlineStr">
        <is>
          <t>Bufetats behandlingssenter Akershus/Østfold, Avdeling Ås</t>
        </is>
      </c>
      <c r="D2545" s="26" t="n"/>
      <c r="E2545" s="26" t="n"/>
      <c r="F2545" s="26" t="n"/>
      <c r="G2545" s="26" t="n">
        <v>83458</v>
      </c>
      <c r="H2545" s="26" t="n">
        <v>331160</v>
      </c>
      <c r="I2545" s="26" t="n">
        <v>54031</v>
      </c>
      <c r="J2545" s="19" t="n">
        <v>61283.31097499999</v>
      </c>
      <c r="K2545" s="37" t="n">
        <v>0.065</v>
      </c>
    </row>
    <row r="2546">
      <c r="A2546" s="34" t="inlineStr">
        <is>
          <t>AGA SPK-tilskudd</t>
        </is>
      </c>
      <c r="B2546" s="34" t="inlineStr">
        <is>
          <t>Region Øst</t>
        </is>
      </c>
      <c r="C2546" s="34" t="inlineStr">
        <is>
          <t>Bufetats behandlingssenter Akershus/Østfold, Avdeling Ås</t>
        </is>
      </c>
      <c r="D2546" s="18" t="n"/>
      <c r="E2546" s="18" t="n"/>
      <c r="F2546" s="18" t="n"/>
      <c r="G2546" s="18" t="n">
        <v>42632</v>
      </c>
      <c r="H2546" s="18" t="n">
        <v>34813</v>
      </c>
      <c r="I2546" s="18" t="n">
        <v>3683</v>
      </c>
      <c r="J2546" s="19" t="n">
        <v>4177.350675</v>
      </c>
      <c r="K2546" s="35" t="n">
        <v>0.065</v>
      </c>
    </row>
    <row r="2547">
      <c r="A2547" s="36" t="inlineStr">
        <is>
          <t>AGA SPK-tilskudd</t>
        </is>
      </c>
      <c r="B2547" s="36" t="inlineStr">
        <is>
          <t>Region Øst</t>
        </is>
      </c>
      <c r="C2547" s="36" t="inlineStr">
        <is>
          <t>Bufetats behandlingssenter Akershus/Østfold, Avdeling Ås</t>
        </is>
      </c>
      <c r="D2547" s="26" t="n"/>
      <c r="E2547" s="26" t="n"/>
      <c r="F2547" s="26" t="n"/>
      <c r="G2547" s="26" t="n">
        <v>29205</v>
      </c>
      <c r="H2547" s="26" t="n">
        <v>67016</v>
      </c>
      <c r="I2547" s="26" t="n"/>
      <c r="J2547" s="19" t="n">
        <v>0</v>
      </c>
      <c r="K2547" s="37" t="n">
        <v>0.065</v>
      </c>
    </row>
    <row r="2548">
      <c r="A2548" s="34" t="inlineStr">
        <is>
          <t>AGA SPK-tilskudd</t>
        </is>
      </c>
      <c r="B2548" s="34" t="inlineStr">
        <is>
          <t>Region Øst</t>
        </is>
      </c>
      <c r="C2548" s="34" t="inlineStr">
        <is>
          <t>Bufetats behandlingssenter Akershus/Østfold, Avdeling Ås</t>
        </is>
      </c>
      <c r="D2548" s="18" t="n"/>
      <c r="E2548" s="18" t="n"/>
      <c r="F2548" s="18" t="n"/>
      <c r="G2548" s="18" t="n">
        <v>35089</v>
      </c>
      <c r="H2548" s="18" t="n">
        <v>-127</v>
      </c>
      <c r="I2548" s="18" t="n"/>
      <c r="J2548" s="19" t="n">
        <v>0</v>
      </c>
      <c r="K2548" s="35" t="n">
        <v>0.065</v>
      </c>
    </row>
    <row r="2549">
      <c r="A2549" s="36" t="inlineStr">
        <is>
          <t>AGA SPK-tilskudd</t>
        </is>
      </c>
      <c r="B2549" s="36" t="inlineStr">
        <is>
          <t>Region Øst</t>
        </is>
      </c>
      <c r="C2549" s="36" t="inlineStr">
        <is>
          <t>Bufetats behandlingssenter Akershus/Østfold, Avdeling Ås</t>
        </is>
      </c>
      <c r="D2549" s="26" t="n"/>
      <c r="E2549" s="26" t="n"/>
      <c r="F2549" s="26" t="n"/>
      <c r="G2549" s="26" t="n">
        <v>1138</v>
      </c>
      <c r="H2549" s="26" t="n">
        <v>2069</v>
      </c>
      <c r="I2549" s="26" t="n"/>
      <c r="J2549" s="19" t="n">
        <v>0</v>
      </c>
      <c r="K2549" s="37" t="n">
        <v>0.065</v>
      </c>
    </row>
    <row r="2550">
      <c r="A2550" s="34" t="inlineStr">
        <is>
          <t>AGA SPK-tilskudd</t>
        </is>
      </c>
      <c r="B2550" s="34" t="inlineStr">
        <is>
          <t>Region Øst</t>
        </is>
      </c>
      <c r="C2550" s="34" t="inlineStr">
        <is>
          <t>Bufetats behandlingssenter Akershus/Østfold, Avdeling Ås</t>
        </is>
      </c>
      <c r="D2550" s="18" t="n"/>
      <c r="E2550" s="18" t="n"/>
      <c r="F2550" s="18" t="n"/>
      <c r="G2550" s="18" t="n">
        <v>33384</v>
      </c>
      <c r="H2550" s="18" t="n">
        <v>1078</v>
      </c>
      <c r="I2550" s="18" t="n">
        <v>419</v>
      </c>
      <c r="J2550" s="19" t="n">
        <v>475.2402749999999</v>
      </c>
      <c r="K2550" s="35" t="n">
        <v>0.065</v>
      </c>
    </row>
    <row r="2551">
      <c r="A2551" s="36" t="inlineStr">
        <is>
          <t>AGA SPK-tilskudd</t>
        </is>
      </c>
      <c r="B2551" s="36" t="inlineStr">
        <is>
          <t>Region Øst</t>
        </is>
      </c>
      <c r="C2551" s="36" t="inlineStr">
        <is>
          <t>Bufetats behandlingssenter Akershus/Østfold, Avdeling Ås</t>
        </is>
      </c>
      <c r="D2551" s="26" t="n"/>
      <c r="E2551" s="26" t="n"/>
      <c r="F2551" s="26" t="n"/>
      <c r="G2551" s="26" t="n">
        <v>1285</v>
      </c>
      <c r="H2551" s="26" t="n">
        <v>21706</v>
      </c>
      <c r="I2551" s="26" t="n">
        <v>688</v>
      </c>
      <c r="J2551" s="19" t="n">
        <v>780.3467999999999</v>
      </c>
      <c r="K2551" s="37" t="n">
        <v>0.065</v>
      </c>
    </row>
    <row r="2552">
      <c r="A2552" s="34" t="inlineStr">
        <is>
          <t>AGA SPK-tilskudd</t>
        </is>
      </c>
      <c r="B2552" s="34" t="inlineStr">
        <is>
          <t>Region Øst</t>
        </is>
      </c>
      <c r="C2552" s="34" t="inlineStr">
        <is>
          <t>Bufetats behandlingssenter Akershus/Østfold, Avdeling Ås</t>
        </is>
      </c>
      <c r="D2552" s="18" t="n"/>
      <c r="E2552" s="18" t="n"/>
      <c r="F2552" s="18" t="n"/>
      <c r="G2552" s="18" t="n">
        <v>262</v>
      </c>
      <c r="H2552" s="18" t="n">
        <v>827</v>
      </c>
      <c r="I2552" s="18" t="n"/>
      <c r="J2552" s="19" t="n">
        <v>0</v>
      </c>
      <c r="K2552" s="35" t="n">
        <v>0.065</v>
      </c>
    </row>
    <row r="2553">
      <c r="A2553" s="36" t="inlineStr">
        <is>
          <t>AGA SPK-tilskudd</t>
        </is>
      </c>
      <c r="B2553" s="36" t="inlineStr">
        <is>
          <t>Region Øst</t>
        </is>
      </c>
      <c r="C2553" s="36" t="inlineStr">
        <is>
          <t>Bufetats behandlingssenter Akershus/Østfold, Avdeling Ås</t>
        </is>
      </c>
      <c r="D2553" s="26" t="n"/>
      <c r="E2553" s="26" t="n"/>
      <c r="F2553" s="26" t="n"/>
      <c r="G2553" s="26" t="n">
        <v>-5883</v>
      </c>
      <c r="H2553" s="26" t="n">
        <v>-9452</v>
      </c>
      <c r="I2553" s="26" t="n"/>
      <c r="J2553" s="19" t="n">
        <v>0</v>
      </c>
      <c r="K2553" s="37" t="n">
        <v>0.065</v>
      </c>
    </row>
    <row r="2554">
      <c r="A2554" s="34" t="inlineStr">
        <is>
          <t>AGA SPK-tilskudd</t>
        </is>
      </c>
      <c r="B2554" s="34" t="inlineStr">
        <is>
          <t>Region Øst</t>
        </is>
      </c>
      <c r="C2554" s="34" t="inlineStr">
        <is>
          <t>Bufetats behandlingssenter Akershus/Østfold, Avdeling Ås</t>
        </is>
      </c>
      <c r="D2554" s="18" t="n"/>
      <c r="E2554" s="18" t="n"/>
      <c r="F2554" s="18" t="n"/>
      <c r="G2554" s="18" t="n">
        <v>-501158</v>
      </c>
      <c r="H2554" s="18" t="n">
        <v>-431341</v>
      </c>
      <c r="I2554" s="18" t="n">
        <v>-8445</v>
      </c>
      <c r="J2554" s="19" t="n">
        <v>-9578.530124999999</v>
      </c>
      <c r="K2554" s="35" t="n">
        <v>0.065</v>
      </c>
    </row>
    <row r="2555">
      <c r="A2555" s="36" t="inlineStr">
        <is>
          <t>AGA SPK-tilskudd</t>
        </is>
      </c>
      <c r="B2555" s="36" t="inlineStr">
        <is>
          <t>Region Øst</t>
        </is>
      </c>
      <c r="C2555" s="36" t="inlineStr">
        <is>
          <t>Bufetats behandlingssenter Akershus/Østfold, Avdeling Ås</t>
        </is>
      </c>
      <c r="D2555" s="26" t="n"/>
      <c r="E2555" s="26" t="n"/>
      <c r="F2555" s="26" t="n"/>
      <c r="G2555" s="26" t="n">
        <v>-1096613</v>
      </c>
      <c r="H2555" s="26" t="n">
        <v>-2016486</v>
      </c>
      <c r="I2555" s="26" t="n">
        <v>-173909</v>
      </c>
      <c r="J2555" s="19" t="n">
        <v>-197251.935525</v>
      </c>
      <c r="K2555" s="37" t="n">
        <v>0.065</v>
      </c>
    </row>
    <row r="2556">
      <c r="A2556" s="34" t="inlineStr">
        <is>
          <t>AGA SPK-tilskudd</t>
        </is>
      </c>
      <c r="B2556" s="34" t="inlineStr">
        <is>
          <t>Region Øst</t>
        </is>
      </c>
      <c r="C2556" s="34" t="inlineStr">
        <is>
          <t>Bufetats behandlingssenter Akershus/Østfold, Avdeling Østheim</t>
        </is>
      </c>
      <c r="D2556" s="18" t="n"/>
      <c r="E2556" s="18" t="n"/>
      <c r="F2556" s="18" t="n"/>
      <c r="G2556" s="18" t="n">
        <v>62994</v>
      </c>
      <c r="H2556" s="18" t="n">
        <v>111522</v>
      </c>
      <c r="I2556" s="18" t="n">
        <v>2424</v>
      </c>
      <c r="J2556" s="19" t="n">
        <v>2749.3614</v>
      </c>
      <c r="K2556" s="35" t="n">
        <v>0.065</v>
      </c>
    </row>
    <row r="2557">
      <c r="A2557" s="36" t="inlineStr">
        <is>
          <t>AGA SPK-tilskudd</t>
        </is>
      </c>
      <c r="B2557" s="36" t="inlineStr">
        <is>
          <t>Region Øst</t>
        </is>
      </c>
      <c r="C2557" s="36" t="inlineStr">
        <is>
          <t>Bufetats behandlingssenter Akershus/Østfold, Avdeling Østheim</t>
        </is>
      </c>
      <c r="D2557" s="26" t="n"/>
      <c r="E2557" s="26" t="n"/>
      <c r="F2557" s="26" t="n"/>
      <c r="G2557" s="26" t="n"/>
      <c r="H2557" s="26" t="n">
        <v>17598</v>
      </c>
      <c r="I2557" s="26" t="n">
        <v>27759</v>
      </c>
      <c r="J2557" s="19" t="n">
        <v>31484.95177499999</v>
      </c>
      <c r="K2557" s="37" t="n">
        <v>0.065</v>
      </c>
    </row>
    <row r="2558">
      <c r="A2558" s="34" t="inlineStr">
        <is>
          <t>AGA SPK-tilskudd</t>
        </is>
      </c>
      <c r="B2558" s="34" t="inlineStr">
        <is>
          <t>Region Øst</t>
        </is>
      </c>
      <c r="C2558" s="34" t="inlineStr">
        <is>
          <t>Bufetats behandlingssenter Akershus/Østfold, Avdeling Østheim</t>
        </is>
      </c>
      <c r="D2558" s="18" t="n"/>
      <c r="E2558" s="18" t="n"/>
      <c r="F2558" s="18" t="n"/>
      <c r="G2558" s="18" t="n">
        <v>3599</v>
      </c>
      <c r="H2558" s="18" t="n">
        <v>17766</v>
      </c>
      <c r="I2558" s="18" t="n"/>
      <c r="J2558" s="19" t="n">
        <v>0</v>
      </c>
      <c r="K2558" s="35" t="n">
        <v>0.065</v>
      </c>
    </row>
    <row r="2559">
      <c r="A2559" s="36" t="inlineStr">
        <is>
          <t>AGA SPK-tilskudd</t>
        </is>
      </c>
      <c r="B2559" s="36" t="inlineStr">
        <is>
          <t>Region Øst</t>
        </is>
      </c>
      <c r="C2559" s="36" t="inlineStr">
        <is>
          <t>Bufetats behandlingssenter Akershus/Østfold, Avdeling Østheim</t>
        </is>
      </c>
      <c r="D2559" s="26" t="n"/>
      <c r="E2559" s="26" t="n"/>
      <c r="F2559" s="26" t="n"/>
      <c r="G2559" s="26" t="n">
        <v>32391</v>
      </c>
      <c r="H2559" s="26" t="n">
        <v>42319</v>
      </c>
      <c r="I2559" s="26" t="n">
        <v>139</v>
      </c>
      <c r="J2559" s="19" t="n">
        <v>157.657275</v>
      </c>
      <c r="K2559" s="37" t="n">
        <v>0.065</v>
      </c>
    </row>
    <row r="2560">
      <c r="A2560" s="34" t="inlineStr">
        <is>
          <t>AGA SPK-tilskudd</t>
        </is>
      </c>
      <c r="B2560" s="34" t="inlineStr">
        <is>
          <t>Region Øst</t>
        </is>
      </c>
      <c r="C2560" s="34" t="inlineStr">
        <is>
          <t>Bufetats behandlingssenter Akershus/Østfold, Avdeling Østheim</t>
        </is>
      </c>
      <c r="D2560" s="18" t="n"/>
      <c r="E2560" s="18" t="n"/>
      <c r="F2560" s="18" t="n"/>
      <c r="G2560" s="18" t="n">
        <v>39656</v>
      </c>
      <c r="H2560" s="18" t="n">
        <v>16158</v>
      </c>
      <c r="I2560" s="18" t="n"/>
      <c r="J2560" s="19" t="n">
        <v>0</v>
      </c>
      <c r="K2560" s="35" t="n">
        <v>0.065</v>
      </c>
    </row>
    <row r="2561">
      <c r="A2561" s="36" t="inlineStr">
        <is>
          <t>AGA SPK-tilskudd</t>
        </is>
      </c>
      <c r="B2561" s="36" t="inlineStr">
        <is>
          <t>Region Øst</t>
        </is>
      </c>
      <c r="C2561" s="36" t="inlineStr">
        <is>
          <t>Bufetats behandlingssenter Akershus/Østfold, Avdeling Østheim</t>
        </is>
      </c>
      <c r="D2561" s="26" t="n"/>
      <c r="E2561" s="26" t="n"/>
      <c r="F2561" s="26" t="n"/>
      <c r="G2561" s="26" t="n">
        <v>2576</v>
      </c>
      <c r="H2561" s="26" t="n">
        <v>22771</v>
      </c>
      <c r="I2561" s="26" t="n">
        <v>1943</v>
      </c>
      <c r="J2561" s="19" t="n">
        <v>2203.799175</v>
      </c>
      <c r="K2561" s="37" t="n">
        <v>0.065</v>
      </c>
    </row>
    <row r="2562">
      <c r="A2562" s="34" t="inlineStr">
        <is>
          <t>AGA SPK-tilskudd</t>
        </is>
      </c>
      <c r="B2562" s="34" t="inlineStr">
        <is>
          <t>Region Øst</t>
        </is>
      </c>
      <c r="C2562" s="34" t="inlineStr">
        <is>
          <t>Bufetats behandlingssenter Akershus/Østfold, Avdeling Østheim</t>
        </is>
      </c>
      <c r="D2562" s="18" t="n"/>
      <c r="E2562" s="18" t="n"/>
      <c r="F2562" s="18" t="n"/>
      <c r="G2562" s="18" t="n">
        <v>873</v>
      </c>
      <c r="H2562" s="18" t="n">
        <v>2218</v>
      </c>
      <c r="I2562" s="18" t="n"/>
      <c r="J2562" s="19" t="n">
        <v>0</v>
      </c>
      <c r="K2562" s="35" t="n">
        <v>0.065</v>
      </c>
    </row>
    <row r="2563">
      <c r="A2563" s="36" t="inlineStr">
        <is>
          <t>AGA SPK-tilskudd</t>
        </is>
      </c>
      <c r="B2563" s="36" t="inlineStr">
        <is>
          <t>Region Øst</t>
        </is>
      </c>
      <c r="C2563" s="36" t="inlineStr">
        <is>
          <t>Bufetats behandlingssenter Akershus/Østfold, Avdeling Østheim</t>
        </is>
      </c>
      <c r="D2563" s="26" t="n"/>
      <c r="E2563" s="26" t="n"/>
      <c r="F2563" s="26" t="n"/>
      <c r="G2563" s="26" t="n">
        <v>15601</v>
      </c>
      <c r="H2563" s="26" t="n">
        <v>11173</v>
      </c>
      <c r="I2563" s="26" t="n">
        <v>1102</v>
      </c>
      <c r="J2563" s="19" t="n">
        <v>1249.91595</v>
      </c>
      <c r="K2563" s="37" t="n">
        <v>0.065</v>
      </c>
    </row>
    <row r="2564">
      <c r="A2564" s="34" t="inlineStr">
        <is>
          <t>AGA SPK-tilskudd</t>
        </is>
      </c>
      <c r="B2564" s="34" t="inlineStr">
        <is>
          <t>Region Øst</t>
        </is>
      </c>
      <c r="C2564" s="34" t="inlineStr">
        <is>
          <t>Bufetats behandlingssenter Akershus/Østfold, Avdeling Østheim</t>
        </is>
      </c>
      <c r="D2564" s="18" t="n"/>
      <c r="E2564" s="18" t="n"/>
      <c r="F2564" s="18" t="n"/>
      <c r="G2564" s="18" t="n">
        <v>325</v>
      </c>
      <c r="H2564" s="18" t="n">
        <v>14595</v>
      </c>
      <c r="I2564" s="18" t="n"/>
      <c r="J2564" s="19" t="n">
        <v>0</v>
      </c>
      <c r="K2564" s="35" t="n">
        <v>0.065</v>
      </c>
    </row>
    <row r="2565">
      <c r="A2565" s="36" t="inlineStr">
        <is>
          <t>AGA SPK-tilskudd</t>
        </is>
      </c>
      <c r="B2565" s="36" t="inlineStr">
        <is>
          <t>Region Øst</t>
        </is>
      </c>
      <c r="C2565" s="36" t="inlineStr">
        <is>
          <t>Bufetats behandlingssenter Akershus/Østfold, Avdeling Østheim</t>
        </is>
      </c>
      <c r="D2565" s="26" t="n"/>
      <c r="E2565" s="26" t="n"/>
      <c r="F2565" s="26" t="n"/>
      <c r="G2565" s="26" t="n">
        <v>959</v>
      </c>
      <c r="H2565" s="26" t="n">
        <v>9188</v>
      </c>
      <c r="I2565" s="26" t="n">
        <v>703</v>
      </c>
      <c r="J2565" s="19" t="n">
        <v>797.3601749999999</v>
      </c>
      <c r="K2565" s="37" t="n">
        <v>0.065</v>
      </c>
    </row>
    <row r="2566">
      <c r="A2566" s="34" t="inlineStr">
        <is>
          <t>AGA SPK-tilskudd</t>
        </is>
      </c>
      <c r="B2566" s="34" t="inlineStr">
        <is>
          <t>Region Øst</t>
        </is>
      </c>
      <c r="C2566" s="34" t="inlineStr">
        <is>
          <t>Bufetats behandlingssenter Akershus/Østfold, Avdeling Østheim</t>
        </is>
      </c>
      <c r="D2566" s="18" t="n"/>
      <c r="E2566" s="18" t="n"/>
      <c r="F2566" s="18" t="n"/>
      <c r="G2566" s="18" t="n">
        <v>-14452</v>
      </c>
      <c r="H2566" s="18" t="n">
        <v>-30896</v>
      </c>
      <c r="I2566" s="18" t="n"/>
      <c r="J2566" s="19" t="n">
        <v>0</v>
      </c>
      <c r="K2566" s="35" t="n">
        <v>0.065</v>
      </c>
    </row>
    <row r="2567">
      <c r="A2567" s="36" t="inlineStr">
        <is>
          <t>AGA SPK-tilskudd</t>
        </is>
      </c>
      <c r="B2567" s="36" t="inlineStr">
        <is>
          <t>Region Øst</t>
        </is>
      </c>
      <c r="C2567" s="36" t="inlineStr">
        <is>
          <t>Bufetats behandlingssenter Akershus/Østfold, Avdeling Østheim</t>
        </is>
      </c>
      <c r="D2567" s="26" t="n"/>
      <c r="E2567" s="26" t="n"/>
      <c r="F2567" s="26" t="n"/>
      <c r="G2567" s="26" t="n">
        <v>-160433</v>
      </c>
      <c r="H2567" s="26" t="n">
        <v>-162809</v>
      </c>
      <c r="I2567" s="26" t="n">
        <v>-3534</v>
      </c>
      <c r="J2567" s="19" t="n">
        <v>-4008.35115</v>
      </c>
      <c r="K2567" s="37" t="n">
        <v>0.065</v>
      </c>
    </row>
    <row r="2568">
      <c r="A2568" s="34" t="inlineStr">
        <is>
          <t>AGA SPK-tilskudd</t>
        </is>
      </c>
      <c r="B2568" s="34" t="inlineStr">
        <is>
          <t>Region Øst</t>
        </is>
      </c>
      <c r="C2568" s="34" t="inlineStr">
        <is>
          <t>Bufetats behandlingssenter Akershus/Østfold, Avdeling Østheim</t>
        </is>
      </c>
      <c r="D2568" s="18" t="n"/>
      <c r="E2568" s="18" t="n"/>
      <c r="F2568" s="18" t="n"/>
      <c r="G2568" s="18" t="n">
        <v>-382773</v>
      </c>
      <c r="H2568" s="18" t="n">
        <v>-767267</v>
      </c>
      <c r="I2568" s="18" t="n">
        <v>-30235</v>
      </c>
      <c r="J2568" s="19" t="n">
        <v>-34293.29287499999</v>
      </c>
      <c r="K2568" s="35" t="n">
        <v>0.065</v>
      </c>
    </row>
    <row r="2569">
      <c r="A2569" s="36" t="inlineStr">
        <is>
          <t>AGA SPK-tilskudd</t>
        </is>
      </c>
      <c r="B2569" s="36" t="inlineStr">
        <is>
          <t>Region Øst</t>
        </is>
      </c>
      <c r="C2569" s="36" t="inlineStr">
        <is>
          <t>Bufetats behandlingssenter Akershus/Østfold, Avdeling Østlund</t>
        </is>
      </c>
      <c r="D2569" s="26" t="n"/>
      <c r="E2569" s="26" t="n"/>
      <c r="F2569" s="26" t="n"/>
      <c r="G2569" s="26" t="n">
        <v>67687</v>
      </c>
      <c r="H2569" s="26" t="n">
        <v>134281</v>
      </c>
      <c r="I2569" s="26" t="n">
        <v>4194</v>
      </c>
      <c r="J2569" s="19" t="n">
        <v>4756.939649999999</v>
      </c>
      <c r="K2569" s="37" t="n">
        <v>0.065</v>
      </c>
    </row>
    <row r="2570">
      <c r="A2570" s="34" t="inlineStr">
        <is>
          <t>AGA SPK-tilskudd</t>
        </is>
      </c>
      <c r="B2570" s="34" t="inlineStr">
        <is>
          <t>Region Øst</t>
        </is>
      </c>
      <c r="C2570" s="34" t="inlineStr">
        <is>
          <t>Bufetats behandlingssenter Akershus/Østfold, Avdeling Østlund</t>
        </is>
      </c>
      <c r="D2570" s="18" t="n"/>
      <c r="E2570" s="18" t="n"/>
      <c r="F2570" s="18" t="n"/>
      <c r="G2570" s="18" t="n">
        <v>21089</v>
      </c>
      <c r="H2570" s="18" t="n">
        <v>97777</v>
      </c>
      <c r="I2570" s="18" t="n">
        <v>20568</v>
      </c>
      <c r="J2570" s="19" t="n">
        <v>23328.7398</v>
      </c>
      <c r="K2570" s="35" t="n">
        <v>0.065</v>
      </c>
    </row>
    <row r="2571">
      <c r="A2571" s="36" t="inlineStr">
        <is>
          <t>AGA SPK-tilskudd</t>
        </is>
      </c>
      <c r="B2571" s="36" t="inlineStr">
        <is>
          <t>Region Øst</t>
        </is>
      </c>
      <c r="C2571" s="36" t="inlineStr">
        <is>
          <t>Bufetats behandlingssenter Akershus/Østfold, Avdeling Østlund</t>
        </is>
      </c>
      <c r="D2571" s="26" t="n"/>
      <c r="E2571" s="26" t="n"/>
      <c r="F2571" s="26" t="n"/>
      <c r="G2571" s="26" t="n">
        <v>8016</v>
      </c>
      <c r="H2571" s="26" t="n">
        <v>14211</v>
      </c>
      <c r="I2571" s="26" t="n">
        <v>5451</v>
      </c>
      <c r="J2571" s="19" t="n">
        <v>6182.660474999999</v>
      </c>
      <c r="K2571" s="37" t="n">
        <v>0.065</v>
      </c>
    </row>
    <row r="2572">
      <c r="A2572" s="34" t="inlineStr">
        <is>
          <t>AGA SPK-tilskudd</t>
        </is>
      </c>
      <c r="B2572" s="34" t="inlineStr">
        <is>
          <t>Region Øst</t>
        </is>
      </c>
      <c r="C2572" s="34" t="inlineStr">
        <is>
          <t>Bufetats behandlingssenter Akershus/Østfold, Avdeling Østlund</t>
        </is>
      </c>
      <c r="D2572" s="18" t="n"/>
      <c r="E2572" s="18" t="n"/>
      <c r="F2572" s="18" t="n"/>
      <c r="G2572" s="18" t="n">
        <v>36108</v>
      </c>
      <c r="H2572" s="18" t="n">
        <v>71595</v>
      </c>
      <c r="I2572" s="18" t="n">
        <v>-139</v>
      </c>
      <c r="J2572" s="19" t="n">
        <v>-157.657275</v>
      </c>
      <c r="K2572" s="35" t="n">
        <v>0.065</v>
      </c>
    </row>
    <row r="2573">
      <c r="A2573" s="36" t="inlineStr">
        <is>
          <t>AGA SPK-tilskudd</t>
        </is>
      </c>
      <c r="B2573" s="36" t="inlineStr">
        <is>
          <t>Region Øst</t>
        </is>
      </c>
      <c r="C2573" s="36" t="inlineStr">
        <is>
          <t>Bufetats behandlingssenter Akershus/Østfold, Avdeling Østlund</t>
        </is>
      </c>
      <c r="D2573" s="26" t="n"/>
      <c r="E2573" s="26" t="n"/>
      <c r="F2573" s="26" t="n"/>
      <c r="G2573" s="26" t="n"/>
      <c r="H2573" s="26" t="n">
        <v>29500</v>
      </c>
      <c r="I2573" s="26" t="n"/>
      <c r="J2573" s="19" t="n">
        <v>0</v>
      </c>
      <c r="K2573" s="37" t="n">
        <v>0.065</v>
      </c>
    </row>
    <row r="2574">
      <c r="A2574" s="34" t="inlineStr">
        <is>
          <t>AGA SPK-tilskudd</t>
        </is>
      </c>
      <c r="B2574" s="34" t="inlineStr">
        <is>
          <t>Region Øst</t>
        </is>
      </c>
      <c r="C2574" s="34" t="inlineStr">
        <is>
          <t>Bufetats behandlingssenter Akershus/Østfold, Avdeling Østlund</t>
        </is>
      </c>
      <c r="D2574" s="18" t="n"/>
      <c r="E2574" s="18" t="n"/>
      <c r="F2574" s="18" t="n"/>
      <c r="G2574" s="18" t="n">
        <v>7509</v>
      </c>
      <c r="H2574" s="18" t="n">
        <v>7506</v>
      </c>
      <c r="I2574" s="18" t="n"/>
      <c r="J2574" s="19" t="n">
        <v>0</v>
      </c>
      <c r="K2574" s="35" t="n">
        <v>0.065</v>
      </c>
    </row>
    <row r="2575">
      <c r="A2575" s="36" t="inlineStr">
        <is>
          <t>AGA SPK-tilskudd</t>
        </is>
      </c>
      <c r="B2575" s="36" t="inlineStr">
        <is>
          <t>Region Øst</t>
        </is>
      </c>
      <c r="C2575" s="36" t="inlineStr">
        <is>
          <t>Bufetats behandlingssenter Akershus/Østfold, Avdeling Østlund</t>
        </is>
      </c>
      <c r="D2575" s="26" t="n"/>
      <c r="E2575" s="26" t="n"/>
      <c r="F2575" s="26" t="n"/>
      <c r="G2575" s="26" t="n"/>
      <c r="H2575" s="26" t="n">
        <v>867</v>
      </c>
      <c r="I2575" s="26" t="n"/>
      <c r="J2575" s="19" t="n">
        <v>0</v>
      </c>
      <c r="K2575" s="37" t="n">
        <v>0.065</v>
      </c>
    </row>
    <row r="2576">
      <c r="A2576" s="34" t="inlineStr">
        <is>
          <t>AGA SPK-tilskudd</t>
        </is>
      </c>
      <c r="B2576" s="34" t="inlineStr">
        <is>
          <t>Region Øst</t>
        </is>
      </c>
      <c r="C2576" s="34" t="inlineStr">
        <is>
          <t>Bufetats behandlingssenter Akershus/Østfold, Avdeling Østlund</t>
        </is>
      </c>
      <c r="D2576" s="18" t="n"/>
      <c r="E2576" s="18" t="n"/>
      <c r="F2576" s="18" t="n"/>
      <c r="G2576" s="18" t="n"/>
      <c r="H2576" s="18" t="n">
        <v>8413</v>
      </c>
      <c r="I2576" s="18" t="n">
        <v>5020</v>
      </c>
      <c r="J2576" s="19" t="n">
        <v>5693.809499999999</v>
      </c>
      <c r="K2576" s="35" t="n">
        <v>0.065</v>
      </c>
    </row>
    <row r="2577">
      <c r="A2577" s="36" t="inlineStr">
        <is>
          <t>AGA SPK-tilskudd</t>
        </is>
      </c>
      <c r="B2577" s="36" t="inlineStr">
        <is>
          <t>Region Øst</t>
        </is>
      </c>
      <c r="C2577" s="36" t="inlineStr">
        <is>
          <t>Bufetats behandlingssenter Akershus/Østfold, Avdeling Østlund</t>
        </is>
      </c>
      <c r="D2577" s="26" t="n"/>
      <c r="E2577" s="26" t="n"/>
      <c r="F2577" s="26" t="n"/>
      <c r="G2577" s="26" t="n">
        <v>3692</v>
      </c>
      <c r="H2577" s="26" t="n">
        <v>11160</v>
      </c>
      <c r="I2577" s="26" t="n">
        <v>558</v>
      </c>
      <c r="J2577" s="19" t="n">
        <v>632.8975499999999</v>
      </c>
      <c r="K2577" s="37" t="n">
        <v>0.065</v>
      </c>
    </row>
    <row r="2578">
      <c r="A2578" s="34" t="inlineStr">
        <is>
          <t>AGA SPK-tilskudd</t>
        </is>
      </c>
      <c r="B2578" s="34" t="inlineStr">
        <is>
          <t>Region Øst</t>
        </is>
      </c>
      <c r="C2578" s="34" t="inlineStr">
        <is>
          <t>Bufetats behandlingssenter Akershus/Østfold, Avdeling Østlund</t>
        </is>
      </c>
      <c r="D2578" s="18" t="n"/>
      <c r="E2578" s="18" t="n"/>
      <c r="F2578" s="18" t="n"/>
      <c r="G2578" s="18" t="n">
        <v>1695</v>
      </c>
      <c r="H2578" s="18" t="n">
        <v>3524</v>
      </c>
      <c r="I2578" s="18" t="n"/>
      <c r="J2578" s="19" t="n">
        <v>0</v>
      </c>
      <c r="K2578" s="35" t="n">
        <v>0.065</v>
      </c>
    </row>
    <row r="2579">
      <c r="A2579" s="36" t="inlineStr">
        <is>
          <t>AGA SPK-tilskudd</t>
        </is>
      </c>
      <c r="B2579" s="36" t="inlineStr">
        <is>
          <t>Region Øst</t>
        </is>
      </c>
      <c r="C2579" s="36" t="inlineStr">
        <is>
          <t>Bufetats behandlingssenter Akershus/Østfold, Avdeling Østlund</t>
        </is>
      </c>
      <c r="D2579" s="26" t="n"/>
      <c r="E2579" s="26" t="n"/>
      <c r="F2579" s="26" t="n"/>
      <c r="G2579" s="26" t="n"/>
      <c r="H2579" s="26" t="n">
        <v>6750</v>
      </c>
      <c r="I2579" s="26" t="n"/>
      <c r="J2579" s="19" t="n">
        <v>0</v>
      </c>
      <c r="K2579" s="37" t="n">
        <v>0.065</v>
      </c>
    </row>
    <row r="2580">
      <c r="A2580" s="34" t="inlineStr">
        <is>
          <t>AGA SPK-tilskudd</t>
        </is>
      </c>
      <c r="B2580" s="34" t="inlineStr">
        <is>
          <t>Region Øst</t>
        </is>
      </c>
      <c r="C2580" s="34" t="inlineStr">
        <is>
          <t>Bufetats behandlingssenter Akershus/Østfold, Avdeling Østlund</t>
        </is>
      </c>
      <c r="D2580" s="18" t="n"/>
      <c r="E2580" s="18" t="n"/>
      <c r="F2580" s="18" t="n"/>
      <c r="G2580" s="18" t="n">
        <v>-10825</v>
      </c>
      <c r="H2580" s="18" t="n">
        <v>-25484</v>
      </c>
      <c r="I2580" s="18" t="n"/>
      <c r="J2580" s="19" t="n">
        <v>0</v>
      </c>
      <c r="K2580" s="35" t="n">
        <v>0.065</v>
      </c>
    </row>
    <row r="2581">
      <c r="A2581" s="36" t="inlineStr">
        <is>
          <t>AGA SPK-tilskudd</t>
        </is>
      </c>
      <c r="B2581" s="36" t="inlineStr">
        <is>
          <t>Region Øst</t>
        </is>
      </c>
      <c r="C2581" s="36" t="inlineStr">
        <is>
          <t>Bufetats behandlingssenter Akershus/Østfold, Avdeling Østlund</t>
        </is>
      </c>
      <c r="D2581" s="26" t="n"/>
      <c r="E2581" s="26" t="n"/>
      <c r="F2581" s="26" t="n"/>
      <c r="G2581" s="26" t="n">
        <v>-84099</v>
      </c>
      <c r="H2581" s="26" t="n">
        <v>-858553</v>
      </c>
      <c r="I2581" s="26" t="n">
        <v>-123182</v>
      </c>
      <c r="J2581" s="19" t="n">
        <v>-139716.10395</v>
      </c>
      <c r="K2581" s="37" t="n">
        <v>0.065</v>
      </c>
    </row>
    <row r="2582">
      <c r="A2582" s="34" t="inlineStr">
        <is>
          <t>AGA SPK-tilskudd</t>
        </is>
      </c>
      <c r="B2582" s="34" t="inlineStr">
        <is>
          <t>Region Øst</t>
        </is>
      </c>
      <c r="C2582" s="34" t="inlineStr">
        <is>
          <t>Bufetats behandlingssenter Akershus_Østfold, adm</t>
        </is>
      </c>
      <c r="D2582" s="18" t="n"/>
      <c r="E2582" s="18" t="n"/>
      <c r="F2582" s="18" t="n"/>
      <c r="G2582" s="18" t="n"/>
      <c r="H2582" s="18" t="n"/>
      <c r="I2582" s="18" t="n">
        <v>33100</v>
      </c>
      <c r="J2582" s="19" t="n">
        <v>37542.8475</v>
      </c>
      <c r="K2582" s="35" t="n">
        <v>0.065</v>
      </c>
    </row>
    <row r="2583">
      <c r="A2583" s="36" t="inlineStr">
        <is>
          <t>AGA SPK-tilskudd</t>
        </is>
      </c>
      <c r="B2583" s="36" t="inlineStr">
        <is>
          <t>Region Øst</t>
        </is>
      </c>
      <c r="C2583" s="36" t="inlineStr">
        <is>
          <t>Bufetats behandlingssenter Akershus_Østfold, adm</t>
        </is>
      </c>
      <c r="D2583" s="26" t="n"/>
      <c r="E2583" s="26" t="n"/>
      <c r="F2583" s="26" t="n"/>
      <c r="G2583" s="26" t="n"/>
      <c r="H2583" s="26" t="n"/>
      <c r="I2583" s="26" t="n">
        <v>4787</v>
      </c>
      <c r="J2583" s="19" t="n">
        <v>5429.535074999999</v>
      </c>
      <c r="K2583" s="37" t="n">
        <v>0.065</v>
      </c>
    </row>
    <row r="2584">
      <c r="A2584" s="34" t="inlineStr">
        <is>
          <t>AGA SPK-tilskudd</t>
        </is>
      </c>
      <c r="B2584" s="34" t="inlineStr">
        <is>
          <t>Region Øst</t>
        </is>
      </c>
      <c r="C2584" s="34" t="inlineStr">
        <is>
          <t>Bufetats behandlingssenter Akershus_Østfold, adm</t>
        </is>
      </c>
      <c r="D2584" s="18" t="n"/>
      <c r="E2584" s="18" t="n"/>
      <c r="F2584" s="18" t="n"/>
      <c r="G2584" s="18" t="n"/>
      <c r="H2584" s="18" t="n"/>
      <c r="I2584" s="18" t="n">
        <v>5983</v>
      </c>
      <c r="J2584" s="19" t="n">
        <v>6786.068174999999</v>
      </c>
      <c r="K2584" s="35" t="n">
        <v>0.065</v>
      </c>
    </row>
    <row r="2585">
      <c r="A2585" s="36" t="inlineStr">
        <is>
          <t>AGA SPK-tilskudd</t>
        </is>
      </c>
      <c r="B2585" s="36" t="inlineStr">
        <is>
          <t>Region Øst</t>
        </is>
      </c>
      <c r="C2585" s="36" t="inlineStr">
        <is>
          <t>Bufetats behandlingssenter Akershus_Østfold, adm</t>
        </is>
      </c>
      <c r="D2585" s="26" t="n"/>
      <c r="E2585" s="26" t="n"/>
      <c r="F2585" s="26" t="n"/>
      <c r="G2585" s="26" t="n"/>
      <c r="H2585" s="26" t="n"/>
      <c r="I2585" s="26" t="n">
        <v>23794</v>
      </c>
      <c r="J2585" s="19" t="n">
        <v>26987.74964999999</v>
      </c>
      <c r="K2585" s="37" t="n">
        <v>0.065</v>
      </c>
    </row>
    <row r="2586">
      <c r="A2586" s="34" t="inlineStr">
        <is>
          <t>AGA SPK-tilskudd</t>
        </is>
      </c>
      <c r="B2586" s="34" t="inlineStr">
        <is>
          <t>Region Øst</t>
        </is>
      </c>
      <c r="C2586" s="34" t="inlineStr">
        <is>
          <t>Bufetats behandlingssenter Akershus_Østfold, adm</t>
        </is>
      </c>
      <c r="D2586" s="18" t="n"/>
      <c r="E2586" s="18" t="n"/>
      <c r="F2586" s="18" t="n"/>
      <c r="G2586" s="18" t="n"/>
      <c r="H2586" s="18" t="n"/>
      <c r="I2586" s="18" t="n">
        <v>409</v>
      </c>
      <c r="J2586" s="19" t="n">
        <v>463.8980249999999</v>
      </c>
      <c r="K2586" s="35" t="n">
        <v>0.065</v>
      </c>
    </row>
    <row r="2587">
      <c r="A2587" s="36" t="inlineStr">
        <is>
          <t>AGA SPK-tilskudd</t>
        </is>
      </c>
      <c r="B2587" s="36" t="inlineStr">
        <is>
          <t>Region Øst</t>
        </is>
      </c>
      <c r="C2587" s="36" t="inlineStr">
        <is>
          <t>Bufetats behandlingssenter Akershus_Østfold, adm</t>
        </is>
      </c>
      <c r="D2587" s="26" t="n"/>
      <c r="E2587" s="26" t="n"/>
      <c r="F2587" s="26" t="n"/>
      <c r="G2587" s="26" t="n"/>
      <c r="H2587" s="26" t="n"/>
      <c r="I2587" s="26" t="n">
        <v>4712</v>
      </c>
      <c r="J2587" s="19" t="n">
        <v>5344.468199999999</v>
      </c>
      <c r="K2587" s="37" t="n">
        <v>0.065</v>
      </c>
    </row>
    <row r="2588">
      <c r="A2588" s="34" t="inlineStr">
        <is>
          <t>AGA SPK-tilskudd</t>
        </is>
      </c>
      <c r="B2588" s="34" t="inlineStr">
        <is>
          <t>Region Øst</t>
        </is>
      </c>
      <c r="C2588" s="34" t="inlineStr">
        <is>
          <t>Bufetats behandlingssenter Akershus_Østfold, adm</t>
        </is>
      </c>
      <c r="D2588" s="18" t="n"/>
      <c r="E2588" s="18" t="n"/>
      <c r="F2588" s="18" t="n"/>
      <c r="G2588" s="18" t="n"/>
      <c r="H2588" s="18" t="n"/>
      <c r="I2588" s="18" t="n">
        <v>9731</v>
      </c>
      <c r="J2588" s="19" t="n">
        <v>11037.143475</v>
      </c>
      <c r="K2588" s="35" t="n">
        <v>0.065</v>
      </c>
    </row>
    <row r="2589">
      <c r="A2589" s="36" t="inlineStr">
        <is>
          <t>AGA SPK-tilskudd</t>
        </is>
      </c>
      <c r="B2589" s="36" t="inlineStr">
        <is>
          <t>Region Øst</t>
        </is>
      </c>
      <c r="C2589" s="36" t="inlineStr">
        <is>
          <t>Bufetats behandlingssenter Akershus_Østfold, adm</t>
        </is>
      </c>
      <c r="D2589" s="26" t="n"/>
      <c r="E2589" s="26" t="n"/>
      <c r="F2589" s="26" t="n"/>
      <c r="G2589" s="26" t="n"/>
      <c r="H2589" s="26" t="n"/>
      <c r="I2589" s="26" t="n">
        <v>-2950</v>
      </c>
      <c r="J2589" s="19" t="n">
        <v>-3345.963749999999</v>
      </c>
      <c r="K2589" s="37" t="n">
        <v>0.065</v>
      </c>
    </row>
    <row r="2590">
      <c r="A2590" s="34" t="inlineStr">
        <is>
          <t>AGA SPK-tilskudd</t>
        </is>
      </c>
      <c r="B2590" s="34" t="inlineStr">
        <is>
          <t>Region Øst</t>
        </is>
      </c>
      <c r="C2590" s="34" t="inlineStr">
        <is>
          <t>Bufetats behandlingssenter Akershus_Østfold, adm</t>
        </is>
      </c>
      <c r="D2590" s="18" t="n"/>
      <c r="E2590" s="18" t="n"/>
      <c r="F2590" s="18" t="n"/>
      <c r="G2590" s="18" t="n"/>
      <c r="H2590" s="18" t="n"/>
      <c r="I2590" s="18" t="n">
        <v>-4804</v>
      </c>
      <c r="J2590" s="19" t="n">
        <v>-5448.816899999999</v>
      </c>
      <c r="K2590" s="35" t="n">
        <v>0.065</v>
      </c>
    </row>
    <row r="2591">
      <c r="A2591" s="36" t="inlineStr">
        <is>
          <t>AGA SPK-tilskudd</t>
        </is>
      </c>
      <c r="B2591" s="36" t="inlineStr">
        <is>
          <t>Region Øst</t>
        </is>
      </c>
      <c r="C2591" s="36" t="inlineStr">
        <is>
          <t>Bufetats behandlingssenter Akershus_Østfold, avd Kroerveien</t>
        </is>
      </c>
      <c r="D2591" s="26" t="n"/>
      <c r="E2591" s="26" t="n"/>
      <c r="F2591" s="26" t="n"/>
      <c r="G2591" s="26" t="n"/>
      <c r="H2591" s="26" t="n"/>
      <c r="I2591" s="26" t="n">
        <v>205203</v>
      </c>
      <c r="J2591" s="19" t="n">
        <v>232746.372675</v>
      </c>
      <c r="K2591" s="37" t="n">
        <v>0.065</v>
      </c>
    </row>
    <row r="2592">
      <c r="A2592" s="34" t="inlineStr">
        <is>
          <t>AGA SPK-tilskudd</t>
        </is>
      </c>
      <c r="B2592" s="34" t="inlineStr">
        <is>
          <t>Region Øst</t>
        </is>
      </c>
      <c r="C2592" s="34" t="inlineStr">
        <is>
          <t>Bufetats behandlingssenter Akershus_Østfold, avd Kroerveien</t>
        </is>
      </c>
      <c r="D2592" s="18" t="n"/>
      <c r="E2592" s="18" t="n"/>
      <c r="F2592" s="18" t="n"/>
      <c r="G2592" s="18" t="n"/>
      <c r="H2592" s="18" t="n"/>
      <c r="I2592" s="18" t="n">
        <v>201516</v>
      </c>
      <c r="J2592" s="19" t="n">
        <v>228564.4851</v>
      </c>
      <c r="K2592" s="35" t="n">
        <v>0.065</v>
      </c>
    </row>
    <row r="2593">
      <c r="A2593" s="36" t="inlineStr">
        <is>
          <t>AGA SPK-tilskudd</t>
        </is>
      </c>
      <c r="B2593" s="36" t="inlineStr">
        <is>
          <t>Region Øst</t>
        </is>
      </c>
      <c r="C2593" s="36" t="inlineStr">
        <is>
          <t>Bufetats behandlingssenter Akershus_Østfold, avd Kroerveien</t>
        </is>
      </c>
      <c r="D2593" s="26" t="n"/>
      <c r="E2593" s="26" t="n"/>
      <c r="F2593" s="26" t="n"/>
      <c r="G2593" s="26" t="n"/>
      <c r="H2593" s="26" t="n"/>
      <c r="I2593" s="26" t="n">
        <v>19255</v>
      </c>
      <c r="J2593" s="19" t="n">
        <v>21839.502375</v>
      </c>
      <c r="K2593" s="37" t="n">
        <v>0.065</v>
      </c>
    </row>
    <row r="2594">
      <c r="A2594" s="34" t="inlineStr">
        <is>
          <t>AGA SPK-tilskudd</t>
        </is>
      </c>
      <c r="B2594" s="34" t="inlineStr">
        <is>
          <t>Region Øst</t>
        </is>
      </c>
      <c r="C2594" s="34" t="inlineStr">
        <is>
          <t>Bufetats behandlingssenter Akershus_Østfold, avd Kroerveien</t>
        </is>
      </c>
      <c r="D2594" s="18" t="n"/>
      <c r="E2594" s="18" t="n"/>
      <c r="F2594" s="18" t="n"/>
      <c r="G2594" s="18" t="n"/>
      <c r="H2594" s="18" t="n"/>
      <c r="I2594" s="18" t="n">
        <v>78717</v>
      </c>
      <c r="J2594" s="19" t="n">
        <v>89282.78932499999</v>
      </c>
      <c r="K2594" s="35" t="n">
        <v>0.065</v>
      </c>
    </row>
    <row r="2595">
      <c r="A2595" s="36" t="inlineStr">
        <is>
          <t>AGA SPK-tilskudd</t>
        </is>
      </c>
      <c r="B2595" s="36" t="inlineStr">
        <is>
          <t>Region Øst</t>
        </is>
      </c>
      <c r="C2595" s="36" t="inlineStr">
        <is>
          <t>Bufetats behandlingssenter Akershus_Østfold, avd Kroerveien</t>
        </is>
      </c>
      <c r="D2595" s="26" t="n"/>
      <c r="E2595" s="26" t="n"/>
      <c r="F2595" s="26" t="n"/>
      <c r="G2595" s="26" t="n"/>
      <c r="H2595" s="26" t="n"/>
      <c r="I2595" s="26" t="n">
        <v>2309</v>
      </c>
      <c r="J2595" s="19" t="n">
        <v>2618.925525</v>
      </c>
      <c r="K2595" s="37" t="n">
        <v>0.065</v>
      </c>
    </row>
    <row r="2596">
      <c r="A2596" s="34" t="inlineStr">
        <is>
          <t>AGA SPK-tilskudd</t>
        </is>
      </c>
      <c r="B2596" s="34" t="inlineStr">
        <is>
          <t>Region Øst</t>
        </is>
      </c>
      <c r="C2596" s="34" t="inlineStr">
        <is>
          <t>Bufetats behandlingssenter Akershus_Østfold, avd Kroerveien</t>
        </is>
      </c>
      <c r="D2596" s="18" t="n"/>
      <c r="E2596" s="18" t="n"/>
      <c r="F2596" s="18" t="n"/>
      <c r="G2596" s="18" t="n"/>
      <c r="H2596" s="18" t="n"/>
      <c r="I2596" s="18" t="n">
        <v>3749</v>
      </c>
      <c r="J2596" s="19" t="n">
        <v>4252.209524999999</v>
      </c>
      <c r="K2596" s="35" t="n">
        <v>0.065</v>
      </c>
    </row>
    <row r="2597">
      <c r="A2597" s="36" t="inlineStr">
        <is>
          <t>AGA SPK-tilskudd</t>
        </is>
      </c>
      <c r="B2597" s="36" t="inlineStr">
        <is>
          <t>Region Øst</t>
        </is>
      </c>
      <c r="C2597" s="36" t="inlineStr">
        <is>
          <t>Bufetats behandlingssenter Akershus_Østfold, avd Kroerveien</t>
        </is>
      </c>
      <c r="D2597" s="26" t="n"/>
      <c r="E2597" s="26" t="n"/>
      <c r="F2597" s="26" t="n"/>
      <c r="G2597" s="26" t="n"/>
      <c r="H2597" s="26" t="n"/>
      <c r="I2597" s="26" t="n">
        <v>1216</v>
      </c>
      <c r="J2597" s="19" t="n">
        <v>1379.2176</v>
      </c>
      <c r="K2597" s="37" t="n">
        <v>0.065</v>
      </c>
    </row>
    <row r="2598">
      <c r="A2598" s="34" t="inlineStr">
        <is>
          <t>AGA SPK-tilskudd</t>
        </is>
      </c>
      <c r="B2598" s="34" t="inlineStr">
        <is>
          <t>Region Øst</t>
        </is>
      </c>
      <c r="C2598" s="34" t="inlineStr">
        <is>
          <t>Bufetats behandlingssenter Akershus_Østfold, avd Kroerveien</t>
        </is>
      </c>
      <c r="D2598" s="18" t="n"/>
      <c r="E2598" s="18" t="n"/>
      <c r="F2598" s="18" t="n"/>
      <c r="G2598" s="18" t="n"/>
      <c r="H2598" s="18" t="n"/>
      <c r="I2598" s="18" t="n">
        <v>4887</v>
      </c>
      <c r="J2598" s="19" t="n">
        <v>5542.957574999999</v>
      </c>
      <c r="K2598" s="35" t="n">
        <v>0.065</v>
      </c>
    </row>
    <row r="2599">
      <c r="A2599" s="36" t="inlineStr">
        <is>
          <t>AGA SPK-tilskudd</t>
        </is>
      </c>
      <c r="B2599" s="36" t="inlineStr">
        <is>
          <t>Region Øst</t>
        </is>
      </c>
      <c r="C2599" s="36" t="inlineStr">
        <is>
          <t>Bufetats behandlingssenter Akershus_Østfold, avd Kroerveien</t>
        </is>
      </c>
      <c r="D2599" s="26" t="n"/>
      <c r="E2599" s="26" t="n"/>
      <c r="F2599" s="26" t="n"/>
      <c r="G2599" s="26" t="n"/>
      <c r="H2599" s="26" t="n"/>
      <c r="I2599" s="26" t="n">
        <v>9207</v>
      </c>
      <c r="J2599" s="19" t="n">
        <v>10442.809575</v>
      </c>
      <c r="K2599" s="37" t="n">
        <v>0.065</v>
      </c>
    </row>
    <row r="2600">
      <c r="A2600" s="34" t="inlineStr">
        <is>
          <t>AGA SPK-tilskudd</t>
        </is>
      </c>
      <c r="B2600" s="34" t="inlineStr">
        <is>
          <t>Region Øst</t>
        </is>
      </c>
      <c r="C2600" s="34" t="inlineStr">
        <is>
          <t>Bufetats behandlingssenter Akershus_Østfold, avd Kroerveien</t>
        </is>
      </c>
      <c r="D2600" s="18" t="n"/>
      <c r="E2600" s="18" t="n"/>
      <c r="F2600" s="18" t="n"/>
      <c r="G2600" s="18" t="n"/>
      <c r="H2600" s="18" t="n"/>
      <c r="I2600" s="18" t="n">
        <v>1869</v>
      </c>
      <c r="J2600" s="19" t="n">
        <v>2119.866524999999</v>
      </c>
      <c r="K2600" s="35" t="n">
        <v>0.065</v>
      </c>
    </row>
    <row r="2601">
      <c r="A2601" s="36" t="inlineStr">
        <is>
          <t>AGA SPK-tilskudd</t>
        </is>
      </c>
      <c r="B2601" s="36" t="inlineStr">
        <is>
          <t>Region Øst</t>
        </is>
      </c>
      <c r="C2601" s="36" t="inlineStr">
        <is>
          <t>Bufetats behandlingssenter Akershus_Østfold, avd Kroerveien</t>
        </is>
      </c>
      <c r="D2601" s="26" t="n"/>
      <c r="E2601" s="26" t="n"/>
      <c r="F2601" s="26" t="n"/>
      <c r="G2601" s="26" t="n"/>
      <c r="H2601" s="26" t="n"/>
      <c r="I2601" s="26" t="n">
        <v>-36506</v>
      </c>
      <c r="J2601" s="19" t="n">
        <v>-41406.01785</v>
      </c>
      <c r="K2601" s="37" t="n">
        <v>0.065</v>
      </c>
    </row>
    <row r="2602">
      <c r="A2602" s="34" t="inlineStr">
        <is>
          <t>AGA SPK-tilskudd</t>
        </is>
      </c>
      <c r="B2602" s="34" t="inlineStr">
        <is>
          <t>Region Øst</t>
        </is>
      </c>
      <c r="C2602" s="34" t="inlineStr">
        <is>
          <t>Bufetats behandlingssenter Akershus_Østfold, avd Kroerveien</t>
        </is>
      </c>
      <c r="D2602" s="18" t="n"/>
      <c r="E2602" s="18" t="n"/>
      <c r="F2602" s="18" t="n"/>
      <c r="G2602" s="18" t="n"/>
      <c r="H2602" s="18" t="n"/>
      <c r="I2602" s="18" t="n">
        <v>-2027762</v>
      </c>
      <c r="J2602" s="19" t="n">
        <v>-2299938.35445</v>
      </c>
      <c r="K2602" s="35" t="n">
        <v>0.065</v>
      </c>
    </row>
    <row r="2603">
      <c r="A2603" s="36" t="inlineStr">
        <is>
          <t>AGA SPK-tilskudd</t>
        </is>
      </c>
      <c r="B2603" s="36" t="inlineStr">
        <is>
          <t>Region Øst</t>
        </is>
      </c>
      <c r="C2603" s="36" t="inlineStr">
        <is>
          <t>Bufetats behandlingssenter Akershus_Østfold, avd Ressursteam</t>
        </is>
      </c>
      <c r="D2603" s="26" t="n"/>
      <c r="E2603" s="26" t="n"/>
      <c r="F2603" s="26" t="n"/>
      <c r="G2603" s="26" t="n"/>
      <c r="H2603" s="26" t="n"/>
      <c r="I2603" s="26" t="n">
        <v>76438</v>
      </c>
      <c r="J2603" s="19" t="n">
        <v>86697.89054999998</v>
      </c>
      <c r="K2603" s="37" t="n">
        <v>0.065</v>
      </c>
    </row>
    <row r="2604">
      <c r="A2604" s="34" t="inlineStr">
        <is>
          <t>AGA SPK-tilskudd</t>
        </is>
      </c>
      <c r="B2604" s="34" t="inlineStr">
        <is>
          <t>Region Øst</t>
        </is>
      </c>
      <c r="C2604" s="34" t="inlineStr">
        <is>
          <t>Bufetats behandlingssenter Akershus_Østfold, avd Ressursteam</t>
        </is>
      </c>
      <c r="D2604" s="18" t="n"/>
      <c r="E2604" s="18" t="n"/>
      <c r="F2604" s="18" t="n"/>
      <c r="G2604" s="18" t="n"/>
      <c r="H2604" s="18" t="n"/>
      <c r="I2604" s="18" t="n">
        <v>12603</v>
      </c>
      <c r="J2604" s="19" t="n">
        <v>14294.637675</v>
      </c>
      <c r="K2604" s="35" t="n">
        <v>0.065</v>
      </c>
    </row>
    <row r="2605">
      <c r="A2605" s="36" t="inlineStr">
        <is>
          <t>AGA SPK-tilskudd</t>
        </is>
      </c>
      <c r="B2605" s="36" t="inlineStr">
        <is>
          <t>Region Øst</t>
        </is>
      </c>
      <c r="C2605" s="36" t="inlineStr">
        <is>
          <t>Bufetats behandlingssenter Akershus_Østfold, avd Ressursteam</t>
        </is>
      </c>
      <c r="D2605" s="26" t="n"/>
      <c r="E2605" s="26" t="n"/>
      <c r="F2605" s="26" t="n"/>
      <c r="G2605" s="26" t="n"/>
      <c r="H2605" s="26" t="n"/>
      <c r="I2605" s="26" t="n">
        <v>17372</v>
      </c>
      <c r="J2605" s="19" t="n">
        <v>19703.7567</v>
      </c>
      <c r="K2605" s="37" t="n">
        <v>0.065</v>
      </c>
    </row>
    <row r="2606">
      <c r="A2606" s="34" t="inlineStr">
        <is>
          <t>AGA SPK-tilskudd</t>
        </is>
      </c>
      <c r="B2606" s="34" t="inlineStr">
        <is>
          <t>Region Øst</t>
        </is>
      </c>
      <c r="C2606" s="34" t="inlineStr">
        <is>
          <t>Bufetats behandlingssenter Akershus_Østfold, avd Ressursteam</t>
        </is>
      </c>
      <c r="D2606" s="18" t="n"/>
      <c r="E2606" s="18" t="n"/>
      <c r="F2606" s="18" t="n"/>
      <c r="G2606" s="18" t="n"/>
      <c r="H2606" s="18" t="n"/>
      <c r="I2606" s="18" t="n">
        <v>4611</v>
      </c>
      <c r="J2606" s="19" t="n">
        <v>5229.911474999999</v>
      </c>
      <c r="K2606" s="35" t="n">
        <v>0.065</v>
      </c>
    </row>
    <row r="2607">
      <c r="A2607" s="36" t="inlineStr">
        <is>
          <t>AGA SPK-tilskudd</t>
        </is>
      </c>
      <c r="B2607" s="36" t="inlineStr">
        <is>
          <t>Region Øst</t>
        </is>
      </c>
      <c r="C2607" s="36" t="inlineStr">
        <is>
          <t>Bufetats behandlingssenter Akershus_Østfold, avd Ressursteam</t>
        </is>
      </c>
      <c r="D2607" s="26" t="n"/>
      <c r="E2607" s="26" t="n"/>
      <c r="F2607" s="26" t="n"/>
      <c r="G2607" s="26" t="n"/>
      <c r="H2607" s="26" t="n"/>
      <c r="I2607" s="26" t="n">
        <v>16750</v>
      </c>
      <c r="J2607" s="19" t="n">
        <v>18998.26875</v>
      </c>
      <c r="K2607" s="37" t="n">
        <v>0.065</v>
      </c>
    </row>
    <row r="2608">
      <c r="A2608" s="34" t="inlineStr">
        <is>
          <t>AGA SPK-tilskudd</t>
        </is>
      </c>
      <c r="B2608" s="34" t="inlineStr">
        <is>
          <t>Region Øst</t>
        </is>
      </c>
      <c r="C2608" s="34" t="inlineStr">
        <is>
          <t>Bufetats behandlingssenter Akershus_Østfold, avd Ressursteam</t>
        </is>
      </c>
      <c r="D2608" s="18" t="n"/>
      <c r="E2608" s="18" t="n"/>
      <c r="F2608" s="18" t="n"/>
      <c r="G2608" s="18" t="n"/>
      <c r="H2608" s="18" t="n"/>
      <c r="I2608" s="18" t="n">
        <v>3389</v>
      </c>
      <c r="J2608" s="19" t="n">
        <v>3843.888524999999</v>
      </c>
      <c r="K2608" s="35" t="n">
        <v>0.065</v>
      </c>
    </row>
    <row r="2609">
      <c r="A2609" s="36" t="inlineStr">
        <is>
          <t>AGA SPK-tilskudd</t>
        </is>
      </c>
      <c r="B2609" s="36" t="inlineStr">
        <is>
          <t>Region Øst</t>
        </is>
      </c>
      <c r="C2609" s="36" t="inlineStr">
        <is>
          <t>Bufetats behandlingssenter Akershus_Østfold, avd Ressursteam</t>
        </is>
      </c>
      <c r="D2609" s="26" t="n"/>
      <c r="E2609" s="26" t="n"/>
      <c r="F2609" s="26" t="n"/>
      <c r="G2609" s="26" t="n"/>
      <c r="H2609" s="26" t="n"/>
      <c r="I2609" s="26" t="n">
        <v>3403</v>
      </c>
      <c r="J2609" s="19" t="n">
        <v>3859.767675</v>
      </c>
      <c r="K2609" s="37" t="n">
        <v>0.065</v>
      </c>
    </row>
    <row r="2610">
      <c r="A2610" s="34" t="inlineStr">
        <is>
          <t>AGA SPK-tilskudd</t>
        </is>
      </c>
      <c r="B2610" s="34" t="inlineStr">
        <is>
          <t>Region Øst</t>
        </is>
      </c>
      <c r="C2610" s="34" t="inlineStr">
        <is>
          <t>Bufetats behandlingssenter Akershus_Østfold, avd Ressursteam</t>
        </is>
      </c>
      <c r="D2610" s="18" t="n"/>
      <c r="E2610" s="18" t="n"/>
      <c r="F2610" s="18" t="n"/>
      <c r="G2610" s="18" t="n"/>
      <c r="H2610" s="18" t="n"/>
      <c r="I2610" s="18" t="n">
        <v>9419</v>
      </c>
      <c r="J2610" s="19" t="n">
        <v>10683.265275</v>
      </c>
      <c r="K2610" s="35" t="n">
        <v>0.065</v>
      </c>
    </row>
    <row r="2611">
      <c r="A2611" s="36" t="inlineStr">
        <is>
          <t>AGA SPK-tilskudd</t>
        </is>
      </c>
      <c r="B2611" s="36" t="inlineStr">
        <is>
          <t>Region Øst</t>
        </is>
      </c>
      <c r="C2611" s="36" t="inlineStr">
        <is>
          <t>Bufetats behandlingssenter Akershus_Østfold, avd Ressursteam</t>
        </is>
      </c>
      <c r="D2611" s="26" t="n"/>
      <c r="E2611" s="26" t="n"/>
      <c r="F2611" s="26" t="n"/>
      <c r="G2611" s="26" t="n"/>
      <c r="H2611" s="26" t="n"/>
      <c r="I2611" s="26" t="n">
        <v>4539</v>
      </c>
      <c r="J2611" s="19" t="n">
        <v>5148.247274999999</v>
      </c>
      <c r="K2611" s="37" t="n">
        <v>0.065</v>
      </c>
    </row>
    <row r="2612">
      <c r="A2612" s="34" t="inlineStr">
        <is>
          <t>AGA SPK-tilskudd</t>
        </is>
      </c>
      <c r="B2612" s="34" t="inlineStr">
        <is>
          <t>Region Øst</t>
        </is>
      </c>
      <c r="C2612" s="34" t="inlineStr">
        <is>
          <t>Bufetats behandlingssenter Akershus_Østfold, avd Ressursteam</t>
        </is>
      </c>
      <c r="D2612" s="18" t="n"/>
      <c r="E2612" s="18" t="n"/>
      <c r="F2612" s="18" t="n"/>
      <c r="G2612" s="18" t="n"/>
      <c r="H2612" s="18" t="n"/>
      <c r="I2612" s="18" t="n">
        <v>-8050</v>
      </c>
      <c r="J2612" s="19" t="n">
        <v>-9130.511249999998</v>
      </c>
      <c r="K2612" s="35" t="n">
        <v>0.065</v>
      </c>
    </row>
    <row r="2613">
      <c r="A2613" s="36" t="inlineStr">
        <is>
          <t>AGA SPK-tilskudd</t>
        </is>
      </c>
      <c r="B2613" s="36" t="inlineStr">
        <is>
          <t>Region Øst</t>
        </is>
      </c>
      <c r="C2613" s="36" t="inlineStr">
        <is>
          <t>Bufetats behandlingssenter Akershus_Østfold, avd Ressursteam</t>
        </is>
      </c>
      <c r="D2613" s="26" t="n"/>
      <c r="E2613" s="26" t="n"/>
      <c r="F2613" s="26" t="n"/>
      <c r="G2613" s="26" t="n"/>
      <c r="H2613" s="26" t="n"/>
      <c r="I2613" s="26" t="n">
        <v>-21616</v>
      </c>
      <c r="J2613" s="19" t="n">
        <v>-24517.40759999999</v>
      </c>
      <c r="K2613" s="37" t="n">
        <v>0.065</v>
      </c>
    </row>
    <row r="2614">
      <c r="A2614" s="34" t="inlineStr">
        <is>
          <t>AGA SPK-tilskudd</t>
        </is>
      </c>
      <c r="B2614" s="34" t="inlineStr">
        <is>
          <t>Region Øst</t>
        </is>
      </c>
      <c r="C2614" s="34" t="inlineStr">
        <is>
          <t>Bufetats behandlingssenter Akershus_Østfold, avd Ressursteam</t>
        </is>
      </c>
      <c r="D2614" s="18" t="n"/>
      <c r="E2614" s="18" t="n"/>
      <c r="F2614" s="18" t="n"/>
      <c r="G2614" s="18" t="n"/>
      <c r="H2614" s="18" t="n"/>
      <c r="I2614" s="18" t="n">
        <v>-190446</v>
      </c>
      <c r="J2614" s="19" t="n">
        <v>-216008.61435</v>
      </c>
      <c r="K2614" s="35" t="n">
        <v>0.065</v>
      </c>
    </row>
    <row r="2615">
      <c r="A2615" s="36" t="inlineStr">
        <is>
          <t>AGA SPK-tilskudd</t>
        </is>
      </c>
      <c r="B2615" s="36" t="inlineStr">
        <is>
          <t>Region Øst</t>
        </is>
      </c>
      <c r="C2615" s="36" t="inlineStr">
        <is>
          <t>Bufetats behandlingssenter Akershus_Østfold, avd Ås</t>
        </is>
      </c>
      <c r="D2615" s="26" t="n"/>
      <c r="E2615" s="26" t="n"/>
      <c r="F2615" s="26" t="n"/>
      <c r="G2615" s="26" t="n"/>
      <c r="H2615" s="26" t="n"/>
      <c r="I2615" s="26" t="n">
        <v>199879</v>
      </c>
      <c r="J2615" s="19" t="n">
        <v>226707.758775</v>
      </c>
      <c r="K2615" s="37" t="n">
        <v>0.065</v>
      </c>
    </row>
    <row r="2616">
      <c r="A2616" s="34" t="inlineStr">
        <is>
          <t>AGA SPK-tilskudd</t>
        </is>
      </c>
      <c r="B2616" s="34" t="inlineStr">
        <is>
          <t>Region Øst</t>
        </is>
      </c>
      <c r="C2616" s="34" t="inlineStr">
        <is>
          <t>Bufetats behandlingssenter Akershus_Østfold, avd Ås</t>
        </is>
      </c>
      <c r="D2616" s="18" t="n"/>
      <c r="E2616" s="18" t="n"/>
      <c r="F2616" s="18" t="n"/>
      <c r="G2616" s="18" t="n"/>
      <c r="H2616" s="18" t="n"/>
      <c r="I2616" s="18" t="n">
        <v>294259</v>
      </c>
      <c r="J2616" s="19" t="n">
        <v>333755.9142749999</v>
      </c>
      <c r="K2616" s="35" t="n">
        <v>0.065</v>
      </c>
    </row>
    <row r="2617">
      <c r="A2617" s="36" t="inlineStr">
        <is>
          <t>AGA SPK-tilskudd</t>
        </is>
      </c>
      <c r="B2617" s="36" t="inlineStr">
        <is>
          <t>Region Øst</t>
        </is>
      </c>
      <c r="C2617" s="36" t="inlineStr">
        <is>
          <t>Bufetats behandlingssenter Akershus_Østfold, avd Ås</t>
        </is>
      </c>
      <c r="D2617" s="26" t="n"/>
      <c r="E2617" s="26" t="n"/>
      <c r="F2617" s="26" t="n"/>
      <c r="G2617" s="26" t="n"/>
      <c r="H2617" s="26" t="n"/>
      <c r="I2617" s="26" t="n">
        <v>55159</v>
      </c>
      <c r="J2617" s="19" t="n">
        <v>62562.71677499999</v>
      </c>
      <c r="K2617" s="37" t="n">
        <v>0.065</v>
      </c>
    </row>
    <row r="2618">
      <c r="A2618" s="34" t="inlineStr">
        <is>
          <t>AGA SPK-tilskudd</t>
        </is>
      </c>
      <c r="B2618" s="34" t="inlineStr">
        <is>
          <t>Region Øst</t>
        </is>
      </c>
      <c r="C2618" s="34" t="inlineStr">
        <is>
          <t>Bufetats behandlingssenter Akershus_Østfold, avd Ås</t>
        </is>
      </c>
      <c r="D2618" s="18" t="n"/>
      <c r="E2618" s="18" t="n"/>
      <c r="F2618" s="18" t="n"/>
      <c r="G2618" s="18" t="n"/>
      <c r="H2618" s="18" t="n"/>
      <c r="I2618" s="18" t="n">
        <v>93711</v>
      </c>
      <c r="J2618" s="19" t="n">
        <v>106289.358975</v>
      </c>
      <c r="K2618" s="35" t="n">
        <v>0.065</v>
      </c>
    </row>
    <row r="2619">
      <c r="A2619" s="36" t="inlineStr">
        <is>
          <t>AGA SPK-tilskudd</t>
        </is>
      </c>
      <c r="B2619" s="36" t="inlineStr">
        <is>
          <t>Region Øst</t>
        </is>
      </c>
      <c r="C2619" s="36" t="inlineStr">
        <is>
          <t>Bufetats behandlingssenter Akershus_Østfold, avd Ås</t>
        </is>
      </c>
      <c r="D2619" s="26" t="n"/>
      <c r="E2619" s="26" t="n"/>
      <c r="F2619" s="26" t="n"/>
      <c r="G2619" s="26" t="n"/>
      <c r="H2619" s="26" t="n"/>
      <c r="I2619" s="26" t="n">
        <v>2309</v>
      </c>
      <c r="J2619" s="19" t="n">
        <v>2618.925525</v>
      </c>
      <c r="K2619" s="37" t="n">
        <v>0.065</v>
      </c>
    </row>
    <row r="2620">
      <c r="A2620" s="34" t="inlineStr">
        <is>
          <t>AGA SPK-tilskudd</t>
        </is>
      </c>
      <c r="B2620" s="34" t="inlineStr">
        <is>
          <t>Region Øst</t>
        </is>
      </c>
      <c r="C2620" s="34" t="inlineStr">
        <is>
          <t>Bufetats behandlingssenter Akershus_Østfold, avd Ås</t>
        </is>
      </c>
      <c r="D2620" s="18" t="n"/>
      <c r="E2620" s="18" t="n"/>
      <c r="F2620" s="18" t="n"/>
      <c r="G2620" s="18" t="n"/>
      <c r="H2620" s="18" t="n"/>
      <c r="I2620" s="18" t="n">
        <v>798</v>
      </c>
      <c r="J2620" s="19" t="n">
        <v>905.1115499999999</v>
      </c>
      <c r="K2620" s="35" t="n">
        <v>0.065</v>
      </c>
    </row>
    <row r="2621">
      <c r="A2621" s="36" t="inlineStr">
        <is>
          <t>AGA SPK-tilskudd</t>
        </is>
      </c>
      <c r="B2621" s="36" t="inlineStr">
        <is>
          <t>Region Øst</t>
        </is>
      </c>
      <c r="C2621" s="36" t="inlineStr">
        <is>
          <t>Bufetats behandlingssenter Akershus_Østfold, avd Ås</t>
        </is>
      </c>
      <c r="D2621" s="26" t="n"/>
      <c r="E2621" s="26" t="n"/>
      <c r="F2621" s="26" t="n"/>
      <c r="G2621" s="26" t="n"/>
      <c r="H2621" s="26" t="n"/>
      <c r="I2621" s="26" t="n">
        <v>369</v>
      </c>
      <c r="J2621" s="19" t="n">
        <v>418.5290249999999</v>
      </c>
      <c r="K2621" s="37" t="n">
        <v>0.065</v>
      </c>
    </row>
    <row r="2622">
      <c r="A2622" s="34" t="inlineStr">
        <is>
          <t>AGA SPK-tilskudd</t>
        </is>
      </c>
      <c r="B2622" s="34" t="inlineStr">
        <is>
          <t>Region Øst</t>
        </is>
      </c>
      <c r="C2622" s="34" t="inlineStr">
        <is>
          <t>Bufetats behandlingssenter Akershus_Østfold, avd Ås</t>
        </is>
      </c>
      <c r="D2622" s="18" t="n"/>
      <c r="E2622" s="18" t="n"/>
      <c r="F2622" s="18" t="n"/>
      <c r="G2622" s="18" t="n"/>
      <c r="H2622" s="18" t="n"/>
      <c r="I2622" s="18" t="n">
        <v>3677</v>
      </c>
      <c r="J2622" s="19" t="n">
        <v>4170.545324999999</v>
      </c>
      <c r="K2622" s="35" t="n">
        <v>0.065</v>
      </c>
    </row>
    <row r="2623">
      <c r="A2623" s="36" t="inlineStr">
        <is>
          <t>AGA SPK-tilskudd</t>
        </is>
      </c>
      <c r="B2623" s="36" t="inlineStr">
        <is>
          <t>Region Øst</t>
        </is>
      </c>
      <c r="C2623" s="36" t="inlineStr">
        <is>
          <t>Bufetats behandlingssenter Akershus_Østfold, avd Ås</t>
        </is>
      </c>
      <c r="D2623" s="26" t="n"/>
      <c r="E2623" s="26" t="n"/>
      <c r="F2623" s="26" t="n"/>
      <c r="G2623" s="26" t="n"/>
      <c r="H2623" s="26" t="n"/>
      <c r="I2623" s="26" t="n">
        <v>342</v>
      </c>
      <c r="J2623" s="19" t="n">
        <v>387.9049499999999</v>
      </c>
      <c r="K2623" s="37" t="n">
        <v>0.065</v>
      </c>
    </row>
    <row r="2624">
      <c r="A2624" s="34" t="inlineStr">
        <is>
          <t>AGA SPK-tilskudd</t>
        </is>
      </c>
      <c r="B2624" s="34" t="inlineStr">
        <is>
          <t>Region Øst</t>
        </is>
      </c>
      <c r="C2624" s="34" t="inlineStr">
        <is>
          <t>Bufetats behandlingssenter Akershus_Østfold, avd Ås</t>
        </is>
      </c>
      <c r="D2624" s="18" t="n"/>
      <c r="E2624" s="18" t="n"/>
      <c r="F2624" s="18" t="n"/>
      <c r="G2624" s="18" t="n"/>
      <c r="H2624" s="18" t="n"/>
      <c r="I2624" s="18" t="n">
        <v>-14180</v>
      </c>
      <c r="J2624" s="19" t="n">
        <v>-16083.3105</v>
      </c>
      <c r="K2624" s="35" t="n">
        <v>0.065</v>
      </c>
    </row>
    <row r="2625">
      <c r="A2625" s="36" t="inlineStr">
        <is>
          <t>AGA SPK-tilskudd</t>
        </is>
      </c>
      <c r="B2625" s="36" t="inlineStr">
        <is>
          <t>Region Øst</t>
        </is>
      </c>
      <c r="C2625" s="36" t="inlineStr">
        <is>
          <t>Bufetats behandlingssenter Akershus_Østfold, avd Ås</t>
        </is>
      </c>
      <c r="D2625" s="26" t="n"/>
      <c r="E2625" s="26" t="n"/>
      <c r="F2625" s="26" t="n"/>
      <c r="G2625" s="26" t="n"/>
      <c r="H2625" s="26" t="n"/>
      <c r="I2625" s="26" t="n">
        <v>-646654</v>
      </c>
      <c r="J2625" s="19" t="n">
        <v>-733451.1331499999</v>
      </c>
      <c r="K2625" s="37" t="n">
        <v>0.065</v>
      </c>
    </row>
    <row r="2626">
      <c r="A2626" s="34" t="inlineStr">
        <is>
          <t>AGA SPK-tilskudd</t>
        </is>
      </c>
      <c r="B2626" s="34" t="inlineStr">
        <is>
          <t>Region Øst</t>
        </is>
      </c>
      <c r="C2626" s="34" t="inlineStr">
        <is>
          <t>Bufetats behandlingssenter Akershus_Østfold, avd Ås</t>
        </is>
      </c>
      <c r="D2626" s="18" t="n"/>
      <c r="E2626" s="18" t="n"/>
      <c r="F2626" s="18" t="n"/>
      <c r="G2626" s="18" t="n"/>
      <c r="H2626" s="18" t="n"/>
      <c r="I2626" s="18" t="n">
        <v>-1235747</v>
      </c>
      <c r="J2626" s="19" t="n">
        <v>-1401615.141075</v>
      </c>
      <c r="K2626" s="35" t="n">
        <v>0.065</v>
      </c>
    </row>
    <row r="2627">
      <c r="A2627" s="36" t="inlineStr">
        <is>
          <t>AGA SPK-tilskudd</t>
        </is>
      </c>
      <c r="B2627" s="36" t="inlineStr">
        <is>
          <t>Region Øst</t>
        </is>
      </c>
      <c r="C2627" s="36" t="inlineStr">
        <is>
          <t>Bufetats behandlingssenter Akershus_Østfold, avd Østheim</t>
        </is>
      </c>
      <c r="D2627" s="26" t="n"/>
      <c r="E2627" s="26" t="n"/>
      <c r="F2627" s="26" t="n"/>
      <c r="G2627" s="26" t="n"/>
      <c r="H2627" s="26" t="n"/>
      <c r="I2627" s="26" t="n">
        <v>147774</v>
      </c>
      <c r="J2627" s="19" t="n">
        <v>167608.96515</v>
      </c>
      <c r="K2627" s="37" t="n">
        <v>0.065</v>
      </c>
    </row>
    <row r="2628">
      <c r="A2628" s="34" t="inlineStr">
        <is>
          <t>AGA SPK-tilskudd</t>
        </is>
      </c>
      <c r="B2628" s="34" t="inlineStr">
        <is>
          <t>Region Øst</t>
        </is>
      </c>
      <c r="C2628" s="34" t="inlineStr">
        <is>
          <t>Bufetats behandlingssenter Akershus_Østfold, avd Østheim</t>
        </is>
      </c>
      <c r="D2628" s="18" t="n"/>
      <c r="E2628" s="18" t="n"/>
      <c r="F2628" s="18" t="n"/>
      <c r="G2628" s="18" t="n"/>
      <c r="H2628" s="18" t="n"/>
      <c r="I2628" s="18" t="n">
        <v>71442</v>
      </c>
      <c r="J2628" s="19" t="n">
        <v>81031.30244999999</v>
      </c>
      <c r="K2628" s="35" t="n">
        <v>0.065</v>
      </c>
    </row>
    <row r="2629">
      <c r="A2629" s="36" t="inlineStr">
        <is>
          <t>AGA SPK-tilskudd</t>
        </is>
      </c>
      <c r="B2629" s="36" t="inlineStr">
        <is>
          <t>Region Øst</t>
        </is>
      </c>
      <c r="C2629" s="36" t="inlineStr">
        <is>
          <t>Bufetats behandlingssenter Akershus_Østfold, avd Østheim</t>
        </is>
      </c>
      <c r="D2629" s="26" t="n"/>
      <c r="E2629" s="26" t="n"/>
      <c r="F2629" s="26" t="n"/>
      <c r="G2629" s="26" t="n"/>
      <c r="H2629" s="26" t="n"/>
      <c r="I2629" s="26" t="n">
        <v>3722</v>
      </c>
      <c r="J2629" s="19" t="n">
        <v>4221.58545</v>
      </c>
      <c r="K2629" s="37" t="n">
        <v>0.065</v>
      </c>
    </row>
    <row r="2630">
      <c r="A2630" s="34" t="inlineStr">
        <is>
          <t>AGA SPK-tilskudd</t>
        </is>
      </c>
      <c r="B2630" s="34" t="inlineStr">
        <is>
          <t>Region Øst</t>
        </is>
      </c>
      <c r="C2630" s="34" t="inlineStr">
        <is>
          <t>Bufetats behandlingssenter Akershus_Østfold, avd Østheim</t>
        </is>
      </c>
      <c r="D2630" s="18" t="n"/>
      <c r="E2630" s="18" t="n"/>
      <c r="F2630" s="18" t="n"/>
      <c r="G2630" s="18" t="n"/>
      <c r="H2630" s="18" t="n"/>
      <c r="I2630" s="18" t="n">
        <v>57668</v>
      </c>
      <c r="J2630" s="19" t="n">
        <v>65408.48729999999</v>
      </c>
      <c r="K2630" s="35" t="n">
        <v>0.065</v>
      </c>
    </row>
    <row r="2631">
      <c r="A2631" s="36" t="inlineStr">
        <is>
          <t>AGA SPK-tilskudd</t>
        </is>
      </c>
      <c r="B2631" s="36" t="inlineStr">
        <is>
          <t>Region Øst</t>
        </is>
      </c>
      <c r="C2631" s="36" t="inlineStr">
        <is>
          <t>Bufetats behandlingssenter Akershus_Østfold, avd Østheim</t>
        </is>
      </c>
      <c r="D2631" s="26" t="n"/>
      <c r="E2631" s="26" t="n"/>
      <c r="F2631" s="26" t="n"/>
      <c r="G2631" s="26" t="n"/>
      <c r="H2631" s="26" t="n"/>
      <c r="I2631" s="26" t="n">
        <v>6659</v>
      </c>
      <c r="J2631" s="19" t="n">
        <v>7552.804274999999</v>
      </c>
      <c r="K2631" s="37" t="n">
        <v>0.065</v>
      </c>
    </row>
    <row r="2632">
      <c r="A2632" s="34" t="inlineStr">
        <is>
          <t>AGA SPK-tilskudd</t>
        </is>
      </c>
      <c r="B2632" s="34" t="inlineStr">
        <is>
          <t>Region Øst</t>
        </is>
      </c>
      <c r="C2632" s="34" t="inlineStr">
        <is>
          <t>Bufetats behandlingssenter Akershus_Østfold, avd Østheim</t>
        </is>
      </c>
      <c r="D2632" s="18" t="n"/>
      <c r="E2632" s="18" t="n"/>
      <c r="F2632" s="18" t="n"/>
      <c r="G2632" s="18" t="n"/>
      <c r="H2632" s="18" t="n"/>
      <c r="I2632" s="18" t="n">
        <v>9539</v>
      </c>
      <c r="J2632" s="19" t="n">
        <v>10819.372275</v>
      </c>
      <c r="K2632" s="35" t="n">
        <v>0.065</v>
      </c>
    </row>
    <row r="2633">
      <c r="A2633" s="36" t="inlineStr">
        <is>
          <t>AGA SPK-tilskudd</t>
        </is>
      </c>
      <c r="B2633" s="36" t="inlineStr">
        <is>
          <t>Region Øst</t>
        </is>
      </c>
      <c r="C2633" s="36" t="inlineStr">
        <is>
          <t>Bufetats behandlingssenter Akershus_Østfold, avd Østheim</t>
        </is>
      </c>
      <c r="D2633" s="26" t="n"/>
      <c r="E2633" s="26" t="n"/>
      <c r="F2633" s="26" t="n"/>
      <c r="G2633" s="26" t="n"/>
      <c r="H2633" s="26" t="n"/>
      <c r="I2633" s="26" t="n">
        <v>2393</v>
      </c>
      <c r="J2633" s="19" t="n">
        <v>2714.200425</v>
      </c>
      <c r="K2633" s="37" t="n">
        <v>0.065</v>
      </c>
    </row>
    <row r="2634">
      <c r="A2634" s="34" t="inlineStr">
        <is>
          <t>AGA SPK-tilskudd</t>
        </is>
      </c>
      <c r="B2634" s="34" t="inlineStr">
        <is>
          <t>Region Øst</t>
        </is>
      </c>
      <c r="C2634" s="34" t="inlineStr">
        <is>
          <t>Bufetats behandlingssenter Akershus_Østfold, avd Østheim</t>
        </is>
      </c>
      <c r="D2634" s="18" t="n"/>
      <c r="E2634" s="18" t="n"/>
      <c r="F2634" s="18" t="n"/>
      <c r="G2634" s="18" t="n"/>
      <c r="H2634" s="18" t="n"/>
      <c r="I2634" s="18" t="n">
        <v>3428</v>
      </c>
      <c r="J2634" s="19" t="n">
        <v>3888.123299999999</v>
      </c>
      <c r="K2634" s="35" t="n">
        <v>0.065</v>
      </c>
    </row>
    <row r="2635">
      <c r="A2635" s="36" t="inlineStr">
        <is>
          <t>AGA SPK-tilskudd</t>
        </is>
      </c>
      <c r="B2635" s="36" t="inlineStr">
        <is>
          <t>Region Øst</t>
        </is>
      </c>
      <c r="C2635" s="36" t="inlineStr">
        <is>
          <t>Bufetats behandlingssenter Akershus_Østfold, avd Østheim</t>
        </is>
      </c>
      <c r="D2635" s="26" t="n"/>
      <c r="E2635" s="26" t="n"/>
      <c r="F2635" s="26" t="n"/>
      <c r="G2635" s="26" t="n"/>
      <c r="H2635" s="26" t="n"/>
      <c r="I2635" s="26" t="n">
        <v>7336</v>
      </c>
      <c r="J2635" s="19" t="n">
        <v>8320.674599999998</v>
      </c>
      <c r="K2635" s="37" t="n">
        <v>0.065</v>
      </c>
    </row>
    <row r="2636">
      <c r="A2636" s="34" t="inlineStr">
        <is>
          <t>AGA SPK-tilskudd</t>
        </is>
      </c>
      <c r="B2636" s="34" t="inlineStr">
        <is>
          <t>Region Øst</t>
        </is>
      </c>
      <c r="C2636" s="34" t="inlineStr">
        <is>
          <t>Bufetats behandlingssenter Akershus_Østfold, avd Østheim</t>
        </is>
      </c>
      <c r="D2636" s="18" t="n"/>
      <c r="E2636" s="18" t="n"/>
      <c r="F2636" s="18" t="n"/>
      <c r="G2636" s="18" t="n"/>
      <c r="H2636" s="18" t="n"/>
      <c r="I2636" s="18" t="n">
        <v>7556</v>
      </c>
      <c r="J2636" s="19" t="n">
        <v>8570.204099999999</v>
      </c>
      <c r="K2636" s="35" t="n">
        <v>0.065</v>
      </c>
    </row>
    <row r="2637">
      <c r="A2637" s="36" t="inlineStr">
        <is>
          <t>AGA SPK-tilskudd</t>
        </is>
      </c>
      <c r="B2637" s="36" t="inlineStr">
        <is>
          <t>Region Øst</t>
        </is>
      </c>
      <c r="C2637" s="36" t="inlineStr">
        <is>
          <t>Bufetats behandlingssenter Akershus_Østfold, avd Østheim</t>
        </is>
      </c>
      <c r="D2637" s="26" t="n"/>
      <c r="E2637" s="26" t="n"/>
      <c r="F2637" s="26" t="n"/>
      <c r="G2637" s="26" t="n"/>
      <c r="H2637" s="26" t="n"/>
      <c r="I2637" s="26" t="n">
        <v>-30000</v>
      </c>
      <c r="J2637" s="19" t="n">
        <v>-34026.74999999999</v>
      </c>
      <c r="K2637" s="37" t="n">
        <v>0.065</v>
      </c>
    </row>
    <row r="2638">
      <c r="A2638" s="34" t="inlineStr">
        <is>
          <t>AGA SPK-tilskudd</t>
        </is>
      </c>
      <c r="B2638" s="34" t="inlineStr">
        <is>
          <t>Region Øst</t>
        </is>
      </c>
      <c r="C2638" s="34" t="inlineStr">
        <is>
          <t>Bufetats behandlingssenter Akershus_Østfold, avd Østheim</t>
        </is>
      </c>
      <c r="D2638" s="18" t="n"/>
      <c r="E2638" s="18" t="n"/>
      <c r="F2638" s="18" t="n"/>
      <c r="G2638" s="18" t="n"/>
      <c r="H2638" s="18" t="n"/>
      <c r="I2638" s="18" t="n">
        <v>-49122</v>
      </c>
      <c r="J2638" s="19" t="n">
        <v>-55715.40044999999</v>
      </c>
      <c r="K2638" s="35" t="n">
        <v>0.065</v>
      </c>
    </row>
    <row r="2639">
      <c r="A2639" s="36" t="inlineStr">
        <is>
          <t>AGA SPK-tilskudd</t>
        </is>
      </c>
      <c r="B2639" s="36" t="inlineStr">
        <is>
          <t>Region Øst</t>
        </is>
      </c>
      <c r="C2639" s="36" t="inlineStr">
        <is>
          <t>Bufetats behandlingssenter Akershus_Østfold, avd Østheim</t>
        </is>
      </c>
      <c r="D2639" s="26" t="n"/>
      <c r="E2639" s="26" t="n"/>
      <c r="F2639" s="26" t="n"/>
      <c r="G2639" s="26" t="n"/>
      <c r="H2639" s="26" t="n"/>
      <c r="I2639" s="26" t="n">
        <v>-1102767</v>
      </c>
      <c r="J2639" s="19" t="n">
        <v>-1250785.900575</v>
      </c>
      <c r="K2639" s="37" t="n">
        <v>0.065</v>
      </c>
    </row>
    <row r="2640">
      <c r="A2640" s="34" t="inlineStr">
        <is>
          <t>AGA SPK-tilskudd</t>
        </is>
      </c>
      <c r="B2640" s="34" t="inlineStr">
        <is>
          <t>Region Øst</t>
        </is>
      </c>
      <c r="C2640" s="34" t="inlineStr">
        <is>
          <t>Bufetats behandlingssenter Akershus_Østfold, avd Østlund</t>
        </is>
      </c>
      <c r="D2640" s="18" t="n"/>
      <c r="E2640" s="18" t="n"/>
      <c r="F2640" s="18" t="n"/>
      <c r="G2640" s="18" t="n"/>
      <c r="H2640" s="18" t="n"/>
      <c r="I2640" s="18" t="n">
        <v>135755</v>
      </c>
      <c r="J2640" s="19" t="n">
        <v>153976.714875</v>
      </c>
      <c r="K2640" s="35" t="n">
        <v>0.065</v>
      </c>
    </row>
    <row r="2641">
      <c r="A2641" s="36" t="inlineStr">
        <is>
          <t>AGA SPK-tilskudd</t>
        </is>
      </c>
      <c r="B2641" s="36" t="inlineStr">
        <is>
          <t>Region Øst</t>
        </is>
      </c>
      <c r="C2641" s="36" t="inlineStr">
        <is>
          <t>Bufetats behandlingssenter Akershus_Østfold, avd Østlund</t>
        </is>
      </c>
      <c r="D2641" s="26" t="n"/>
      <c r="E2641" s="26" t="n"/>
      <c r="F2641" s="26" t="n"/>
      <c r="G2641" s="26" t="n"/>
      <c r="H2641" s="26" t="n"/>
      <c r="I2641" s="26" t="n">
        <v>21657</v>
      </c>
      <c r="J2641" s="19" t="n">
        <v>24563.910825</v>
      </c>
      <c r="K2641" s="37" t="n">
        <v>0.065</v>
      </c>
    </row>
    <row r="2642">
      <c r="A2642" s="34" t="inlineStr">
        <is>
          <t>AGA SPK-tilskudd</t>
        </is>
      </c>
      <c r="B2642" s="34" t="inlineStr">
        <is>
          <t>Region Øst</t>
        </is>
      </c>
      <c r="C2642" s="34" t="inlineStr">
        <is>
          <t>Bufetats behandlingssenter Akershus_Østfold, avd Østlund</t>
        </is>
      </c>
      <c r="D2642" s="18" t="n"/>
      <c r="E2642" s="18" t="n"/>
      <c r="F2642" s="18" t="n"/>
      <c r="G2642" s="18" t="n"/>
      <c r="H2642" s="18" t="n"/>
      <c r="I2642" s="18" t="n">
        <v>6349</v>
      </c>
      <c r="J2642" s="19" t="n">
        <v>7201.194524999999</v>
      </c>
      <c r="K2642" s="35" t="n">
        <v>0.065</v>
      </c>
    </row>
    <row r="2643">
      <c r="A2643" s="36" t="inlineStr">
        <is>
          <t>AGA SPK-tilskudd</t>
        </is>
      </c>
      <c r="B2643" s="36" t="inlineStr">
        <is>
          <t>Region Øst</t>
        </is>
      </c>
      <c r="C2643" s="36" t="inlineStr">
        <is>
          <t>Bufetats behandlingssenter Akershus_Østfold, avd Østlund</t>
        </is>
      </c>
      <c r="D2643" s="26" t="n"/>
      <c r="E2643" s="26" t="n"/>
      <c r="F2643" s="26" t="n"/>
      <c r="G2643" s="26" t="n"/>
      <c r="H2643" s="26" t="n"/>
      <c r="I2643" s="26" t="n">
        <v>75113</v>
      </c>
      <c r="J2643" s="19" t="n">
        <v>85195.04242499999</v>
      </c>
      <c r="K2643" s="37" t="n">
        <v>0.065</v>
      </c>
    </row>
    <row r="2644">
      <c r="A2644" s="34" t="inlineStr">
        <is>
          <t>AGA SPK-tilskudd</t>
        </is>
      </c>
      <c r="B2644" s="34" t="inlineStr">
        <is>
          <t>Region Øst</t>
        </is>
      </c>
      <c r="C2644" s="34" t="inlineStr">
        <is>
          <t>Bufetats behandlingssenter Akershus_Østfold, avd Østlund</t>
        </is>
      </c>
      <c r="D2644" s="18" t="n"/>
      <c r="E2644" s="18" t="n"/>
      <c r="F2644" s="18" t="n"/>
      <c r="G2644" s="18" t="n"/>
      <c r="H2644" s="18" t="n"/>
      <c r="I2644" s="18" t="n">
        <v>6274</v>
      </c>
      <c r="J2644" s="19" t="n">
        <v>7116.127649999999</v>
      </c>
      <c r="K2644" s="35" t="n">
        <v>0.065</v>
      </c>
    </row>
    <row r="2645">
      <c r="A2645" s="36" t="inlineStr">
        <is>
          <t>AGA SPK-tilskudd</t>
        </is>
      </c>
      <c r="B2645" s="36" t="inlineStr">
        <is>
          <t>Region Øst</t>
        </is>
      </c>
      <c r="C2645" s="36" t="inlineStr">
        <is>
          <t>Bufetats behandlingssenter Akershus_Østfold, avd Østlund</t>
        </is>
      </c>
      <c r="D2645" s="26" t="n"/>
      <c r="E2645" s="26" t="n"/>
      <c r="F2645" s="26" t="n"/>
      <c r="G2645" s="26" t="n"/>
      <c r="H2645" s="26" t="n"/>
      <c r="I2645" s="26" t="n">
        <v>10397</v>
      </c>
      <c r="J2645" s="19" t="n">
        <v>11792.537325</v>
      </c>
      <c r="K2645" s="37" t="n">
        <v>0.065</v>
      </c>
    </row>
    <row r="2646">
      <c r="A2646" s="34" t="inlineStr">
        <is>
          <t>AGA SPK-tilskudd</t>
        </is>
      </c>
      <c r="B2646" s="34" t="inlineStr">
        <is>
          <t>Region Øst</t>
        </is>
      </c>
      <c r="C2646" s="34" t="inlineStr">
        <is>
          <t>Bufetats behandlingssenter Akershus_Østfold, avd Østlund</t>
        </is>
      </c>
      <c r="D2646" s="18" t="n"/>
      <c r="E2646" s="18" t="n"/>
      <c r="F2646" s="18" t="n"/>
      <c r="G2646" s="18" t="n"/>
      <c r="H2646" s="18" t="n"/>
      <c r="I2646" s="18" t="n">
        <v>1540</v>
      </c>
      <c r="J2646" s="19" t="n">
        <v>1746.7065</v>
      </c>
      <c r="K2646" s="35" t="n">
        <v>0.065</v>
      </c>
    </row>
    <row r="2647">
      <c r="A2647" s="36" t="inlineStr">
        <is>
          <t>AGA SPK-tilskudd</t>
        </is>
      </c>
      <c r="B2647" s="36" t="inlineStr">
        <is>
          <t>Region Øst</t>
        </is>
      </c>
      <c r="C2647" s="36" t="inlineStr">
        <is>
          <t>Bufetats behandlingssenter Akershus_Østfold, avd Østlund</t>
        </is>
      </c>
      <c r="D2647" s="26" t="n"/>
      <c r="E2647" s="26" t="n"/>
      <c r="F2647" s="26" t="n"/>
      <c r="G2647" s="26" t="n"/>
      <c r="H2647" s="26" t="n"/>
      <c r="I2647" s="26" t="n">
        <v>4214</v>
      </c>
      <c r="J2647" s="19" t="n">
        <v>4779.62415</v>
      </c>
      <c r="K2647" s="37" t="n">
        <v>0.065</v>
      </c>
    </row>
    <row r="2648">
      <c r="A2648" s="34" t="inlineStr">
        <is>
          <t>AGA SPK-tilskudd</t>
        </is>
      </c>
      <c r="B2648" s="34" t="inlineStr">
        <is>
          <t>Region Øst</t>
        </is>
      </c>
      <c r="C2648" s="34" t="inlineStr">
        <is>
          <t>Bufetats behandlingssenter Akershus_Østfold, avd Østlund</t>
        </is>
      </c>
      <c r="D2648" s="18" t="n"/>
      <c r="E2648" s="18" t="n"/>
      <c r="F2648" s="18" t="n"/>
      <c r="G2648" s="18" t="n"/>
      <c r="H2648" s="18" t="n"/>
      <c r="I2648" s="18" t="n">
        <v>4307</v>
      </c>
      <c r="J2648" s="19" t="n">
        <v>4885.107074999999</v>
      </c>
      <c r="K2648" s="35" t="n">
        <v>0.065</v>
      </c>
    </row>
    <row r="2649">
      <c r="A2649" s="36" t="inlineStr">
        <is>
          <t>AGA SPK-tilskudd</t>
        </is>
      </c>
      <c r="B2649" s="36" t="inlineStr">
        <is>
          <t>Region Øst</t>
        </is>
      </c>
      <c r="C2649" s="36" t="inlineStr">
        <is>
          <t>Bufetats behandlingssenter Akershus_Østfold, avd Østlund</t>
        </is>
      </c>
      <c r="D2649" s="26" t="n"/>
      <c r="E2649" s="26" t="n"/>
      <c r="F2649" s="26" t="n"/>
      <c r="G2649" s="26" t="n"/>
      <c r="H2649" s="26" t="n"/>
      <c r="I2649" s="26" t="n">
        <v>-32380</v>
      </c>
      <c r="J2649" s="19" t="n">
        <v>-36726.2055</v>
      </c>
      <c r="K2649" s="37" t="n">
        <v>0.065</v>
      </c>
    </row>
    <row r="2650">
      <c r="A2650" s="34" t="inlineStr">
        <is>
          <t>AGA SPK-tilskudd</t>
        </is>
      </c>
      <c r="B2650" s="34" t="inlineStr">
        <is>
          <t>Region Øst</t>
        </is>
      </c>
      <c r="C2650" s="34" t="inlineStr">
        <is>
          <t>Bufetats behandlingssenter Akershus_Østfold, avd Østlund</t>
        </is>
      </c>
      <c r="D2650" s="18" t="n"/>
      <c r="E2650" s="18" t="n"/>
      <c r="F2650" s="18" t="n"/>
      <c r="G2650" s="18" t="n"/>
      <c r="H2650" s="18" t="n"/>
      <c r="I2650" s="18" t="n">
        <v>-551643</v>
      </c>
      <c r="J2650" s="19" t="n">
        <v>-625687.2816749999</v>
      </c>
      <c r="K2650" s="35" t="n">
        <v>0.065</v>
      </c>
    </row>
    <row r="2651">
      <c r="A2651" s="36" t="inlineStr">
        <is>
          <t>AGA SPK-tilskudd</t>
        </is>
      </c>
      <c r="B2651" s="36" t="inlineStr">
        <is>
          <t>Region Øst</t>
        </is>
      </c>
      <c r="C2651" s="36" t="inlineStr">
        <is>
          <t>Bufetats enhet for godkjenning av barneverninstitusjoner</t>
        </is>
      </c>
      <c r="D2651" s="26" t="n"/>
      <c r="E2651" s="26" t="n"/>
      <c r="F2651" s="26" t="n">
        <v>97432</v>
      </c>
      <c r="G2651" s="26" t="n">
        <v>104568</v>
      </c>
      <c r="H2651" s="26" t="n"/>
      <c r="I2651" s="26" t="n"/>
      <c r="J2651" s="19" t="n">
        <v>0</v>
      </c>
      <c r="K2651" s="37" t="n">
        <v>0.065</v>
      </c>
    </row>
    <row r="2652">
      <c r="A2652" s="34" t="inlineStr">
        <is>
          <t>AGA SPK-tilskudd</t>
        </is>
      </c>
      <c r="B2652" s="34" t="inlineStr">
        <is>
          <t>Region Øst</t>
        </is>
      </c>
      <c r="C2652" s="34" t="inlineStr">
        <is>
          <t>Bufetats enhet for godkjenning av barneverninstitusjoner</t>
        </is>
      </c>
      <c r="D2652" s="18" t="n"/>
      <c r="E2652" s="18" t="n"/>
      <c r="F2652" s="18" t="n">
        <v>673863</v>
      </c>
      <c r="G2652" s="18" t="n">
        <v>961720</v>
      </c>
      <c r="H2652" s="18" t="n">
        <v>-31945</v>
      </c>
      <c r="I2652" s="18" t="n"/>
      <c r="J2652" s="19" t="n">
        <v>0</v>
      </c>
      <c r="K2652" s="35" t="n">
        <v>0.065</v>
      </c>
    </row>
    <row r="2653">
      <c r="A2653" s="36" t="inlineStr">
        <is>
          <t>AGA SPK-tilskudd</t>
        </is>
      </c>
      <c r="B2653" s="36" t="inlineStr">
        <is>
          <t>Region Øst</t>
        </is>
      </c>
      <c r="C2653" s="36" t="inlineStr">
        <is>
          <t>Bufetats enhet for godkjenning av barneverninstitusjoner</t>
        </is>
      </c>
      <c r="D2653" s="26" t="n"/>
      <c r="E2653" s="26" t="n"/>
      <c r="F2653" s="26" t="n">
        <v>12577</v>
      </c>
      <c r="G2653" s="26" t="n">
        <v>17523</v>
      </c>
      <c r="H2653" s="26" t="n"/>
      <c r="I2653" s="26" t="n"/>
      <c r="J2653" s="19" t="n">
        <v>0</v>
      </c>
      <c r="K2653" s="37" t="n">
        <v>0.065</v>
      </c>
    </row>
    <row r="2654">
      <c r="A2654" s="34" t="inlineStr">
        <is>
          <t>AGA SPK-tilskudd</t>
        </is>
      </c>
      <c r="B2654" s="34" t="inlineStr">
        <is>
          <t>Region Øst</t>
        </is>
      </c>
      <c r="C2654" s="34" t="inlineStr">
        <is>
          <t>Bufetats enhet for godkjenning av barneverninstitusjoner</t>
        </is>
      </c>
      <c r="D2654" s="18" t="n"/>
      <c r="E2654" s="18" t="n"/>
      <c r="F2654" s="18" t="n">
        <v>26526</v>
      </c>
      <c r="G2654" s="18" t="n">
        <v>24015</v>
      </c>
      <c r="H2654" s="18" t="n"/>
      <c r="I2654" s="18" t="n"/>
      <c r="J2654" s="19" t="n">
        <v>0</v>
      </c>
      <c r="K2654" s="35" t="n">
        <v>0.065</v>
      </c>
    </row>
    <row r="2655">
      <c r="A2655" s="36" t="inlineStr">
        <is>
          <t>AGA SPK-tilskudd</t>
        </is>
      </c>
      <c r="B2655" s="36" t="inlineStr">
        <is>
          <t>Region Øst</t>
        </is>
      </c>
      <c r="C2655" s="36" t="inlineStr">
        <is>
          <t>Bufetats enhet for godkjenning av barneverninstitusjoner</t>
        </is>
      </c>
      <c r="D2655" s="26" t="n"/>
      <c r="E2655" s="26" t="n"/>
      <c r="F2655" s="26" t="n">
        <v>123395</v>
      </c>
      <c r="G2655" s="26" t="n">
        <v>131816</v>
      </c>
      <c r="H2655" s="26" t="n"/>
      <c r="I2655" s="26" t="n"/>
      <c r="J2655" s="19" t="n">
        <v>0</v>
      </c>
      <c r="K2655" s="37" t="n">
        <v>0.065</v>
      </c>
    </row>
    <row r="2656">
      <c r="A2656" s="34" t="inlineStr">
        <is>
          <t>AGA SPK-tilskudd</t>
        </is>
      </c>
      <c r="B2656" s="34" t="inlineStr">
        <is>
          <t>Region Øst</t>
        </is>
      </c>
      <c r="C2656" s="34" t="inlineStr">
        <is>
          <t>Bufetats enhet for godkjenning av barneverninstitusjoner</t>
        </is>
      </c>
      <c r="D2656" s="18" t="n"/>
      <c r="E2656" s="18" t="n"/>
      <c r="F2656" s="18" t="n">
        <v>579</v>
      </c>
      <c r="G2656" s="18" t="n">
        <v>12976</v>
      </c>
      <c r="H2656" s="18" t="n"/>
      <c r="I2656" s="18" t="n"/>
      <c r="J2656" s="19" t="n">
        <v>0</v>
      </c>
      <c r="K2656" s="35" t="n">
        <v>0.065</v>
      </c>
    </row>
    <row r="2657">
      <c r="A2657" s="36" t="inlineStr">
        <is>
          <t>AGA SPK-tilskudd</t>
        </is>
      </c>
      <c r="B2657" s="36" t="inlineStr">
        <is>
          <t>Region Øst</t>
        </is>
      </c>
      <c r="C2657" s="36" t="inlineStr">
        <is>
          <t>Bufetats enhet for godkjenning av barneverninstitusjoner</t>
        </is>
      </c>
      <c r="D2657" s="26" t="n"/>
      <c r="E2657" s="26" t="n"/>
      <c r="F2657" s="26" t="n">
        <v>6735</v>
      </c>
      <c r="G2657" s="26" t="n">
        <v>6641</v>
      </c>
      <c r="H2657" s="26" t="n"/>
      <c r="I2657" s="26" t="n"/>
      <c r="J2657" s="19" t="n">
        <v>0</v>
      </c>
      <c r="K2657" s="37" t="n">
        <v>0.065</v>
      </c>
    </row>
    <row r="2658">
      <c r="A2658" s="34" t="inlineStr">
        <is>
          <t>AGA SPK-tilskudd</t>
        </is>
      </c>
      <c r="B2658" s="34" t="inlineStr">
        <is>
          <t>Region Øst</t>
        </is>
      </c>
      <c r="C2658" s="34" t="inlineStr">
        <is>
          <t>Bufetats enhet for godkjenning av barneverninstitusjoner</t>
        </is>
      </c>
      <c r="D2658" s="18" t="n"/>
      <c r="E2658" s="18" t="n"/>
      <c r="F2658" s="18" t="n">
        <v>39650</v>
      </c>
      <c r="G2658" s="18" t="n">
        <v>47841</v>
      </c>
      <c r="H2658" s="18" t="n"/>
      <c r="I2658" s="18" t="n"/>
      <c r="J2658" s="19" t="n">
        <v>0</v>
      </c>
      <c r="K2658" s="35" t="n">
        <v>0.065</v>
      </c>
    </row>
    <row r="2659">
      <c r="A2659" s="36" t="inlineStr">
        <is>
          <t>AGA SPK-tilskudd</t>
        </is>
      </c>
      <c r="B2659" s="36" t="inlineStr">
        <is>
          <t>Region Øst</t>
        </is>
      </c>
      <c r="C2659" s="36" t="inlineStr">
        <is>
          <t>Bufetats enhet for godkjenning av barneverninstitusjoner</t>
        </is>
      </c>
      <c r="D2659" s="26" t="n"/>
      <c r="E2659" s="26" t="n"/>
      <c r="F2659" s="26" t="n"/>
      <c r="G2659" s="26" t="n">
        <v>6190</v>
      </c>
      <c r="H2659" s="26" t="n"/>
      <c r="I2659" s="26" t="n"/>
      <c r="J2659" s="19" t="n">
        <v>0</v>
      </c>
      <c r="K2659" s="37" t="n">
        <v>0.065</v>
      </c>
    </row>
    <row r="2660">
      <c r="A2660" s="34" t="inlineStr">
        <is>
          <t>AGA SPK-tilskudd</t>
        </is>
      </c>
      <c r="B2660" s="34" t="inlineStr">
        <is>
          <t>Region Øst</t>
        </is>
      </c>
      <c r="C2660" s="34" t="inlineStr">
        <is>
          <t>Bufetats enhet for godkjenning av barneverninstitusjoner</t>
        </is>
      </c>
      <c r="D2660" s="18" t="n"/>
      <c r="E2660" s="18" t="n"/>
      <c r="F2660" s="18" t="n"/>
      <c r="G2660" s="18" t="n">
        <v>2278</v>
      </c>
      <c r="H2660" s="18" t="n"/>
      <c r="I2660" s="18" t="n"/>
      <c r="J2660" s="19" t="n">
        <v>0</v>
      </c>
      <c r="K2660" s="35" t="n">
        <v>0.065</v>
      </c>
    </row>
    <row r="2661">
      <c r="A2661" s="36" t="inlineStr">
        <is>
          <t>AGA SPK-tilskudd</t>
        </is>
      </c>
      <c r="B2661" s="36" t="inlineStr">
        <is>
          <t>Region Øst</t>
        </is>
      </c>
      <c r="C2661" s="36" t="inlineStr">
        <is>
          <t>Bufetats enhet for godkjenning av barneverninstitusjoner</t>
        </is>
      </c>
      <c r="D2661" s="26" t="n"/>
      <c r="E2661" s="26" t="n"/>
      <c r="F2661" s="26" t="n">
        <v>-2400</v>
      </c>
      <c r="G2661" s="26" t="n">
        <v>-2302</v>
      </c>
      <c r="H2661" s="26" t="n"/>
      <c r="I2661" s="26" t="n"/>
      <c r="J2661" s="19" t="n">
        <v>0</v>
      </c>
      <c r="K2661" s="37" t="n">
        <v>0.065</v>
      </c>
    </row>
    <row r="2662">
      <c r="A2662" s="34" t="inlineStr">
        <is>
          <t>AGA SPK-tilskudd</t>
        </is>
      </c>
      <c r="B2662" s="34" t="inlineStr">
        <is>
          <t>Region Øst</t>
        </is>
      </c>
      <c r="C2662" s="34" t="inlineStr">
        <is>
          <t>Bufetats enhet for godkjenning av barneverninstitusjoner</t>
        </is>
      </c>
      <c r="D2662" s="18" t="n"/>
      <c r="E2662" s="18" t="n"/>
      <c r="F2662" s="18" t="n">
        <v>-125846</v>
      </c>
      <c r="G2662" s="18" t="n">
        <v>-56821</v>
      </c>
      <c r="H2662" s="18" t="n"/>
      <c r="I2662" s="18" t="n"/>
      <c r="J2662" s="19" t="n">
        <v>0</v>
      </c>
      <c r="K2662" s="35" t="n">
        <v>0.065</v>
      </c>
    </row>
    <row r="2663">
      <c r="A2663" s="36" t="inlineStr">
        <is>
          <t>AGA SPK-tilskudd</t>
        </is>
      </c>
      <c r="B2663" s="36" t="inlineStr">
        <is>
          <t>Region Øst</t>
        </is>
      </c>
      <c r="C2663" s="36" t="inlineStr">
        <is>
          <t>Enhet for Inntak avd. Oppland</t>
        </is>
      </c>
      <c r="D2663" s="26" t="n"/>
      <c r="E2663" s="26" t="n"/>
      <c r="F2663" s="26" t="n">
        <v>-8247</v>
      </c>
      <c r="G2663" s="26" t="n"/>
      <c r="H2663" s="26" t="n"/>
      <c r="I2663" s="26" t="n"/>
      <c r="J2663" s="19" t="n">
        <v>0</v>
      </c>
      <c r="K2663" s="37" t="n">
        <v>0.065</v>
      </c>
    </row>
    <row r="2664">
      <c r="A2664" s="34" t="inlineStr">
        <is>
          <t>AGA SPK-tilskudd</t>
        </is>
      </c>
      <c r="B2664" s="34" t="inlineStr">
        <is>
          <t>Region Øst</t>
        </is>
      </c>
      <c r="C2664" s="34" t="inlineStr">
        <is>
          <t>Enhet for Inntak avd. Oppland</t>
        </is>
      </c>
      <c r="D2664" s="18" t="n"/>
      <c r="E2664" s="18" t="n">
        <v>1685</v>
      </c>
      <c r="F2664" s="18" t="n"/>
      <c r="G2664" s="18" t="n"/>
      <c r="H2664" s="18" t="n"/>
      <c r="I2664" s="18" t="n"/>
      <c r="J2664" s="19" t="n">
        <v>0</v>
      </c>
      <c r="K2664" s="35" t="n">
        <v>0.065</v>
      </c>
    </row>
    <row r="2665">
      <c r="A2665" s="36" t="inlineStr">
        <is>
          <t>AGA SPK-tilskudd</t>
        </is>
      </c>
      <c r="B2665" s="36" t="inlineStr">
        <is>
          <t>Region Øst</t>
        </is>
      </c>
      <c r="C2665" s="36" t="inlineStr">
        <is>
          <t>Enhet for Inntak avd. Oppland</t>
        </is>
      </c>
      <c r="D2665" s="26" t="n"/>
      <c r="E2665" s="26" t="n"/>
      <c r="F2665" s="26" t="n">
        <v>1252</v>
      </c>
      <c r="G2665" s="26" t="n"/>
      <c r="H2665" s="26" t="n"/>
      <c r="I2665" s="26" t="n"/>
      <c r="J2665" s="19" t="n">
        <v>0</v>
      </c>
      <c r="K2665" s="37" t="n">
        <v>0.065</v>
      </c>
    </row>
    <row r="2666">
      <c r="A2666" s="34" t="inlineStr">
        <is>
          <t>AGA SPK-tilskudd</t>
        </is>
      </c>
      <c r="B2666" s="34" t="inlineStr">
        <is>
          <t>Region Øst</t>
        </is>
      </c>
      <c r="C2666" s="34" t="inlineStr">
        <is>
          <t>Enhet for inntak Bufetat region øst, adm</t>
        </is>
      </c>
      <c r="D2666" s="18" t="n"/>
      <c r="E2666" s="18" t="n"/>
      <c r="F2666" s="18" t="n">
        <v>-4691</v>
      </c>
      <c r="G2666" s="18" t="n"/>
      <c r="H2666" s="18" t="n"/>
      <c r="I2666" s="18" t="n"/>
      <c r="J2666" s="19" t="n">
        <v>0</v>
      </c>
      <c r="K2666" s="35" t="n">
        <v>0.065</v>
      </c>
    </row>
    <row r="2667">
      <c r="A2667" s="36" t="inlineStr">
        <is>
          <t>AGA SPK-tilskudd</t>
        </is>
      </c>
      <c r="B2667" s="36" t="inlineStr">
        <is>
          <t>Region Øst</t>
        </is>
      </c>
      <c r="C2667" s="36" t="inlineStr">
        <is>
          <t>Enhet for inntak Bufetat region øst, avdeling Akershus F1</t>
        </is>
      </c>
      <c r="D2667" s="26" t="n"/>
      <c r="E2667" s="26" t="n"/>
      <c r="F2667" s="26" t="n">
        <v>-26406</v>
      </c>
      <c r="G2667" s="26" t="n"/>
      <c r="H2667" s="26" t="n"/>
      <c r="I2667" s="26" t="n"/>
      <c r="J2667" s="19" t="n">
        <v>0</v>
      </c>
      <c r="K2667" s="37" t="n">
        <v>0.065</v>
      </c>
    </row>
    <row r="2668">
      <c r="A2668" s="34" t="inlineStr">
        <is>
          <t>AGA SPK-tilskudd</t>
        </is>
      </c>
      <c r="B2668" s="34" t="inlineStr">
        <is>
          <t>Region Øst</t>
        </is>
      </c>
      <c r="C2668" s="34" t="inlineStr">
        <is>
          <t>Enhet for inntak Bufetat region øst, avdeling Østfold F1</t>
        </is>
      </c>
      <c r="D2668" s="18" t="n"/>
      <c r="E2668" s="18" t="n"/>
      <c r="F2668" s="18" t="n">
        <v>-15220</v>
      </c>
      <c r="G2668" s="18" t="n"/>
      <c r="H2668" s="18" t="n"/>
      <c r="I2668" s="18" t="n"/>
      <c r="J2668" s="19" t="n">
        <v>0</v>
      </c>
      <c r="K2668" s="35" t="n">
        <v>0.065</v>
      </c>
    </row>
    <row r="2669">
      <c r="A2669" s="36" t="inlineStr">
        <is>
          <t>AGA SPK-tilskudd</t>
        </is>
      </c>
      <c r="B2669" s="36" t="inlineStr">
        <is>
          <t>Region Øst</t>
        </is>
      </c>
      <c r="C2669" s="36" t="inlineStr">
        <is>
          <t>Enhet for inntak Bufetat region øst, avdeling Østfold F1</t>
        </is>
      </c>
      <c r="D2669" s="26" t="n"/>
      <c r="E2669" s="26" t="n"/>
      <c r="F2669" s="26" t="n"/>
      <c r="G2669" s="26" t="n"/>
      <c r="H2669" s="26" t="n">
        <v>295</v>
      </c>
      <c r="I2669" s="26" t="n"/>
      <c r="J2669" s="19" t="n">
        <v>0</v>
      </c>
      <c r="K2669" s="37" t="n">
        <v>0.065</v>
      </c>
    </row>
    <row r="2670">
      <c r="A2670" s="34" t="inlineStr">
        <is>
          <t>AGA SPK-tilskudd</t>
        </is>
      </c>
      <c r="B2670" s="34" t="inlineStr">
        <is>
          <t>Region Øst</t>
        </is>
      </c>
      <c r="C2670" s="34" t="inlineStr">
        <is>
          <t>Enhet for psykologressurser EMA</t>
        </is>
      </c>
      <c r="D2670" s="18" t="n">
        <v>122737</v>
      </c>
      <c r="E2670" s="18" t="n">
        <v>99821</v>
      </c>
      <c r="F2670" s="18" t="n">
        <v>84336</v>
      </c>
      <c r="G2670" s="18" t="n">
        <v>95157</v>
      </c>
      <c r="H2670" s="18" t="n">
        <v>95835</v>
      </c>
      <c r="I2670" s="18" t="n">
        <v>1006</v>
      </c>
      <c r="J2670" s="19" t="n">
        <v>565.875</v>
      </c>
      <c r="K2670" s="35" t="n">
        <v>-0.25</v>
      </c>
    </row>
    <row r="2671">
      <c r="A2671" s="36" t="inlineStr">
        <is>
          <t>AGA SPK-tilskudd</t>
        </is>
      </c>
      <c r="B2671" s="36" t="inlineStr">
        <is>
          <t>Region Øst</t>
        </is>
      </c>
      <c r="C2671" s="36" t="inlineStr">
        <is>
          <t>Enhet for psykologressurser EMA</t>
        </is>
      </c>
      <c r="D2671" s="26" t="n">
        <v>82007</v>
      </c>
      <c r="E2671" s="26" t="n">
        <v>52347</v>
      </c>
      <c r="F2671" s="26" t="n">
        <v>47831</v>
      </c>
      <c r="G2671" s="26" t="n">
        <v>32149</v>
      </c>
      <c r="H2671" s="26" t="n">
        <v>20092</v>
      </c>
      <c r="I2671" s="26" t="n">
        <v>-7687</v>
      </c>
      <c r="J2671" s="19" t="n">
        <v>-8718.787574999998</v>
      </c>
      <c r="K2671" s="37" t="n">
        <v>0.065</v>
      </c>
    </row>
    <row r="2672">
      <c r="A2672" s="34" t="inlineStr">
        <is>
          <t>AGA SPK-tilskudd</t>
        </is>
      </c>
      <c r="B2672" s="34" t="inlineStr">
        <is>
          <t>Region Øst</t>
        </is>
      </c>
      <c r="C2672" s="34" t="inlineStr">
        <is>
          <t>Enhet for psykologressurser EMA</t>
        </is>
      </c>
      <c r="D2672" s="18" t="n">
        <v>11700</v>
      </c>
      <c r="E2672" s="18" t="n">
        <v>10593</v>
      </c>
      <c r="F2672" s="18" t="n">
        <v>12613</v>
      </c>
      <c r="G2672" s="18" t="n">
        <v>18333</v>
      </c>
      <c r="H2672" s="18" t="n">
        <v>19258</v>
      </c>
      <c r="I2672" s="18" t="n">
        <v>-1429</v>
      </c>
      <c r="J2672" s="19" t="n">
        <v>-1620.807525</v>
      </c>
      <c r="K2672" s="35" t="n">
        <v>0.065</v>
      </c>
    </row>
    <row r="2673">
      <c r="A2673" s="36" t="inlineStr">
        <is>
          <t>AGA SPK-tilskudd</t>
        </is>
      </c>
      <c r="B2673" s="36" t="inlineStr">
        <is>
          <t>Region Øst</t>
        </is>
      </c>
      <c r="C2673" s="36" t="inlineStr">
        <is>
          <t>Enhet for psykologressurser EMA</t>
        </is>
      </c>
      <c r="D2673" s="26" t="n">
        <v>33880</v>
      </c>
      <c r="E2673" s="26" t="n">
        <v>40219</v>
      </c>
      <c r="F2673" s="26" t="n">
        <v>28878</v>
      </c>
      <c r="G2673" s="26" t="n">
        <v>109171</v>
      </c>
      <c r="H2673" s="26" t="n">
        <v>109737</v>
      </c>
      <c r="I2673" s="26" t="n"/>
      <c r="J2673" s="19" t="n">
        <v>0</v>
      </c>
      <c r="K2673" s="37" t="n">
        <v>0.065</v>
      </c>
    </row>
    <row r="2674">
      <c r="A2674" s="34" t="inlineStr">
        <is>
          <t>AGA SPK-tilskudd</t>
        </is>
      </c>
      <c r="B2674" s="34" t="inlineStr">
        <is>
          <t>Region Øst</t>
        </is>
      </c>
      <c r="C2674" s="34" t="inlineStr">
        <is>
          <t>Enhet for psykologressurser EMA</t>
        </is>
      </c>
      <c r="D2674" s="18" t="n">
        <v>30604</v>
      </c>
      <c r="E2674" s="18" t="n">
        <v>35528</v>
      </c>
      <c r="F2674" s="18" t="n">
        <v>59405</v>
      </c>
      <c r="G2674" s="18" t="n">
        <v>72446</v>
      </c>
      <c r="H2674" s="18" t="n">
        <v>69656</v>
      </c>
      <c r="I2674" s="18" t="n"/>
      <c r="J2674" s="19" t="n">
        <v>0</v>
      </c>
      <c r="K2674" s="35" t="n">
        <v>0.065</v>
      </c>
    </row>
    <row r="2675">
      <c r="A2675" s="36" t="inlineStr">
        <is>
          <t>AGA SPK-tilskudd</t>
        </is>
      </c>
      <c r="B2675" s="36" t="inlineStr">
        <is>
          <t>Region Øst</t>
        </is>
      </c>
      <c r="C2675" s="36" t="inlineStr">
        <is>
          <t>Enhet for psykologressurser EMA</t>
        </is>
      </c>
      <c r="D2675" s="26" t="n"/>
      <c r="E2675" s="26" t="n">
        <v>5898</v>
      </c>
      <c r="F2675" s="26" t="n">
        <v>2496</v>
      </c>
      <c r="G2675" s="26" t="n">
        <v>4985</v>
      </c>
      <c r="H2675" s="26" t="n">
        <v>6699</v>
      </c>
      <c r="I2675" s="26" t="n"/>
      <c r="J2675" s="19" t="n">
        <v>0</v>
      </c>
      <c r="K2675" s="37" t="n">
        <v>0.065</v>
      </c>
    </row>
    <row r="2676">
      <c r="A2676" s="34" t="inlineStr">
        <is>
          <t>AGA SPK-tilskudd</t>
        </is>
      </c>
      <c r="B2676" s="34" t="inlineStr">
        <is>
          <t>Region Øst</t>
        </is>
      </c>
      <c r="C2676" s="34" t="inlineStr">
        <is>
          <t>Enhet for psykologressurser EMA</t>
        </is>
      </c>
      <c r="D2676" s="18" t="n">
        <v>1471</v>
      </c>
      <c r="E2676" s="18" t="n">
        <v>10480</v>
      </c>
      <c r="F2676" s="18" t="n">
        <v>2162</v>
      </c>
      <c r="G2676" s="18" t="n">
        <v>1054</v>
      </c>
      <c r="H2676" s="18" t="n">
        <v>250</v>
      </c>
      <c r="I2676" s="18" t="n"/>
      <c r="J2676" s="19" t="n">
        <v>0</v>
      </c>
      <c r="K2676" s="35" t="n">
        <v>0.065</v>
      </c>
    </row>
    <row r="2677">
      <c r="A2677" s="36" t="inlineStr">
        <is>
          <t>AGA SPK-tilskudd</t>
        </is>
      </c>
      <c r="B2677" s="36" t="inlineStr">
        <is>
          <t>Region Øst</t>
        </is>
      </c>
      <c r="C2677" s="36" t="inlineStr">
        <is>
          <t>Enhet for psykologressurser EMA</t>
        </is>
      </c>
      <c r="D2677" s="26" t="n">
        <v>17515</v>
      </c>
      <c r="E2677" s="26" t="n">
        <v>21510</v>
      </c>
      <c r="F2677" s="26" t="n">
        <v>34765</v>
      </c>
      <c r="G2677" s="26" t="n">
        <v>67179</v>
      </c>
      <c r="H2677" s="26" t="n">
        <v>88896</v>
      </c>
      <c r="I2677" s="26" t="n"/>
      <c r="J2677" s="19" t="n">
        <v>0</v>
      </c>
      <c r="K2677" s="37" t="n">
        <v>0.065</v>
      </c>
    </row>
    <row r="2678">
      <c r="A2678" s="34" t="inlineStr">
        <is>
          <t>AGA SPK-tilskudd</t>
        </is>
      </c>
      <c r="B2678" s="34" t="inlineStr">
        <is>
          <t>Region Øst</t>
        </is>
      </c>
      <c r="C2678" s="34" t="inlineStr">
        <is>
          <t>Enhet for psykologressurser EMA</t>
        </is>
      </c>
      <c r="D2678" s="18" t="n"/>
      <c r="E2678" s="18" t="n">
        <v>5690</v>
      </c>
      <c r="F2678" s="18" t="n">
        <v>11691</v>
      </c>
      <c r="G2678" s="18" t="n">
        <v>5823</v>
      </c>
      <c r="H2678" s="18" t="n"/>
      <c r="I2678" s="18" t="n"/>
      <c r="J2678" s="19" t="n">
        <v>0</v>
      </c>
      <c r="K2678" s="35" t="n">
        <v>0.065</v>
      </c>
    </row>
    <row r="2679">
      <c r="A2679" s="36" t="inlineStr">
        <is>
          <t>AGA SPK-tilskudd</t>
        </is>
      </c>
      <c r="B2679" s="36" t="inlineStr">
        <is>
          <t>Region Øst</t>
        </is>
      </c>
      <c r="C2679" s="36" t="inlineStr">
        <is>
          <t>Enhet for psykologressurser EMA</t>
        </is>
      </c>
      <c r="D2679" s="26" t="n"/>
      <c r="E2679" s="26" t="n">
        <v>778</v>
      </c>
      <c r="F2679" s="26" t="n"/>
      <c r="G2679" s="26" t="n"/>
      <c r="H2679" s="26" t="n"/>
      <c r="I2679" s="26" t="n"/>
      <c r="J2679" s="19" t="n">
        <v>0</v>
      </c>
      <c r="K2679" s="37" t="n">
        <v>0.065</v>
      </c>
    </row>
    <row r="2680">
      <c r="A2680" s="34" t="inlineStr">
        <is>
          <t>AGA SPK-tilskudd</t>
        </is>
      </c>
      <c r="B2680" s="34" t="inlineStr">
        <is>
          <t>Region Øst</t>
        </is>
      </c>
      <c r="C2680" s="34" t="inlineStr">
        <is>
          <t>Enhet for psykologressurser EMA</t>
        </is>
      </c>
      <c r="D2680" s="18" t="n">
        <v>-740416</v>
      </c>
      <c r="E2680" s="18" t="n">
        <v>-65839</v>
      </c>
      <c r="F2680" s="18" t="n">
        <v>-773325</v>
      </c>
      <c r="G2680" s="18" t="n">
        <v>-851727</v>
      </c>
      <c r="H2680" s="18" t="n">
        <v>-100922</v>
      </c>
      <c r="I2680" s="18" t="n"/>
      <c r="J2680" s="19" t="n">
        <v>0</v>
      </c>
      <c r="K2680" s="35" t="n">
        <v>0.065</v>
      </c>
    </row>
    <row r="2681">
      <c r="A2681" s="36" t="inlineStr">
        <is>
          <t>AGA SPK-tilskudd</t>
        </is>
      </c>
      <c r="B2681" s="36" t="inlineStr">
        <is>
          <t>Region Øst</t>
        </is>
      </c>
      <c r="C2681" s="36" t="inlineStr">
        <is>
          <t>Enhet for psykologressurser EMA</t>
        </is>
      </c>
      <c r="D2681" s="26" t="n">
        <v>-325178</v>
      </c>
      <c r="E2681" s="26" t="n">
        <v>-285582</v>
      </c>
      <c r="F2681" s="26" t="n">
        <v>-1201968</v>
      </c>
      <c r="G2681" s="26" t="n">
        <v>-352481</v>
      </c>
      <c r="H2681" s="26" t="n">
        <v>-140683</v>
      </c>
      <c r="I2681" s="26" t="n"/>
      <c r="J2681" s="19" t="n">
        <v>0</v>
      </c>
      <c r="K2681" s="37" t="n">
        <v>0.065</v>
      </c>
    </row>
    <row r="2682">
      <c r="A2682" s="34" t="inlineStr">
        <is>
          <t>AGA SPK-tilskudd</t>
        </is>
      </c>
      <c r="B2682" s="34" t="inlineStr">
        <is>
          <t>Region Øst</t>
        </is>
      </c>
      <c r="C2682" s="34" t="inlineStr">
        <is>
          <t>Enhet for spesialiserte fosterhjem - region Øst</t>
        </is>
      </c>
      <c r="D2682" s="18" t="n"/>
      <c r="E2682" s="18" t="n"/>
      <c r="F2682" s="18" t="n"/>
      <c r="G2682" s="18" t="n"/>
      <c r="H2682" s="18" t="n"/>
      <c r="I2682" s="18" t="n">
        <v>69768</v>
      </c>
      <c r="J2682" s="19" t="n">
        <v>79132.60979999999</v>
      </c>
      <c r="K2682" s="35" t="n">
        <v>0.065</v>
      </c>
    </row>
    <row r="2683">
      <c r="A2683" s="36" t="inlineStr">
        <is>
          <t>AGA SPK-tilskudd</t>
        </is>
      </c>
      <c r="B2683" s="36" t="inlineStr">
        <is>
          <t>Region Øst</t>
        </is>
      </c>
      <c r="C2683" s="36" t="inlineStr">
        <is>
          <t>Enhet for tjenestestøtte</t>
        </is>
      </c>
      <c r="D2683" s="26" t="n"/>
      <c r="E2683" s="26" t="n"/>
      <c r="F2683" s="26" t="n"/>
      <c r="G2683" s="26" t="n"/>
      <c r="H2683" s="26" t="n"/>
      <c r="I2683" s="26" t="n">
        <v>114563</v>
      </c>
      <c r="J2683" s="19" t="n">
        <v>129940.218675</v>
      </c>
      <c r="K2683" s="37" t="n">
        <v>0.065</v>
      </c>
    </row>
    <row r="2684">
      <c r="A2684" s="34" t="inlineStr">
        <is>
          <t>AGA SPK-tilskudd</t>
        </is>
      </c>
      <c r="B2684" s="34" t="inlineStr">
        <is>
          <t>Region Øst</t>
        </is>
      </c>
      <c r="C2684" s="34" t="inlineStr">
        <is>
          <t>Enhet for tjenestestøtte</t>
        </is>
      </c>
      <c r="D2684" s="18" t="n"/>
      <c r="E2684" s="18" t="n"/>
      <c r="F2684" s="18" t="n"/>
      <c r="G2684" s="18" t="n"/>
      <c r="H2684" s="18" t="n"/>
      <c r="I2684" s="18" t="n">
        <v>147315</v>
      </c>
      <c r="J2684" s="19" t="n">
        <v>167088.355875</v>
      </c>
      <c r="K2684" s="35" t="n">
        <v>0.065</v>
      </c>
    </row>
    <row r="2685">
      <c r="A2685" s="36" t="inlineStr">
        <is>
          <t>AGA SPK-tilskudd</t>
        </is>
      </c>
      <c r="B2685" s="36" t="inlineStr">
        <is>
          <t>Region Øst</t>
        </is>
      </c>
      <c r="C2685" s="36" t="inlineStr">
        <is>
          <t>Enhet for tjenestestøtte</t>
        </is>
      </c>
      <c r="D2685" s="26" t="n"/>
      <c r="E2685" s="26" t="n"/>
      <c r="F2685" s="26" t="n"/>
      <c r="G2685" s="26" t="n"/>
      <c r="H2685" s="26" t="n"/>
      <c r="I2685" s="26" t="n">
        <v>24417</v>
      </c>
      <c r="J2685" s="19" t="n">
        <v>27694.37182499999</v>
      </c>
      <c r="K2685" s="37" t="n">
        <v>0.065</v>
      </c>
    </row>
    <row r="2686">
      <c r="A2686" s="34" t="inlineStr">
        <is>
          <t>AGA SPK-tilskudd</t>
        </is>
      </c>
      <c r="B2686" s="34" t="inlineStr">
        <is>
          <t>Region Øst</t>
        </is>
      </c>
      <c r="C2686" s="34" t="inlineStr">
        <is>
          <t>Enhet for tjenestestøtte</t>
        </is>
      </c>
      <c r="D2686" s="18" t="n"/>
      <c r="E2686" s="18" t="n"/>
      <c r="F2686" s="18" t="n"/>
      <c r="G2686" s="18" t="n"/>
      <c r="H2686" s="18" t="n"/>
      <c r="I2686" s="18" t="n">
        <v>81830</v>
      </c>
      <c r="J2686" s="19" t="n">
        <v>92813.63174999999</v>
      </c>
      <c r="K2686" s="35" t="n">
        <v>0.065</v>
      </c>
    </row>
    <row r="2687">
      <c r="A2687" s="36" t="inlineStr">
        <is>
          <t>AGA SPK-tilskudd</t>
        </is>
      </c>
      <c r="B2687" s="36" t="inlineStr">
        <is>
          <t>Region Øst</t>
        </is>
      </c>
      <c r="C2687" s="36" t="inlineStr">
        <is>
          <t>Enhet for tjenestestøtte</t>
        </is>
      </c>
      <c r="D2687" s="26" t="n"/>
      <c r="E2687" s="26" t="n"/>
      <c r="F2687" s="26" t="n"/>
      <c r="G2687" s="26" t="n"/>
      <c r="H2687" s="26" t="n"/>
      <c r="I2687" s="26" t="n">
        <v>58285</v>
      </c>
      <c r="J2687" s="19" t="n">
        <v>66108.304125</v>
      </c>
      <c r="K2687" s="37" t="n">
        <v>0.065</v>
      </c>
    </row>
    <row r="2688">
      <c r="A2688" s="34" t="inlineStr">
        <is>
          <t>AGA SPK-tilskudd</t>
        </is>
      </c>
      <c r="B2688" s="34" t="inlineStr">
        <is>
          <t>Region Øst</t>
        </is>
      </c>
      <c r="C2688" s="34" t="inlineStr">
        <is>
          <t>Enhet for tjenestestøtte</t>
        </is>
      </c>
      <c r="D2688" s="18" t="n"/>
      <c r="E2688" s="18" t="n"/>
      <c r="F2688" s="18" t="n"/>
      <c r="G2688" s="18" t="n"/>
      <c r="H2688" s="18" t="n"/>
      <c r="I2688" s="18" t="n">
        <v>1349</v>
      </c>
      <c r="J2688" s="19" t="n">
        <v>1530.069525</v>
      </c>
      <c r="K2688" s="35" t="n">
        <v>0.065</v>
      </c>
    </row>
    <row r="2689">
      <c r="A2689" s="36" t="inlineStr">
        <is>
          <t>AGA SPK-tilskudd</t>
        </is>
      </c>
      <c r="B2689" s="36" t="inlineStr">
        <is>
          <t>Region Øst</t>
        </is>
      </c>
      <c r="C2689" s="36" t="inlineStr">
        <is>
          <t>Enhet for tjenestestøtte</t>
        </is>
      </c>
      <c r="D2689" s="26" t="n"/>
      <c r="E2689" s="26" t="n"/>
      <c r="F2689" s="26" t="n"/>
      <c r="G2689" s="26" t="n"/>
      <c r="H2689" s="26" t="n"/>
      <c r="I2689" s="26" t="n">
        <v>88320</v>
      </c>
      <c r="J2689" s="19" t="n">
        <v>100174.752</v>
      </c>
      <c r="K2689" s="37" t="n">
        <v>0.065</v>
      </c>
    </row>
    <row r="2690">
      <c r="A2690" s="34" t="inlineStr">
        <is>
          <t>AGA SPK-tilskudd</t>
        </is>
      </c>
      <c r="B2690" s="34" t="inlineStr">
        <is>
          <t>Region Øst</t>
        </is>
      </c>
      <c r="C2690" s="34" t="inlineStr">
        <is>
          <t>Enhet for tjenestestøtte</t>
        </is>
      </c>
      <c r="D2690" s="18" t="n"/>
      <c r="E2690" s="18" t="n"/>
      <c r="F2690" s="18" t="n"/>
      <c r="G2690" s="18" t="n"/>
      <c r="H2690" s="18" t="n"/>
      <c r="I2690" s="18" t="n">
        <v>7244</v>
      </c>
      <c r="J2690" s="19" t="n">
        <v>8216.325899999998</v>
      </c>
      <c r="K2690" s="35" t="n">
        <v>0.065</v>
      </c>
    </row>
    <row r="2691">
      <c r="A2691" s="36" t="inlineStr">
        <is>
          <t>AGA SPK-tilskudd</t>
        </is>
      </c>
      <c r="B2691" s="36" t="inlineStr">
        <is>
          <t>Region Øst</t>
        </is>
      </c>
      <c r="C2691" s="36" t="inlineStr">
        <is>
          <t>Enhet for tjenestestøtte</t>
        </is>
      </c>
      <c r="D2691" s="26" t="n"/>
      <c r="E2691" s="26" t="n"/>
      <c r="F2691" s="26" t="n"/>
      <c r="G2691" s="26" t="n"/>
      <c r="H2691" s="26" t="n"/>
      <c r="I2691" s="26" t="n">
        <v>919</v>
      </c>
      <c r="J2691" s="19" t="n">
        <v>1042.352775</v>
      </c>
      <c r="K2691" s="37" t="n">
        <v>0.065</v>
      </c>
    </row>
    <row r="2692">
      <c r="A2692" s="34" t="inlineStr">
        <is>
          <t>AGA SPK-tilskudd</t>
        </is>
      </c>
      <c r="B2692" s="34" t="inlineStr">
        <is>
          <t>Region Øst</t>
        </is>
      </c>
      <c r="C2692" s="34" t="inlineStr">
        <is>
          <t>Enhet for tjenestestøtte</t>
        </is>
      </c>
      <c r="D2692" s="18" t="n"/>
      <c r="E2692" s="18" t="n"/>
      <c r="F2692" s="18" t="n"/>
      <c r="G2692" s="18" t="n"/>
      <c r="H2692" s="18" t="n"/>
      <c r="I2692" s="18" t="n">
        <v>-582213</v>
      </c>
      <c r="J2692" s="19" t="n">
        <v>-660360.5399249999</v>
      </c>
      <c r="K2692" s="35" t="n">
        <v>0.065</v>
      </c>
    </row>
    <row r="2693">
      <c r="A2693" s="36" t="inlineStr">
        <is>
          <t>AGA SPK-tilskudd</t>
        </is>
      </c>
      <c r="B2693" s="36" t="inlineStr">
        <is>
          <t>Region Øst</t>
        </is>
      </c>
      <c r="C2693" s="36" t="inlineStr">
        <is>
          <t>Enhet for tjenestestøtte</t>
        </is>
      </c>
      <c r="D2693" s="26" t="n"/>
      <c r="E2693" s="26" t="n"/>
      <c r="F2693" s="26" t="n"/>
      <c r="G2693" s="26" t="n"/>
      <c r="H2693" s="26" t="n"/>
      <c r="I2693" s="26" t="n">
        <v>-442884</v>
      </c>
      <c r="J2693" s="19" t="n">
        <v>-502330.1048999999</v>
      </c>
      <c r="K2693" s="37" t="n">
        <v>0.065</v>
      </c>
    </row>
    <row r="2694">
      <c r="A2694" s="34" t="inlineStr">
        <is>
          <t>AGA SPK-tilskudd</t>
        </is>
      </c>
      <c r="B2694" s="34" t="inlineStr">
        <is>
          <t>Region Øst</t>
        </is>
      </c>
      <c r="C2694" s="34" t="inlineStr">
        <is>
          <t>Enhet for tjenestestøtte</t>
        </is>
      </c>
      <c r="D2694" s="18" t="n"/>
      <c r="E2694" s="18" t="n"/>
      <c r="F2694" s="18" t="n"/>
      <c r="G2694" s="18" t="n"/>
      <c r="H2694" s="18" t="n"/>
      <c r="I2694" s="18" t="n">
        <v>-223467</v>
      </c>
      <c r="J2694" s="19" t="n">
        <v>-253461.858075</v>
      </c>
      <c r="K2694" s="35" t="n">
        <v>0.065</v>
      </c>
    </row>
    <row r="2695">
      <c r="A2695" s="36" t="inlineStr">
        <is>
          <t>AGA SPK-tilskudd</t>
        </is>
      </c>
      <c r="B2695" s="36" t="inlineStr">
        <is>
          <t>Region Øst</t>
        </is>
      </c>
      <c r="C2695" s="36" t="inlineStr">
        <is>
          <t>Follo ungdoms- og familiesenter - akutt  Administrasjon</t>
        </is>
      </c>
      <c r="D2695" s="26" t="n">
        <v>22467</v>
      </c>
      <c r="E2695" s="26" t="n"/>
      <c r="F2695" s="26" t="n"/>
      <c r="G2695" s="26" t="n"/>
      <c r="H2695" s="26" t="n"/>
      <c r="I2695" s="26" t="n"/>
      <c r="J2695" s="19" t="n">
        <v>0</v>
      </c>
      <c r="K2695" s="37" t="n">
        <v>0.065</v>
      </c>
    </row>
    <row r="2696">
      <c r="A2696" s="34" t="inlineStr">
        <is>
          <t>AGA SPK-tilskudd</t>
        </is>
      </c>
      <c r="B2696" s="34" t="inlineStr">
        <is>
          <t>Region Øst</t>
        </is>
      </c>
      <c r="C2696" s="34" t="inlineStr">
        <is>
          <t>Follo ungdoms- og familiesenter - akutt  Administrasjon</t>
        </is>
      </c>
      <c r="D2696" s="18" t="n">
        <v>720</v>
      </c>
      <c r="E2696" s="18" t="n"/>
      <c r="F2696" s="18" t="n"/>
      <c r="G2696" s="18" t="n"/>
      <c r="H2696" s="18" t="n"/>
      <c r="I2696" s="18" t="n"/>
      <c r="J2696" s="19" t="n">
        <v>0</v>
      </c>
      <c r="K2696" s="35" t="n">
        <v>0.065</v>
      </c>
    </row>
    <row r="2697">
      <c r="A2697" s="36" t="inlineStr">
        <is>
          <t>AGA SPK-tilskudd</t>
        </is>
      </c>
      <c r="B2697" s="36" t="inlineStr">
        <is>
          <t>Region Øst</t>
        </is>
      </c>
      <c r="C2697" s="36" t="inlineStr">
        <is>
          <t>Follo ungdoms- og familiesenter - akutt  Administrasjon</t>
        </is>
      </c>
      <c r="D2697" s="26" t="n">
        <v>3240</v>
      </c>
      <c r="E2697" s="26" t="n"/>
      <c r="F2697" s="26" t="n"/>
      <c r="G2697" s="26" t="n"/>
      <c r="H2697" s="26" t="n"/>
      <c r="I2697" s="26" t="n"/>
      <c r="J2697" s="19" t="n">
        <v>0</v>
      </c>
      <c r="K2697" s="37" t="n">
        <v>0.065</v>
      </c>
    </row>
    <row r="2698">
      <c r="A2698" s="34" t="inlineStr">
        <is>
          <t>AGA SPK-tilskudd</t>
        </is>
      </c>
      <c r="B2698" s="34" t="inlineStr">
        <is>
          <t>Region Øst</t>
        </is>
      </c>
      <c r="C2698" s="34" t="inlineStr">
        <is>
          <t>Follo ungdoms- og familiesenter - akutt  Administrasjon</t>
        </is>
      </c>
      <c r="D2698" s="18" t="n">
        <v>616</v>
      </c>
      <c r="E2698" s="18" t="n"/>
      <c r="F2698" s="18" t="n"/>
      <c r="G2698" s="18" t="n"/>
      <c r="H2698" s="18" t="n"/>
      <c r="I2698" s="18" t="n"/>
      <c r="J2698" s="19" t="n">
        <v>0</v>
      </c>
      <c r="K2698" s="35" t="n">
        <v>0.065</v>
      </c>
    </row>
    <row r="2699">
      <c r="A2699" s="36" t="inlineStr">
        <is>
          <t>AGA SPK-tilskudd</t>
        </is>
      </c>
      <c r="B2699" s="36" t="inlineStr">
        <is>
          <t>Region Øst</t>
        </is>
      </c>
      <c r="C2699" s="36" t="inlineStr">
        <is>
          <t>Follo ungdoms- og familiesenter - akutt  Administrasjon</t>
        </is>
      </c>
      <c r="D2699" s="26" t="n">
        <v>2572</v>
      </c>
      <c r="E2699" s="26" t="n"/>
      <c r="F2699" s="26" t="n"/>
      <c r="G2699" s="26" t="n"/>
      <c r="H2699" s="26" t="n"/>
      <c r="I2699" s="26" t="n"/>
      <c r="J2699" s="19" t="n">
        <v>0</v>
      </c>
      <c r="K2699" s="37" t="n">
        <v>0.065</v>
      </c>
    </row>
    <row r="2700">
      <c r="A2700" s="34" t="inlineStr">
        <is>
          <t>AGA SPK-tilskudd</t>
        </is>
      </c>
      <c r="B2700" s="34" t="inlineStr">
        <is>
          <t>Region Øst</t>
        </is>
      </c>
      <c r="C2700" s="34" t="inlineStr">
        <is>
          <t>Follo ungdoms- og familiesenter - akutt  Administrasjon</t>
        </is>
      </c>
      <c r="D2700" s="18" t="n">
        <v>59</v>
      </c>
      <c r="E2700" s="18" t="n"/>
      <c r="F2700" s="18" t="n"/>
      <c r="G2700" s="18" t="n"/>
      <c r="H2700" s="18" t="n"/>
      <c r="I2700" s="18" t="n"/>
      <c r="J2700" s="19" t="n">
        <v>0</v>
      </c>
      <c r="K2700" s="35" t="n">
        <v>0.065</v>
      </c>
    </row>
    <row r="2701">
      <c r="A2701" s="36" t="inlineStr">
        <is>
          <t>AGA SPK-tilskudd</t>
        </is>
      </c>
      <c r="B2701" s="36" t="inlineStr">
        <is>
          <t>Region Øst</t>
        </is>
      </c>
      <c r="C2701" s="36" t="inlineStr">
        <is>
          <t>Follo ungdoms- og familiesenter - akutt  Administrasjon</t>
        </is>
      </c>
      <c r="D2701" s="26" t="n">
        <v>-2052</v>
      </c>
      <c r="E2701" s="26" t="n"/>
      <c r="F2701" s="26" t="n"/>
      <c r="G2701" s="26" t="n"/>
      <c r="H2701" s="26" t="n"/>
      <c r="I2701" s="26" t="n"/>
      <c r="J2701" s="19" t="n">
        <v>0</v>
      </c>
      <c r="K2701" s="37" t="n">
        <v>0.065</v>
      </c>
    </row>
    <row r="2702">
      <c r="A2702" s="34" t="inlineStr">
        <is>
          <t>AGA SPK-tilskudd</t>
        </is>
      </c>
      <c r="B2702" s="34" t="inlineStr">
        <is>
          <t>Region Øst</t>
        </is>
      </c>
      <c r="C2702" s="34" t="inlineStr">
        <is>
          <t>Follo ungdoms- og familiesenter - akutt  Administrasjon</t>
        </is>
      </c>
      <c r="D2702" s="18" t="n">
        <v>-46678</v>
      </c>
      <c r="E2702" s="18" t="n"/>
      <c r="F2702" s="18" t="n"/>
      <c r="G2702" s="18" t="n"/>
      <c r="H2702" s="18" t="n"/>
      <c r="I2702" s="18" t="n"/>
      <c r="J2702" s="19" t="n">
        <v>0</v>
      </c>
      <c r="K2702" s="35" t="n">
        <v>0.065</v>
      </c>
    </row>
    <row r="2703">
      <c r="A2703" s="36" t="inlineStr">
        <is>
          <t>AGA SPK-tilskudd</t>
        </is>
      </c>
      <c r="B2703" s="36" t="inlineStr">
        <is>
          <t>Region Øst</t>
        </is>
      </c>
      <c r="C2703" s="36" t="inlineStr">
        <is>
          <t>Follo ungdoms- og familiesenter - akutt  Avdeling Follo</t>
        </is>
      </c>
      <c r="D2703" s="26" t="n">
        <v>100756</v>
      </c>
      <c r="E2703" s="26" t="n">
        <v>444</v>
      </c>
      <c r="F2703" s="26" t="n"/>
      <c r="G2703" s="26" t="n"/>
      <c r="H2703" s="26" t="n"/>
      <c r="I2703" s="26" t="n"/>
      <c r="J2703" s="19" t="n">
        <v>0</v>
      </c>
      <c r="K2703" s="37" t="n">
        <v>0.065</v>
      </c>
    </row>
    <row r="2704">
      <c r="A2704" s="34" t="inlineStr">
        <is>
          <t>AGA SPK-tilskudd</t>
        </is>
      </c>
      <c r="B2704" s="34" t="inlineStr">
        <is>
          <t>Region Øst</t>
        </is>
      </c>
      <c r="C2704" s="34" t="inlineStr">
        <is>
          <t>Follo ungdoms- og familiesenter - akutt  Avdeling Follo</t>
        </is>
      </c>
      <c r="D2704" s="18" t="n">
        <v>54596</v>
      </c>
      <c r="E2704" s="18" t="n"/>
      <c r="F2704" s="18" t="n"/>
      <c r="G2704" s="18" t="n"/>
      <c r="H2704" s="18" t="n"/>
      <c r="I2704" s="18" t="n"/>
      <c r="J2704" s="19" t="n">
        <v>0</v>
      </c>
      <c r="K2704" s="35" t="n">
        <v>0.065</v>
      </c>
    </row>
    <row r="2705">
      <c r="A2705" s="36" t="inlineStr">
        <is>
          <t>AGA SPK-tilskudd</t>
        </is>
      </c>
      <c r="B2705" s="36" t="inlineStr">
        <is>
          <t>Region Øst</t>
        </is>
      </c>
      <c r="C2705" s="36" t="inlineStr">
        <is>
          <t>Follo ungdoms- og familiesenter - akutt  Avdeling Follo</t>
        </is>
      </c>
      <c r="D2705" s="26" t="n">
        <v>3452</v>
      </c>
      <c r="E2705" s="26" t="n"/>
      <c r="F2705" s="26" t="n"/>
      <c r="G2705" s="26" t="n"/>
      <c r="H2705" s="26" t="n"/>
      <c r="I2705" s="26" t="n"/>
      <c r="J2705" s="19" t="n">
        <v>0</v>
      </c>
      <c r="K2705" s="37" t="n">
        <v>0.065</v>
      </c>
    </row>
    <row r="2706">
      <c r="A2706" s="34" t="inlineStr">
        <is>
          <t>AGA SPK-tilskudd</t>
        </is>
      </c>
      <c r="B2706" s="34" t="inlineStr">
        <is>
          <t>Region Øst</t>
        </is>
      </c>
      <c r="C2706" s="34" t="inlineStr">
        <is>
          <t>Follo ungdoms- og familiesenter - akutt  Avdeling Follo</t>
        </is>
      </c>
      <c r="D2706" s="18" t="n">
        <v>35600</v>
      </c>
      <c r="E2706" s="18" t="n"/>
      <c r="F2706" s="18" t="n"/>
      <c r="G2706" s="18" t="n"/>
      <c r="H2706" s="18" t="n"/>
      <c r="I2706" s="18" t="n"/>
      <c r="J2706" s="19" t="n">
        <v>0</v>
      </c>
      <c r="K2706" s="35" t="n">
        <v>0.065</v>
      </c>
    </row>
    <row r="2707">
      <c r="A2707" s="36" t="inlineStr">
        <is>
          <t>AGA SPK-tilskudd</t>
        </is>
      </c>
      <c r="B2707" s="36" t="inlineStr">
        <is>
          <t>Region Øst</t>
        </is>
      </c>
      <c r="C2707" s="36" t="inlineStr">
        <is>
          <t>Follo ungdoms- og familiesenter - akutt  Avdeling Follo</t>
        </is>
      </c>
      <c r="D2707" s="26" t="n">
        <v>3913</v>
      </c>
      <c r="E2707" s="26" t="n"/>
      <c r="F2707" s="26" t="n"/>
      <c r="G2707" s="26" t="n"/>
      <c r="H2707" s="26" t="n"/>
      <c r="I2707" s="26" t="n"/>
      <c r="J2707" s="19" t="n">
        <v>0</v>
      </c>
      <c r="K2707" s="37" t="n">
        <v>0.065</v>
      </c>
    </row>
    <row r="2708">
      <c r="A2708" s="34" t="inlineStr">
        <is>
          <t>AGA SPK-tilskudd</t>
        </is>
      </c>
      <c r="B2708" s="34" t="inlineStr">
        <is>
          <t>Region Øst</t>
        </is>
      </c>
      <c r="C2708" s="34" t="inlineStr">
        <is>
          <t>Follo ungdoms- og familiesenter - akutt  Avdeling Follo</t>
        </is>
      </c>
      <c r="D2708" s="18" t="n">
        <v>1502</v>
      </c>
      <c r="E2708" s="18" t="n"/>
      <c r="F2708" s="18" t="n"/>
      <c r="G2708" s="18" t="n"/>
      <c r="H2708" s="18" t="n"/>
      <c r="I2708" s="18" t="n"/>
      <c r="J2708" s="19" t="n">
        <v>0</v>
      </c>
      <c r="K2708" s="35" t="n">
        <v>0.065</v>
      </c>
    </row>
    <row r="2709">
      <c r="A2709" s="36" t="inlineStr">
        <is>
          <t>AGA SPK-tilskudd</t>
        </is>
      </c>
      <c r="B2709" s="36" t="inlineStr">
        <is>
          <t>Region Øst</t>
        </is>
      </c>
      <c r="C2709" s="36" t="inlineStr">
        <is>
          <t>Follo ungdoms- og familiesenter - akutt  Avdeling Follo</t>
        </is>
      </c>
      <c r="D2709" s="26" t="n">
        <v>514</v>
      </c>
      <c r="E2709" s="26" t="n"/>
      <c r="F2709" s="26" t="n"/>
      <c r="G2709" s="26" t="n"/>
      <c r="H2709" s="26" t="n"/>
      <c r="I2709" s="26" t="n"/>
      <c r="J2709" s="19" t="n">
        <v>0</v>
      </c>
      <c r="K2709" s="37" t="n">
        <v>0.065</v>
      </c>
    </row>
    <row r="2710">
      <c r="A2710" s="34" t="inlineStr">
        <is>
          <t>AGA SPK-tilskudd</t>
        </is>
      </c>
      <c r="B2710" s="34" t="inlineStr">
        <is>
          <t>Region Øst</t>
        </is>
      </c>
      <c r="C2710" s="34" t="inlineStr">
        <is>
          <t>Follo ungdoms- og familiesenter - akutt  Avdeling Follo</t>
        </is>
      </c>
      <c r="D2710" s="18" t="n">
        <v>-9714</v>
      </c>
      <c r="E2710" s="18" t="n"/>
      <c r="F2710" s="18" t="n"/>
      <c r="G2710" s="18" t="n"/>
      <c r="H2710" s="18" t="n"/>
      <c r="I2710" s="18" t="n"/>
      <c r="J2710" s="19" t="n">
        <v>0</v>
      </c>
      <c r="K2710" s="35" t="n">
        <v>0.065</v>
      </c>
    </row>
    <row r="2711">
      <c r="A2711" s="36" t="inlineStr">
        <is>
          <t>AGA SPK-tilskudd</t>
        </is>
      </c>
      <c r="B2711" s="36" t="inlineStr">
        <is>
          <t>Region Øst</t>
        </is>
      </c>
      <c r="C2711" s="36" t="inlineStr">
        <is>
          <t>Follo ungdoms- og familiesenter - akutt  Avdeling Follo</t>
        </is>
      </c>
      <c r="D2711" s="26" t="n">
        <v>-234229</v>
      </c>
      <c r="E2711" s="26" t="n"/>
      <c r="F2711" s="26" t="n"/>
      <c r="G2711" s="26" t="n"/>
      <c r="H2711" s="26" t="n"/>
      <c r="I2711" s="26" t="n"/>
      <c r="J2711" s="19" t="n">
        <v>0</v>
      </c>
      <c r="K2711" s="37" t="n">
        <v>0.065</v>
      </c>
    </row>
    <row r="2712">
      <c r="A2712" s="34" t="inlineStr">
        <is>
          <t>AGA SPK-tilskudd</t>
        </is>
      </c>
      <c r="B2712" s="34" t="inlineStr">
        <is>
          <t>Region Øst</t>
        </is>
      </c>
      <c r="C2712" s="34" t="inlineStr">
        <is>
          <t>Follo ungdoms- og familiesenter - akutt  Avdeling Follo</t>
        </is>
      </c>
      <c r="D2712" s="18" t="n">
        <v>-388239</v>
      </c>
      <c r="E2712" s="18" t="n">
        <v>-4284</v>
      </c>
      <c r="F2712" s="18" t="n"/>
      <c r="G2712" s="18" t="n"/>
      <c r="H2712" s="18" t="n"/>
      <c r="I2712" s="18" t="n"/>
      <c r="J2712" s="19" t="n">
        <v>0</v>
      </c>
      <c r="K2712" s="35" t="n">
        <v>0.065</v>
      </c>
    </row>
    <row r="2713">
      <c r="A2713" s="36" t="inlineStr">
        <is>
          <t>AGA SPK-tilskudd</t>
        </is>
      </c>
      <c r="B2713" s="36" t="inlineStr">
        <is>
          <t>Region Øst</t>
        </is>
      </c>
      <c r="C2713" s="36" t="inlineStr">
        <is>
          <t>Follo ungdoms- og familiesenter - akutt  Avdeling Jibbe</t>
        </is>
      </c>
      <c r="D2713" s="26" t="n">
        <v>82461</v>
      </c>
      <c r="E2713" s="26" t="n">
        <v>786</v>
      </c>
      <c r="F2713" s="26" t="n"/>
      <c r="G2713" s="26" t="n"/>
      <c r="H2713" s="26" t="n"/>
      <c r="I2713" s="26" t="n"/>
      <c r="J2713" s="19" t="n">
        <v>0</v>
      </c>
      <c r="K2713" s="37" t="n">
        <v>0.065</v>
      </c>
    </row>
    <row r="2714">
      <c r="A2714" s="34" t="inlineStr">
        <is>
          <t>AGA SPK-tilskudd</t>
        </is>
      </c>
      <c r="B2714" s="34" t="inlineStr">
        <is>
          <t>Region Øst</t>
        </is>
      </c>
      <c r="C2714" s="34" t="inlineStr">
        <is>
          <t>Follo ungdoms- og familiesenter - akutt  Avdeling Jibbe</t>
        </is>
      </c>
      <c r="D2714" s="18" t="n">
        <v>84801</v>
      </c>
      <c r="E2714" s="18" t="n"/>
      <c r="F2714" s="18" t="n"/>
      <c r="G2714" s="18" t="n"/>
      <c r="H2714" s="18" t="n"/>
      <c r="I2714" s="18" t="n"/>
      <c r="J2714" s="19" t="n">
        <v>0</v>
      </c>
      <c r="K2714" s="35" t="n">
        <v>0.065</v>
      </c>
    </row>
    <row r="2715">
      <c r="A2715" s="36" t="inlineStr">
        <is>
          <t>AGA SPK-tilskudd</t>
        </is>
      </c>
      <c r="B2715" s="36" t="inlineStr">
        <is>
          <t>Region Øst</t>
        </is>
      </c>
      <c r="C2715" s="36" t="inlineStr">
        <is>
          <t>Follo ungdoms- og familiesenter - akutt  Avdeling Jibbe</t>
        </is>
      </c>
      <c r="D2715" s="26" t="n">
        <v>12021</v>
      </c>
      <c r="E2715" s="26" t="n"/>
      <c r="F2715" s="26" t="n"/>
      <c r="G2715" s="26" t="n"/>
      <c r="H2715" s="26" t="n"/>
      <c r="I2715" s="26" t="n"/>
      <c r="J2715" s="19" t="n">
        <v>0</v>
      </c>
      <c r="K2715" s="37" t="n">
        <v>0.065</v>
      </c>
    </row>
    <row r="2716">
      <c r="A2716" s="34" t="inlineStr">
        <is>
          <t>AGA SPK-tilskudd</t>
        </is>
      </c>
      <c r="B2716" s="34" t="inlineStr">
        <is>
          <t>Region Øst</t>
        </is>
      </c>
      <c r="C2716" s="34" t="inlineStr">
        <is>
          <t>Follo ungdoms- og familiesenter - akutt  Avdeling Jibbe</t>
        </is>
      </c>
      <c r="D2716" s="18" t="n">
        <v>31600</v>
      </c>
      <c r="E2716" s="18" t="n"/>
      <c r="F2716" s="18" t="n"/>
      <c r="G2716" s="18" t="n"/>
      <c r="H2716" s="18" t="n"/>
      <c r="I2716" s="18" t="n"/>
      <c r="J2716" s="19" t="n">
        <v>0</v>
      </c>
      <c r="K2716" s="35" t="n">
        <v>0.065</v>
      </c>
    </row>
    <row r="2717">
      <c r="A2717" s="36" t="inlineStr">
        <is>
          <t>AGA SPK-tilskudd</t>
        </is>
      </c>
      <c r="B2717" s="36" t="inlineStr">
        <is>
          <t>Region Øst</t>
        </is>
      </c>
      <c r="C2717" s="36" t="inlineStr">
        <is>
          <t>Follo ungdoms- og familiesenter - akutt  Avdeling Jibbe</t>
        </is>
      </c>
      <c r="D2717" s="26" t="n">
        <v>492</v>
      </c>
      <c r="E2717" s="26" t="n"/>
      <c r="F2717" s="26" t="n"/>
      <c r="G2717" s="26" t="n"/>
      <c r="H2717" s="26" t="n"/>
      <c r="I2717" s="26" t="n"/>
      <c r="J2717" s="19" t="n">
        <v>0</v>
      </c>
      <c r="K2717" s="37" t="n">
        <v>0.065</v>
      </c>
    </row>
    <row r="2718">
      <c r="A2718" s="34" t="inlineStr">
        <is>
          <t>AGA SPK-tilskudd</t>
        </is>
      </c>
      <c r="B2718" s="34" t="inlineStr">
        <is>
          <t>Region Øst</t>
        </is>
      </c>
      <c r="C2718" s="34" t="inlineStr">
        <is>
          <t>Follo ungdoms- og familiesenter - akutt  Avdeling Jibbe</t>
        </is>
      </c>
      <c r="D2718" s="18" t="n">
        <v>2380</v>
      </c>
      <c r="E2718" s="18" t="n"/>
      <c r="F2718" s="18" t="n"/>
      <c r="G2718" s="18" t="n"/>
      <c r="H2718" s="18" t="n"/>
      <c r="I2718" s="18" t="n"/>
      <c r="J2718" s="19" t="n">
        <v>0</v>
      </c>
      <c r="K2718" s="35" t="n">
        <v>0.065</v>
      </c>
    </row>
    <row r="2719">
      <c r="A2719" s="36" t="inlineStr">
        <is>
          <t>AGA SPK-tilskudd</t>
        </is>
      </c>
      <c r="B2719" s="36" t="inlineStr">
        <is>
          <t>Region Øst</t>
        </is>
      </c>
      <c r="C2719" s="36" t="inlineStr">
        <is>
          <t>Follo ungdoms- og familiesenter - akutt  Avdeling Jibbe</t>
        </is>
      </c>
      <c r="D2719" s="26" t="n">
        <v>360</v>
      </c>
      <c r="E2719" s="26" t="n"/>
      <c r="F2719" s="26" t="n"/>
      <c r="G2719" s="26" t="n"/>
      <c r="H2719" s="26" t="n"/>
      <c r="I2719" s="26" t="n"/>
      <c r="J2719" s="19" t="n">
        <v>0</v>
      </c>
      <c r="K2719" s="37" t="n">
        <v>0.065</v>
      </c>
    </row>
    <row r="2720">
      <c r="A2720" s="34" t="inlineStr">
        <is>
          <t>AGA SPK-tilskudd</t>
        </is>
      </c>
      <c r="B2720" s="34" t="inlineStr">
        <is>
          <t>Region Øst</t>
        </is>
      </c>
      <c r="C2720" s="34" t="inlineStr">
        <is>
          <t>Follo ungdoms- og familiesenter - akutt  Avdeling Jibbe</t>
        </is>
      </c>
      <c r="D2720" s="18" t="n">
        <v>27147</v>
      </c>
      <c r="E2720" s="18" t="n"/>
      <c r="F2720" s="18" t="n"/>
      <c r="G2720" s="18" t="n"/>
      <c r="H2720" s="18" t="n"/>
      <c r="I2720" s="18" t="n"/>
      <c r="J2720" s="19" t="n">
        <v>0</v>
      </c>
      <c r="K2720" s="35" t="n">
        <v>0.065</v>
      </c>
    </row>
    <row r="2721">
      <c r="A2721" s="36" t="inlineStr">
        <is>
          <t>AGA SPK-tilskudd</t>
        </is>
      </c>
      <c r="B2721" s="36" t="inlineStr">
        <is>
          <t>Region Øst</t>
        </is>
      </c>
      <c r="C2721" s="36" t="inlineStr">
        <is>
          <t>Follo ungdoms- og familiesenter - akutt  Avdeling Jibbe</t>
        </is>
      </c>
      <c r="D2721" s="26" t="n">
        <v>-132693</v>
      </c>
      <c r="E2721" s="26" t="n">
        <v>-10488</v>
      </c>
      <c r="F2721" s="26" t="n"/>
      <c r="G2721" s="26" t="n"/>
      <c r="H2721" s="26" t="n"/>
      <c r="I2721" s="26" t="n"/>
      <c r="J2721" s="19" t="n">
        <v>0</v>
      </c>
      <c r="K2721" s="37" t="n">
        <v>0.065</v>
      </c>
    </row>
    <row r="2722">
      <c r="A2722" s="34" t="inlineStr">
        <is>
          <t>AGA SPK-tilskudd</t>
        </is>
      </c>
      <c r="B2722" s="34" t="inlineStr">
        <is>
          <t>Region Øst</t>
        </is>
      </c>
      <c r="C2722" s="34" t="inlineStr">
        <is>
          <t>Fosterhjemstjenesten Bufetat region øst, adm</t>
        </is>
      </c>
      <c r="D2722" s="18" t="n"/>
      <c r="E2722" s="18" t="n"/>
      <c r="F2722" s="18" t="n">
        <v>-5572</v>
      </c>
      <c r="G2722" s="18" t="n"/>
      <c r="H2722" s="18" t="n"/>
      <c r="I2722" s="18" t="n"/>
      <c r="J2722" s="19" t="n">
        <v>0</v>
      </c>
      <c r="K2722" s="35" t="n">
        <v>0.065</v>
      </c>
    </row>
    <row r="2723">
      <c r="A2723" s="36" t="inlineStr">
        <is>
          <t>AGA SPK-tilskudd</t>
        </is>
      </c>
      <c r="B2723" s="36" t="inlineStr">
        <is>
          <t>Region Øst</t>
        </is>
      </c>
      <c r="C2723" s="36" t="inlineStr">
        <is>
          <t>Fosterhjemstjenesten Bufetat region øst, adm</t>
        </is>
      </c>
      <c r="D2723" s="26" t="n"/>
      <c r="E2723" s="26" t="n"/>
      <c r="F2723" s="26" t="n"/>
      <c r="G2723" s="26" t="n"/>
      <c r="H2723" s="26" t="n">
        <v>952</v>
      </c>
      <c r="I2723" s="26" t="n"/>
      <c r="J2723" s="19" t="n">
        <v>0</v>
      </c>
      <c r="K2723" s="37" t="n">
        <v>0.065</v>
      </c>
    </row>
    <row r="2724">
      <c r="A2724" s="34" t="inlineStr">
        <is>
          <t>AGA SPK-tilskudd</t>
        </is>
      </c>
      <c r="B2724" s="34" t="inlineStr">
        <is>
          <t>Region Øst</t>
        </is>
      </c>
      <c r="C2724" s="34" t="inlineStr">
        <is>
          <t>Fosterhjemstjenesten Bufetat region øst, adm</t>
        </is>
      </c>
      <c r="D2724" s="18" t="n"/>
      <c r="E2724" s="18" t="n"/>
      <c r="F2724" s="18" t="n"/>
      <c r="G2724" s="18" t="n"/>
      <c r="H2724" s="18" t="n">
        <v>420</v>
      </c>
      <c r="I2724" s="18" t="n"/>
      <c r="J2724" s="19" t="n">
        <v>0</v>
      </c>
      <c r="K2724" s="35" t="n">
        <v>0.065</v>
      </c>
    </row>
    <row r="2725">
      <c r="A2725" s="36" t="inlineStr">
        <is>
          <t>AGA SPK-tilskudd</t>
        </is>
      </c>
      <c r="B2725" s="36" t="inlineStr">
        <is>
          <t>Region Øst</t>
        </is>
      </c>
      <c r="C2725" s="36" t="inlineStr">
        <is>
          <t>Fosterhjemstjenesten Bufetat region øst, adm</t>
        </is>
      </c>
      <c r="D2725" s="26" t="n"/>
      <c r="E2725" s="26" t="n"/>
      <c r="F2725" s="26" t="n"/>
      <c r="G2725" s="26" t="n"/>
      <c r="H2725" s="26" t="n">
        <v>318</v>
      </c>
      <c r="I2725" s="26" t="n"/>
      <c r="J2725" s="19" t="n">
        <v>0</v>
      </c>
      <c r="K2725" s="37" t="n">
        <v>0.065</v>
      </c>
    </row>
    <row r="2726">
      <c r="A2726" s="34" t="inlineStr">
        <is>
          <t>AGA SPK-tilskudd</t>
        </is>
      </c>
      <c r="B2726" s="34" t="inlineStr">
        <is>
          <t>Region Øst</t>
        </is>
      </c>
      <c r="C2726" s="34" t="inlineStr">
        <is>
          <t>Fosterhjemstjenesten Bufetat region øst, avd Innlandet</t>
        </is>
      </c>
      <c r="D2726" s="18" t="n"/>
      <c r="E2726" s="18" t="n"/>
      <c r="F2726" s="18" t="n">
        <v>-32473</v>
      </c>
      <c r="G2726" s="18" t="n"/>
      <c r="H2726" s="18" t="n"/>
      <c r="I2726" s="18" t="n"/>
      <c r="J2726" s="19" t="n">
        <v>0</v>
      </c>
      <c r="K2726" s="35" t="n">
        <v>0.065</v>
      </c>
    </row>
    <row r="2727">
      <c r="A2727" s="36" t="inlineStr">
        <is>
          <t>AGA SPK-tilskudd</t>
        </is>
      </c>
      <c r="B2727" s="36" t="inlineStr">
        <is>
          <t>Region Øst</t>
        </is>
      </c>
      <c r="C2727" s="36" t="inlineStr">
        <is>
          <t>Fosterhjemstjenesten Bufetat region øst, avdeling Akershus</t>
        </is>
      </c>
      <c r="D2727" s="26" t="n"/>
      <c r="E2727" s="26" t="n"/>
      <c r="F2727" s="26" t="n">
        <v>-23056</v>
      </c>
      <c r="G2727" s="26" t="n"/>
      <c r="H2727" s="26" t="n"/>
      <c r="I2727" s="26" t="n"/>
      <c r="J2727" s="19" t="n">
        <v>0</v>
      </c>
      <c r="K2727" s="37" t="n">
        <v>0.065</v>
      </c>
    </row>
    <row r="2728">
      <c r="A2728" s="34" t="inlineStr">
        <is>
          <t>AGA SPK-tilskudd</t>
        </is>
      </c>
      <c r="B2728" s="34" t="inlineStr">
        <is>
          <t>Region Øst</t>
        </is>
      </c>
      <c r="C2728" s="34" t="inlineStr">
        <is>
          <t>Fosterhjemstjenesten Bufetat region øst, avdeling Østfold</t>
        </is>
      </c>
      <c r="D2728" s="18" t="n"/>
      <c r="E2728" s="18" t="n"/>
      <c r="F2728" s="18" t="n">
        <v>-24309</v>
      </c>
      <c r="G2728" s="18" t="n"/>
      <c r="H2728" s="18" t="n"/>
      <c r="I2728" s="18" t="n"/>
      <c r="J2728" s="19" t="n">
        <v>0</v>
      </c>
      <c r="K2728" s="35" t="n">
        <v>0.065</v>
      </c>
    </row>
    <row r="2729">
      <c r="A2729" s="36" t="inlineStr">
        <is>
          <t>AGA SPK-tilskudd</t>
        </is>
      </c>
      <c r="B2729" s="36" t="inlineStr">
        <is>
          <t>Region Øst</t>
        </is>
      </c>
      <c r="C2729" s="36" t="inlineStr">
        <is>
          <t>Fosterhjemstjenesten Bufetat region øst, avdeling Østfold</t>
        </is>
      </c>
      <c r="D2729" s="26" t="n"/>
      <c r="E2729" s="26" t="n"/>
      <c r="F2729" s="26" t="n"/>
      <c r="G2729" s="26" t="n">
        <v>1321</v>
      </c>
      <c r="H2729" s="26" t="n"/>
      <c r="I2729" s="26" t="n"/>
      <c r="J2729" s="19" t="n">
        <v>0</v>
      </c>
      <c r="K2729" s="37" t="n">
        <v>0.065</v>
      </c>
    </row>
    <row r="2730">
      <c r="A2730" s="34" t="inlineStr">
        <is>
          <t>AGA SPK-tilskudd</t>
        </is>
      </c>
      <c r="B2730" s="34" t="inlineStr">
        <is>
          <t>Region Øst</t>
        </is>
      </c>
      <c r="C2730" s="34" t="inlineStr">
        <is>
          <t>Fosterhjemstjenesten Bufetat region øst, avdeling Østfold</t>
        </is>
      </c>
      <c r="D2730" s="18" t="n"/>
      <c r="E2730" s="18" t="n"/>
      <c r="F2730" s="18" t="n"/>
      <c r="G2730" s="18" t="n">
        <v>1177</v>
      </c>
      <c r="H2730" s="18" t="n"/>
      <c r="I2730" s="18" t="n"/>
      <c r="J2730" s="19" t="n">
        <v>0</v>
      </c>
      <c r="K2730" s="35" t="n">
        <v>0.065</v>
      </c>
    </row>
    <row r="2731">
      <c r="A2731" s="36" t="inlineStr">
        <is>
          <t>AGA SPK-tilskudd</t>
        </is>
      </c>
      <c r="B2731" s="36" t="inlineStr">
        <is>
          <t>Region Øst</t>
        </is>
      </c>
      <c r="C2731" s="36" t="inlineStr">
        <is>
          <t>Fosterhjemstjenesten Bufetat region øst, avdeling Østfold</t>
        </is>
      </c>
      <c r="D2731" s="26" t="n"/>
      <c r="E2731" s="26" t="n"/>
      <c r="F2731" s="26" t="n"/>
      <c r="G2731" s="26" t="n">
        <v>140</v>
      </c>
      <c r="H2731" s="26" t="n"/>
      <c r="I2731" s="26" t="n"/>
      <c r="J2731" s="19" t="n">
        <v>0</v>
      </c>
      <c r="K2731" s="37" t="n">
        <v>0.065</v>
      </c>
    </row>
    <row r="2732">
      <c r="A2732" s="34" t="inlineStr">
        <is>
          <t>AGA SPK-tilskudd</t>
        </is>
      </c>
      <c r="B2732" s="34" t="inlineStr">
        <is>
          <t>Region Øst</t>
        </is>
      </c>
      <c r="C2732" s="34" t="inlineStr">
        <is>
          <t>Fosterhjemstjenesten Bufetat region øst, avdeling Østfold</t>
        </is>
      </c>
      <c r="D2732" s="18" t="n"/>
      <c r="E2732" s="18" t="n"/>
      <c r="F2732" s="18" t="n"/>
      <c r="G2732" s="18" t="n">
        <v>309</v>
      </c>
      <c r="H2732" s="18" t="n"/>
      <c r="I2732" s="18" t="n"/>
      <c r="J2732" s="19" t="n">
        <v>0</v>
      </c>
      <c r="K2732" s="35" t="n">
        <v>0.065</v>
      </c>
    </row>
    <row r="2733">
      <c r="A2733" s="36" t="inlineStr">
        <is>
          <t>AGA SPK-tilskudd</t>
        </is>
      </c>
      <c r="B2733" s="36" t="inlineStr">
        <is>
          <t>Region Øst</t>
        </is>
      </c>
      <c r="C2733" s="36" t="inlineStr">
        <is>
          <t>Gullhella - Team for tverrfaglig helsekartlegging</t>
        </is>
      </c>
      <c r="D2733" s="26" t="n"/>
      <c r="E2733" s="26" t="n"/>
      <c r="F2733" s="26" t="n">
        <v>-1646</v>
      </c>
      <c r="G2733" s="26" t="n"/>
      <c r="H2733" s="26" t="n"/>
      <c r="I2733" s="26" t="n"/>
      <c r="J2733" s="19" t="n">
        <v>0</v>
      </c>
      <c r="K2733" s="37" t="n">
        <v>0.065</v>
      </c>
    </row>
    <row r="2734">
      <c r="A2734" s="34" t="inlineStr">
        <is>
          <t>AGA SPK-tilskudd</t>
        </is>
      </c>
      <c r="B2734" s="34" t="inlineStr">
        <is>
          <t>Region Øst</t>
        </is>
      </c>
      <c r="C2734" s="34" t="inlineStr">
        <is>
          <t>Gullhella barne- og familiesenter Administrasjon</t>
        </is>
      </c>
      <c r="D2734" s="18" t="n"/>
      <c r="E2734" s="18" t="n"/>
      <c r="F2734" s="18" t="n">
        <v>-3346</v>
      </c>
      <c r="G2734" s="18" t="n"/>
      <c r="H2734" s="18" t="n"/>
      <c r="I2734" s="18" t="n"/>
      <c r="J2734" s="19" t="n">
        <v>0</v>
      </c>
      <c r="K2734" s="35" t="n">
        <v>0.065</v>
      </c>
    </row>
    <row r="2735">
      <c r="A2735" s="36" t="inlineStr">
        <is>
          <t>AGA SPK-tilskudd</t>
        </is>
      </c>
      <c r="B2735" s="36" t="inlineStr">
        <is>
          <t>Region Øst</t>
        </is>
      </c>
      <c r="C2735" s="36" t="inlineStr">
        <is>
          <t>Gullhella barne- og familiesenter Avdeling for PMTO</t>
        </is>
      </c>
      <c r="D2735" s="26" t="n"/>
      <c r="E2735" s="26" t="n"/>
      <c r="F2735" s="26" t="n">
        <v>-3779</v>
      </c>
      <c r="G2735" s="26" t="n"/>
      <c r="H2735" s="26" t="n"/>
      <c r="I2735" s="26" t="n"/>
      <c r="J2735" s="19" t="n">
        <v>0</v>
      </c>
      <c r="K2735" s="37" t="n">
        <v>0.065</v>
      </c>
    </row>
    <row r="2736">
      <c r="A2736" s="34" t="inlineStr">
        <is>
          <t>AGA SPK-tilskudd</t>
        </is>
      </c>
      <c r="B2736" s="34" t="inlineStr">
        <is>
          <t>Region Øst</t>
        </is>
      </c>
      <c r="C2736" s="34" t="inlineStr">
        <is>
          <t>Gullhella barne- og familiesenter Avdeling for beredskapshjem</t>
        </is>
      </c>
      <c r="D2736" s="18" t="n"/>
      <c r="E2736" s="18" t="n"/>
      <c r="F2736" s="18" t="n">
        <v>-37411</v>
      </c>
      <c r="G2736" s="18" t="n"/>
      <c r="H2736" s="18" t="n">
        <v>6492</v>
      </c>
      <c r="I2736" s="18" t="n"/>
      <c r="J2736" s="19" t="n">
        <v>0</v>
      </c>
      <c r="K2736" s="35" t="n">
        <v>0.065</v>
      </c>
    </row>
    <row r="2737">
      <c r="A2737" s="36" t="inlineStr">
        <is>
          <t>AGA SPK-tilskudd</t>
        </is>
      </c>
      <c r="B2737" s="36" t="inlineStr">
        <is>
          <t>Region Øst</t>
        </is>
      </c>
      <c r="C2737" s="36" t="inlineStr">
        <is>
          <t>Gullhella barne- og familiesenter Avdeling for beredskapshjem</t>
        </is>
      </c>
      <c r="D2737" s="26" t="n"/>
      <c r="E2737" s="26" t="n"/>
      <c r="F2737" s="26" t="n">
        <v>8551</v>
      </c>
      <c r="G2737" s="26" t="n"/>
      <c r="H2737" s="26" t="n"/>
      <c r="I2737" s="26" t="n"/>
      <c r="J2737" s="19" t="n">
        <v>0</v>
      </c>
      <c r="K2737" s="37" t="n">
        <v>0.065</v>
      </c>
    </row>
    <row r="2738">
      <c r="A2738" s="34" t="inlineStr">
        <is>
          <t>AGA SPK-tilskudd</t>
        </is>
      </c>
      <c r="B2738" s="34" t="inlineStr">
        <is>
          <t>Region Øst</t>
        </is>
      </c>
      <c r="C2738" s="34" t="inlineStr">
        <is>
          <t>Gullhella barne- og familiesenter Avdeling for beredskapshjem</t>
        </is>
      </c>
      <c r="D2738" s="18" t="n"/>
      <c r="E2738" s="18" t="n"/>
      <c r="F2738" s="18" t="n"/>
      <c r="G2738" s="18" t="n"/>
      <c r="H2738" s="18" t="n">
        <v>538599</v>
      </c>
      <c r="I2738" s="18" t="n"/>
      <c r="J2738" s="19" t="n">
        <v>0</v>
      </c>
      <c r="K2738" s="35" t="n">
        <v>0.065</v>
      </c>
    </row>
    <row r="2739">
      <c r="A2739" s="36" t="inlineStr">
        <is>
          <t>AGA SPK-tilskudd</t>
        </is>
      </c>
      <c r="B2739" s="36" t="inlineStr">
        <is>
          <t>Region Øst</t>
        </is>
      </c>
      <c r="C2739" s="36" t="inlineStr">
        <is>
          <t>Gullhella barne- og familiesenter Avdeling for beredskapshjem</t>
        </is>
      </c>
      <c r="D2739" s="26" t="n"/>
      <c r="E2739" s="26" t="n"/>
      <c r="F2739" s="26" t="n"/>
      <c r="G2739" s="26" t="n"/>
      <c r="H2739" s="26" t="n">
        <v>106350</v>
      </c>
      <c r="I2739" s="26" t="n"/>
      <c r="J2739" s="19" t="n">
        <v>0</v>
      </c>
      <c r="K2739" s="37" t="n">
        <v>0.065</v>
      </c>
    </row>
    <row r="2740">
      <c r="A2740" s="34" t="inlineStr">
        <is>
          <t>AGA SPK-tilskudd</t>
        </is>
      </c>
      <c r="B2740" s="34" t="inlineStr">
        <is>
          <t>Region Øst</t>
        </is>
      </c>
      <c r="C2740" s="34" t="inlineStr">
        <is>
          <t>Gullhella barne- og familiesenter Avdeling for beredskapshjem 2</t>
        </is>
      </c>
      <c r="D2740" s="18" t="n"/>
      <c r="E2740" s="18" t="n"/>
      <c r="F2740" s="18" t="n">
        <v>-23002</v>
      </c>
      <c r="G2740" s="18" t="n"/>
      <c r="H2740" s="18" t="n"/>
      <c r="I2740" s="18" t="n"/>
      <c r="J2740" s="19" t="n">
        <v>0</v>
      </c>
      <c r="K2740" s="35" t="n">
        <v>0.065</v>
      </c>
    </row>
    <row r="2741">
      <c r="A2741" s="36" t="inlineStr">
        <is>
          <t>AGA SPK-tilskudd</t>
        </is>
      </c>
      <c r="B2741" s="36" t="inlineStr">
        <is>
          <t>Region Øst</t>
        </is>
      </c>
      <c r="C2741" s="36" t="inlineStr">
        <is>
          <t>Gullhella barne- og familiesenter Avdeling for beredskapshjem 3</t>
        </is>
      </c>
      <c r="D2741" s="26" t="n">
        <v>9043</v>
      </c>
      <c r="E2741" s="26" t="n"/>
      <c r="F2741" s="26" t="n">
        <v>-11141</v>
      </c>
      <c r="G2741" s="26" t="n"/>
      <c r="H2741" s="26" t="n"/>
      <c r="I2741" s="26" t="n"/>
      <c r="J2741" s="19" t="n">
        <v>0</v>
      </c>
      <c r="K2741" s="37" t="n">
        <v>0.065</v>
      </c>
    </row>
    <row r="2742">
      <c r="A2742" s="34" t="inlineStr">
        <is>
          <t>AGA SPK-tilskudd</t>
        </is>
      </c>
      <c r="B2742" s="34" t="inlineStr">
        <is>
          <t>Region Øst</t>
        </is>
      </c>
      <c r="C2742" s="34" t="inlineStr">
        <is>
          <t>Gullhella barne- og familiesenter Avdeling for beredskapshjem 3</t>
        </is>
      </c>
      <c r="D2742" s="18" t="n"/>
      <c r="E2742" s="18" t="n"/>
      <c r="F2742" s="18" t="n">
        <v>4507</v>
      </c>
      <c r="G2742" s="18" t="n"/>
      <c r="H2742" s="18" t="n"/>
      <c r="I2742" s="18" t="n"/>
      <c r="J2742" s="19" t="n">
        <v>0</v>
      </c>
      <c r="K2742" s="35" t="n">
        <v>0.065</v>
      </c>
    </row>
    <row r="2743">
      <c r="A2743" s="36" t="inlineStr">
        <is>
          <t>AGA SPK-tilskudd</t>
        </is>
      </c>
      <c r="B2743" s="36" t="inlineStr">
        <is>
          <t>Region Øst</t>
        </is>
      </c>
      <c r="C2743" s="36" t="inlineStr">
        <is>
          <t>Gullhella barne- og familiesenter Avdeling for beredskapshjem 3</t>
        </is>
      </c>
      <c r="D2743" s="26" t="n">
        <v>4920</v>
      </c>
      <c r="E2743" s="26" t="n"/>
      <c r="F2743" s="26" t="n"/>
      <c r="G2743" s="26" t="n"/>
      <c r="H2743" s="26" t="n"/>
      <c r="I2743" s="26" t="n"/>
      <c r="J2743" s="19" t="n">
        <v>0</v>
      </c>
      <c r="K2743" s="37" t="n">
        <v>0.065</v>
      </c>
    </row>
    <row r="2744">
      <c r="A2744" s="34" t="inlineStr">
        <is>
          <t>AGA SPK-tilskudd</t>
        </is>
      </c>
      <c r="B2744" s="34" t="inlineStr">
        <is>
          <t>Region Øst</t>
        </is>
      </c>
      <c r="C2744" s="34" t="inlineStr">
        <is>
          <t>Gullhella barne- og familiesenter Avdeling for beredskapshjem 3</t>
        </is>
      </c>
      <c r="D2744" s="18" t="n">
        <v>2130</v>
      </c>
      <c r="E2744" s="18" t="n"/>
      <c r="F2744" s="18" t="n"/>
      <c r="G2744" s="18" t="n"/>
      <c r="H2744" s="18" t="n"/>
      <c r="I2744" s="18" t="n"/>
      <c r="J2744" s="19" t="n">
        <v>0</v>
      </c>
      <c r="K2744" s="35" t="n">
        <v>0.065</v>
      </c>
    </row>
    <row r="2745">
      <c r="A2745" s="36" t="inlineStr">
        <is>
          <t>AGA SPK-tilskudd</t>
        </is>
      </c>
      <c r="B2745" s="36" t="inlineStr">
        <is>
          <t>Region Øst</t>
        </is>
      </c>
      <c r="C2745" s="36" t="inlineStr">
        <is>
          <t>Gullhella barne- og familiesenter Avdeling for beredskapshjem 3</t>
        </is>
      </c>
      <c r="D2745" s="26" t="n">
        <v>-1100</v>
      </c>
      <c r="E2745" s="26" t="n"/>
      <c r="F2745" s="26" t="n"/>
      <c r="G2745" s="26" t="n"/>
      <c r="H2745" s="26" t="n"/>
      <c r="I2745" s="26" t="n"/>
      <c r="J2745" s="19" t="n">
        <v>0</v>
      </c>
      <c r="K2745" s="37" t="n">
        <v>0.065</v>
      </c>
    </row>
    <row r="2746">
      <c r="A2746" s="34" t="inlineStr">
        <is>
          <t>AGA SPK-tilskudd</t>
        </is>
      </c>
      <c r="B2746" s="34" t="inlineStr">
        <is>
          <t>Region Øst</t>
        </is>
      </c>
      <c r="C2746" s="34" t="inlineStr">
        <is>
          <t>Gullhella barne- og familiesenter Avdeling for beredskapshjem 3</t>
        </is>
      </c>
      <c r="D2746" s="18" t="n">
        <v>-109200</v>
      </c>
      <c r="E2746" s="18" t="n"/>
      <c r="F2746" s="18" t="n"/>
      <c r="G2746" s="18" t="n"/>
      <c r="H2746" s="18" t="n"/>
      <c r="I2746" s="18" t="n"/>
      <c r="J2746" s="19" t="n">
        <v>0</v>
      </c>
      <c r="K2746" s="35" t="n">
        <v>0.065</v>
      </c>
    </row>
    <row r="2747">
      <c r="A2747" s="36" t="inlineStr">
        <is>
          <t>AGA SPK-tilskudd</t>
        </is>
      </c>
      <c r="B2747" s="36" t="inlineStr">
        <is>
          <t>Region Øst</t>
        </is>
      </c>
      <c r="C2747" s="36" t="inlineStr">
        <is>
          <t>Gullhella barne- og familiesenter Foreldre- og barn avdeling</t>
        </is>
      </c>
      <c r="D2747" s="26" t="n"/>
      <c r="E2747" s="26" t="n"/>
      <c r="F2747" s="26" t="n">
        <v>-14051</v>
      </c>
      <c r="G2747" s="26" t="n">
        <v>7477</v>
      </c>
      <c r="H2747" s="26" t="n">
        <v>8092</v>
      </c>
      <c r="I2747" s="26" t="n"/>
      <c r="J2747" s="19" t="n">
        <v>0</v>
      </c>
      <c r="K2747" s="37" t="n">
        <v>0.065</v>
      </c>
    </row>
    <row r="2748">
      <c r="A2748" s="34" t="inlineStr">
        <is>
          <t>AGA SPK-tilskudd</t>
        </is>
      </c>
      <c r="B2748" s="34" t="inlineStr">
        <is>
          <t>Region Øst</t>
        </is>
      </c>
      <c r="C2748" s="34" t="inlineStr">
        <is>
          <t>Gullhella barne- og familiesenter Foreldre- og barn avdeling</t>
        </is>
      </c>
      <c r="D2748" s="18" t="n"/>
      <c r="E2748" s="18" t="n"/>
      <c r="F2748" s="18" t="n">
        <v>985</v>
      </c>
      <c r="G2748" s="18" t="n">
        <v>4871</v>
      </c>
      <c r="H2748" s="18" t="n">
        <v>2577</v>
      </c>
      <c r="I2748" s="18" t="n">
        <v>438</v>
      </c>
      <c r="J2748" s="19" t="n">
        <v>496.7905499999999</v>
      </c>
      <c r="K2748" s="35" t="n">
        <v>0.065</v>
      </c>
    </row>
    <row r="2749">
      <c r="A2749" s="36" t="inlineStr">
        <is>
          <t>AGA SPK-tilskudd</t>
        </is>
      </c>
      <c r="B2749" s="36" t="inlineStr">
        <is>
          <t>Region Øst</t>
        </is>
      </c>
      <c r="C2749" s="36" t="inlineStr">
        <is>
          <t>Gullhella barne- og familiesenter Foreldre- og barn avdeling</t>
        </is>
      </c>
      <c r="D2749" s="26" t="n"/>
      <c r="E2749" s="26" t="n"/>
      <c r="F2749" s="26" t="n">
        <v>1125</v>
      </c>
      <c r="G2749" s="26" t="n">
        <v>2655</v>
      </c>
      <c r="H2749" s="26" t="n">
        <v>3053</v>
      </c>
      <c r="I2749" s="26" t="n"/>
      <c r="J2749" s="19" t="n">
        <v>0</v>
      </c>
      <c r="K2749" s="37" t="n">
        <v>0.065</v>
      </c>
    </row>
    <row r="2750">
      <c r="A2750" s="34" t="inlineStr">
        <is>
          <t>AGA SPK-tilskudd</t>
        </is>
      </c>
      <c r="B2750" s="34" t="inlineStr">
        <is>
          <t>Region Øst</t>
        </is>
      </c>
      <c r="C2750" s="34" t="inlineStr">
        <is>
          <t>Gullhella barne- og familiesenter Foreldre- og barn avdeling</t>
        </is>
      </c>
      <c r="D2750" s="18" t="n"/>
      <c r="E2750" s="18" t="n"/>
      <c r="F2750" s="18" t="n"/>
      <c r="G2750" s="18" t="n">
        <v>280</v>
      </c>
      <c r="H2750" s="18" t="n"/>
      <c r="I2750" s="18" t="n">
        <v>200</v>
      </c>
      <c r="J2750" s="19" t="n">
        <v>226.845</v>
      </c>
      <c r="K2750" s="35" t="n">
        <v>0.065</v>
      </c>
    </row>
    <row r="2751">
      <c r="A2751" s="36" t="inlineStr">
        <is>
          <t>AGA SPK-tilskudd</t>
        </is>
      </c>
      <c r="B2751" s="36" t="inlineStr">
        <is>
          <t>Region Øst</t>
        </is>
      </c>
      <c r="C2751" s="36" t="inlineStr">
        <is>
          <t>Gullhella barne- og familiesenter Foreldre- og barn avdeling</t>
        </is>
      </c>
      <c r="D2751" s="26" t="n"/>
      <c r="E2751" s="26" t="n"/>
      <c r="F2751" s="26" t="n"/>
      <c r="G2751" s="26" t="n"/>
      <c r="H2751" s="26" t="n"/>
      <c r="I2751" s="26" t="n">
        <v>150</v>
      </c>
      <c r="J2751" s="19" t="n">
        <v>170.13375</v>
      </c>
      <c r="K2751" s="37" t="n">
        <v>0.065</v>
      </c>
    </row>
    <row r="2752">
      <c r="A2752" s="34" t="inlineStr">
        <is>
          <t>AGA SPK-tilskudd</t>
        </is>
      </c>
      <c r="B2752" s="34" t="inlineStr">
        <is>
          <t>Region Øst</t>
        </is>
      </c>
      <c r="C2752" s="34" t="inlineStr">
        <is>
          <t>Gullhella barne- og familiesenter Foreldre- og barn avdeling</t>
        </is>
      </c>
      <c r="D2752" s="18" t="n"/>
      <c r="E2752" s="18" t="n"/>
      <c r="F2752" s="18" t="n"/>
      <c r="G2752" s="18" t="n">
        <v>166</v>
      </c>
      <c r="H2752" s="18" t="n"/>
      <c r="I2752" s="18" t="n">
        <v>184</v>
      </c>
      <c r="J2752" s="19" t="n">
        <v>208.6974</v>
      </c>
      <c r="K2752" s="35" t="n">
        <v>0.065</v>
      </c>
    </row>
    <row r="2753">
      <c r="A2753" s="36" t="inlineStr">
        <is>
          <t>AGA SPK-tilskudd</t>
        </is>
      </c>
      <c r="B2753" s="36" t="inlineStr">
        <is>
          <t>Region Øst</t>
        </is>
      </c>
      <c r="C2753" s="36" t="inlineStr">
        <is>
          <t>Gullhella barne- og familiesenter Foreldre- og barn avdeling</t>
        </is>
      </c>
      <c r="D2753" s="26" t="n"/>
      <c r="E2753" s="26" t="n"/>
      <c r="F2753" s="26" t="n"/>
      <c r="G2753" s="26" t="n"/>
      <c r="H2753" s="26" t="n">
        <v>5344</v>
      </c>
      <c r="I2753" s="26" t="n"/>
      <c r="J2753" s="19" t="n">
        <v>0</v>
      </c>
      <c r="K2753" s="37" t="n">
        <v>0.065</v>
      </c>
    </row>
    <row r="2754">
      <c r="A2754" s="34" t="inlineStr">
        <is>
          <t>AGA SPK-tilskudd</t>
        </is>
      </c>
      <c r="B2754" s="34" t="inlineStr">
        <is>
          <t>Region Øst</t>
        </is>
      </c>
      <c r="C2754" s="34" t="inlineStr">
        <is>
          <t>Gullhella barne- og familiesenter Foreldre- og barn avdeling</t>
        </is>
      </c>
      <c r="D2754" s="18" t="n"/>
      <c r="E2754" s="18" t="n"/>
      <c r="F2754" s="18" t="n"/>
      <c r="G2754" s="18" t="n"/>
      <c r="H2754" s="18" t="n">
        <v>-21906</v>
      </c>
      <c r="I2754" s="18" t="n"/>
      <c r="J2754" s="19" t="n">
        <v>0</v>
      </c>
      <c r="K2754" s="35" t="n">
        <v>0.065</v>
      </c>
    </row>
    <row r="2755">
      <c r="A2755" s="36" t="inlineStr">
        <is>
          <t>AGA SPK-tilskudd</t>
        </is>
      </c>
      <c r="B2755" s="36" t="inlineStr">
        <is>
          <t>Region Øst</t>
        </is>
      </c>
      <c r="C2755" s="36" t="inlineStr">
        <is>
          <t>Hedmark ungdoms- og  familiesenter - akutt  Administrasjon</t>
        </is>
      </c>
      <c r="D2755" s="26" t="n">
        <v>37950</v>
      </c>
      <c r="E2755" s="26" t="n">
        <v>31829</v>
      </c>
      <c r="F2755" s="26" t="n">
        <v>24675</v>
      </c>
      <c r="G2755" s="26" t="n">
        <v>26141</v>
      </c>
      <c r="H2755" s="26" t="n">
        <v>20323</v>
      </c>
      <c r="I2755" s="26" t="n">
        <v>156</v>
      </c>
      <c r="J2755" s="19" t="n">
        <v>87.75</v>
      </c>
      <c r="K2755" s="37" t="n">
        <v>-0.25</v>
      </c>
    </row>
    <row r="2756">
      <c r="A2756" s="34" t="inlineStr">
        <is>
          <t>AGA SPK-tilskudd</t>
        </is>
      </c>
      <c r="B2756" s="34" t="inlineStr">
        <is>
          <t>Region Øst</t>
        </is>
      </c>
      <c r="C2756" s="34" t="inlineStr">
        <is>
          <t>Hedmark ungdoms- og  familiesenter - akutt  Administrasjon</t>
        </is>
      </c>
      <c r="D2756" s="18" t="n">
        <v>21112</v>
      </c>
      <c r="E2756" s="18" t="n">
        <v>12932</v>
      </c>
      <c r="F2756" s="18" t="n">
        <v>25108</v>
      </c>
      <c r="G2756" s="18" t="n">
        <v>13917</v>
      </c>
      <c r="H2756" s="18" t="n">
        <v>35958</v>
      </c>
      <c r="I2756" s="18" t="n"/>
      <c r="J2756" s="19" t="n">
        <v>0</v>
      </c>
      <c r="K2756" s="35" t="n">
        <v>0.065</v>
      </c>
    </row>
    <row r="2757">
      <c r="A2757" s="36" t="inlineStr">
        <is>
          <t>AGA SPK-tilskudd</t>
        </is>
      </c>
      <c r="B2757" s="36" t="inlineStr">
        <is>
          <t>Region Øst</t>
        </is>
      </c>
      <c r="C2757" s="36" t="inlineStr">
        <is>
          <t>Hedmark ungdoms- og  familiesenter - akutt  Administrasjon</t>
        </is>
      </c>
      <c r="D2757" s="26" t="n">
        <v>5100</v>
      </c>
      <c r="E2757" s="26" t="n">
        <v>4908</v>
      </c>
      <c r="F2757" s="26" t="n">
        <v>4908</v>
      </c>
      <c r="G2757" s="26" t="n">
        <v>5841</v>
      </c>
      <c r="H2757" s="26" t="n">
        <v>5134</v>
      </c>
      <c r="I2757" s="26" t="n"/>
      <c r="J2757" s="19" t="n">
        <v>0</v>
      </c>
      <c r="K2757" s="37" t="n">
        <v>0.065</v>
      </c>
    </row>
    <row r="2758">
      <c r="A2758" s="34" t="inlineStr">
        <is>
          <t>AGA SPK-tilskudd</t>
        </is>
      </c>
      <c r="B2758" s="34" t="inlineStr">
        <is>
          <t>Region Øst</t>
        </is>
      </c>
      <c r="C2758" s="34" t="inlineStr">
        <is>
          <t>Hedmark ungdoms- og  familiesenter - akutt  Administrasjon</t>
        </is>
      </c>
      <c r="D2758" s="18" t="n"/>
      <c r="E2758" s="18" t="n"/>
      <c r="F2758" s="18" t="n">
        <v>1509</v>
      </c>
      <c r="G2758" s="18" t="n"/>
      <c r="H2758" s="18" t="n">
        <v>6045</v>
      </c>
      <c r="I2758" s="18" t="n"/>
      <c r="J2758" s="19" t="n">
        <v>0</v>
      </c>
      <c r="K2758" s="35" t="n">
        <v>0.065</v>
      </c>
    </row>
    <row r="2759">
      <c r="A2759" s="36" t="inlineStr">
        <is>
          <t>AGA SPK-tilskudd</t>
        </is>
      </c>
      <c r="B2759" s="36" t="inlineStr">
        <is>
          <t>Region Øst</t>
        </is>
      </c>
      <c r="C2759" s="36" t="inlineStr">
        <is>
          <t>Hedmark ungdoms- og  familiesenter - akutt  Administrasjon</t>
        </is>
      </c>
      <c r="D2759" s="26" t="n">
        <v>3598</v>
      </c>
      <c r="E2759" s="26" t="n">
        <v>3077</v>
      </c>
      <c r="F2759" s="26" t="n">
        <v>9392</v>
      </c>
      <c r="G2759" s="26" t="n">
        <v>2963</v>
      </c>
      <c r="H2759" s="26" t="n">
        <v>23484</v>
      </c>
      <c r="I2759" s="26" t="n"/>
      <c r="J2759" s="19" t="n">
        <v>0</v>
      </c>
      <c r="K2759" s="37" t="n">
        <v>0.065</v>
      </c>
    </row>
    <row r="2760">
      <c r="A2760" s="34" t="inlineStr">
        <is>
          <t>AGA SPK-tilskudd</t>
        </is>
      </c>
      <c r="B2760" s="34" t="inlineStr">
        <is>
          <t>Region Øst</t>
        </is>
      </c>
      <c r="C2760" s="34" t="inlineStr">
        <is>
          <t>Hedmark ungdoms- og  familiesenter - akutt  Administrasjon</t>
        </is>
      </c>
      <c r="D2760" s="18" t="n">
        <v>2515</v>
      </c>
      <c r="E2760" s="18" t="n">
        <v>829</v>
      </c>
      <c r="F2760" s="18" t="n">
        <v>5278</v>
      </c>
      <c r="G2760" s="18" t="n">
        <v>2580</v>
      </c>
      <c r="H2760" s="18" t="n">
        <v>598</v>
      </c>
      <c r="I2760" s="18" t="n"/>
      <c r="J2760" s="19" t="n">
        <v>0</v>
      </c>
      <c r="K2760" s="35" t="n">
        <v>0.065</v>
      </c>
    </row>
    <row r="2761">
      <c r="A2761" s="36" t="inlineStr">
        <is>
          <t>AGA SPK-tilskudd</t>
        </is>
      </c>
      <c r="B2761" s="36" t="inlineStr">
        <is>
          <t>Region Øst</t>
        </is>
      </c>
      <c r="C2761" s="36" t="inlineStr">
        <is>
          <t>Hedmark ungdoms- og  familiesenter - akutt  Administrasjon</t>
        </is>
      </c>
      <c r="D2761" s="26" t="n">
        <v>4166</v>
      </c>
      <c r="E2761" s="26" t="n">
        <v>14728</v>
      </c>
      <c r="F2761" s="26" t="n">
        <v>5564</v>
      </c>
      <c r="G2761" s="26" t="n">
        <v>6140</v>
      </c>
      <c r="H2761" s="26" t="n"/>
      <c r="I2761" s="26" t="n"/>
      <c r="J2761" s="19" t="n">
        <v>0</v>
      </c>
      <c r="K2761" s="37" t="n">
        <v>0.065</v>
      </c>
    </row>
    <row r="2762">
      <c r="A2762" s="34" t="inlineStr">
        <is>
          <t>AGA SPK-tilskudd</t>
        </is>
      </c>
      <c r="B2762" s="34" t="inlineStr">
        <is>
          <t>Region Øst</t>
        </is>
      </c>
      <c r="C2762" s="34" t="inlineStr">
        <is>
          <t>Hedmark ungdoms- og  familiesenter - akutt  Administrasjon</t>
        </is>
      </c>
      <c r="D2762" s="18" t="n">
        <v>2272</v>
      </c>
      <c r="E2762" s="18" t="n">
        <v>435</v>
      </c>
      <c r="F2762" s="18" t="n">
        <v>3004</v>
      </c>
      <c r="G2762" s="18" t="n">
        <v>2627</v>
      </c>
      <c r="H2762" s="18" t="n">
        <v>8945</v>
      </c>
      <c r="I2762" s="18" t="n"/>
      <c r="J2762" s="19" t="n">
        <v>0</v>
      </c>
      <c r="K2762" s="35" t="n">
        <v>0.065</v>
      </c>
    </row>
    <row r="2763">
      <c r="A2763" s="36" t="inlineStr">
        <is>
          <t>AGA SPK-tilskudd</t>
        </is>
      </c>
      <c r="B2763" s="36" t="inlineStr">
        <is>
          <t>Region Øst</t>
        </is>
      </c>
      <c r="C2763" s="36" t="inlineStr">
        <is>
          <t>Hedmark ungdoms- og  familiesenter - akutt  Administrasjon</t>
        </is>
      </c>
      <c r="D2763" s="26" t="n"/>
      <c r="E2763" s="26" t="n"/>
      <c r="F2763" s="26" t="n"/>
      <c r="G2763" s="26" t="n">
        <v>12000</v>
      </c>
      <c r="H2763" s="26" t="n"/>
      <c r="I2763" s="26" t="n"/>
      <c r="J2763" s="19" t="n">
        <v>0</v>
      </c>
      <c r="K2763" s="37" t="n">
        <v>0.065</v>
      </c>
    </row>
    <row r="2764">
      <c r="A2764" s="34" t="inlineStr">
        <is>
          <t>AGA SPK-tilskudd</t>
        </is>
      </c>
      <c r="B2764" s="34" t="inlineStr">
        <is>
          <t>Region Øst</t>
        </is>
      </c>
      <c r="C2764" s="34" t="inlineStr">
        <is>
          <t>Hedmark ungdoms- og  familiesenter - akutt  Administrasjon</t>
        </is>
      </c>
      <c r="D2764" s="18" t="n"/>
      <c r="E2764" s="18" t="n"/>
      <c r="F2764" s="18" t="n"/>
      <c r="G2764" s="18" t="n">
        <v>6549</v>
      </c>
      <c r="H2764" s="18" t="n"/>
      <c r="I2764" s="18" t="n"/>
      <c r="J2764" s="19" t="n">
        <v>0</v>
      </c>
      <c r="K2764" s="35" t="n">
        <v>0.065</v>
      </c>
    </row>
    <row r="2765">
      <c r="A2765" s="36" t="inlineStr">
        <is>
          <t>AGA SPK-tilskudd</t>
        </is>
      </c>
      <c r="B2765" s="36" t="inlineStr">
        <is>
          <t>Region Øst</t>
        </is>
      </c>
      <c r="C2765" s="36" t="inlineStr">
        <is>
          <t>Hedmark ungdoms- og  familiesenter - akutt  Administrasjon</t>
        </is>
      </c>
      <c r="D2765" s="26" t="n">
        <v>253</v>
      </c>
      <c r="E2765" s="26" t="n"/>
      <c r="F2765" s="26" t="n"/>
      <c r="G2765" s="26" t="n"/>
      <c r="H2765" s="26" t="n"/>
      <c r="I2765" s="26" t="n"/>
      <c r="J2765" s="19" t="n">
        <v>0</v>
      </c>
      <c r="K2765" s="37" t="n">
        <v>0.065</v>
      </c>
    </row>
    <row r="2766">
      <c r="A2766" s="34" t="inlineStr">
        <is>
          <t>AGA SPK-tilskudd</t>
        </is>
      </c>
      <c r="B2766" s="34" t="inlineStr">
        <is>
          <t>Region Øst</t>
        </is>
      </c>
      <c r="C2766" s="34" t="inlineStr">
        <is>
          <t>Hedmark ungdoms- og  familiesenter - akutt  Administrasjon</t>
        </is>
      </c>
      <c r="D2766" s="18" t="n">
        <v>2000</v>
      </c>
      <c r="E2766" s="18" t="n"/>
      <c r="F2766" s="18" t="n"/>
      <c r="G2766" s="18" t="n"/>
      <c r="H2766" s="18" t="n"/>
      <c r="I2766" s="18" t="n"/>
      <c r="J2766" s="19" t="n">
        <v>0</v>
      </c>
      <c r="K2766" s="35" t="n">
        <v>0.065</v>
      </c>
    </row>
    <row r="2767">
      <c r="A2767" s="36" t="inlineStr">
        <is>
          <t>AGA SPK-tilskudd</t>
        </is>
      </c>
      <c r="B2767" s="36" t="inlineStr">
        <is>
          <t>Region Øst</t>
        </is>
      </c>
      <c r="C2767" s="36" t="inlineStr">
        <is>
          <t>Hedmark ungdoms- og  familiesenter - akutt  Administrasjon</t>
        </is>
      </c>
      <c r="D2767" s="26" t="n">
        <v>-11300</v>
      </c>
      <c r="E2767" s="26" t="n">
        <v>-5800</v>
      </c>
      <c r="F2767" s="26" t="n">
        <v>-5400</v>
      </c>
      <c r="G2767" s="26" t="n">
        <v>-5400</v>
      </c>
      <c r="H2767" s="26" t="n">
        <v>-1800</v>
      </c>
      <c r="I2767" s="26" t="n"/>
      <c r="J2767" s="19" t="n">
        <v>0</v>
      </c>
      <c r="K2767" s="37" t="n">
        <v>0.065</v>
      </c>
    </row>
    <row r="2768">
      <c r="A2768" s="34" t="inlineStr">
        <is>
          <t>AGA SPK-tilskudd</t>
        </is>
      </c>
      <c r="B2768" s="34" t="inlineStr">
        <is>
          <t>Region Øst</t>
        </is>
      </c>
      <c r="C2768" s="34" t="inlineStr">
        <is>
          <t>Hedmark ungdoms- og  familiesenter - akutt  Administrasjon</t>
        </is>
      </c>
      <c r="D2768" s="18" t="n">
        <v>-6634</v>
      </c>
      <c r="E2768" s="18" t="n">
        <v>-370</v>
      </c>
      <c r="F2768" s="18" t="n">
        <v>-38258</v>
      </c>
      <c r="G2768" s="18" t="n">
        <v>-3480</v>
      </c>
      <c r="H2768" s="18" t="n"/>
      <c r="I2768" s="18" t="n"/>
      <c r="J2768" s="19" t="n">
        <v>0</v>
      </c>
      <c r="K2768" s="35" t="n">
        <v>0.065</v>
      </c>
    </row>
    <row r="2769">
      <c r="A2769" s="36" t="inlineStr">
        <is>
          <t>AGA SPK-tilskudd</t>
        </is>
      </c>
      <c r="B2769" s="36" t="inlineStr">
        <is>
          <t>Region Øst</t>
        </is>
      </c>
      <c r="C2769" s="36" t="inlineStr">
        <is>
          <t>Hedmark ungdoms- og  familiesenter - akutt  Avdeling  Stange 1</t>
        </is>
      </c>
      <c r="D2769" s="26" t="n">
        <v>182571</v>
      </c>
      <c r="E2769" s="26" t="n">
        <v>158779</v>
      </c>
      <c r="F2769" s="26" t="n">
        <v>121666</v>
      </c>
      <c r="G2769" s="26" t="n">
        <v>140132</v>
      </c>
      <c r="H2769" s="26" t="n">
        <v>151963</v>
      </c>
      <c r="I2769" s="26" t="n">
        <v>2843</v>
      </c>
      <c r="J2769" s="19" t="n">
        <v>1599.1875</v>
      </c>
      <c r="K2769" s="37" t="n">
        <v>-0.25</v>
      </c>
    </row>
    <row r="2770">
      <c r="A2770" s="34" t="inlineStr">
        <is>
          <t>AGA SPK-tilskudd</t>
        </is>
      </c>
      <c r="B2770" s="34" t="inlineStr">
        <is>
          <t>Region Øst</t>
        </is>
      </c>
      <c r="C2770" s="34" t="inlineStr">
        <is>
          <t>Hedmark ungdoms- og  familiesenter - akutt  Avdeling  Stange 1</t>
        </is>
      </c>
      <c r="D2770" s="18" t="n">
        <v>241613</v>
      </c>
      <c r="E2770" s="18" t="n">
        <v>10278</v>
      </c>
      <c r="F2770" s="18" t="n">
        <v>58646</v>
      </c>
      <c r="G2770" s="18" t="n">
        <v>53967</v>
      </c>
      <c r="H2770" s="18" t="n">
        <v>40351</v>
      </c>
      <c r="I2770" s="18" t="n">
        <v>107</v>
      </c>
      <c r="J2770" s="19" t="n">
        <v>60.1875</v>
      </c>
      <c r="K2770" s="35" t="n">
        <v>-0.25</v>
      </c>
    </row>
    <row r="2771">
      <c r="A2771" s="36" t="inlineStr">
        <is>
          <t>AGA SPK-tilskudd</t>
        </is>
      </c>
      <c r="B2771" s="36" t="inlineStr">
        <is>
          <t>Region Øst</t>
        </is>
      </c>
      <c r="C2771" s="36" t="inlineStr">
        <is>
          <t>Hedmark ungdoms- og  familiesenter - akutt  Avdeling  Stange 1</t>
        </is>
      </c>
      <c r="D2771" s="26" t="n">
        <v>5650</v>
      </c>
      <c r="E2771" s="26" t="n">
        <v>10614</v>
      </c>
      <c r="F2771" s="26" t="n">
        <v>41956</v>
      </c>
      <c r="G2771" s="26" t="n">
        <v>30104</v>
      </c>
      <c r="H2771" s="26" t="n">
        <v>5760</v>
      </c>
      <c r="I2771" s="26" t="n">
        <v>1102</v>
      </c>
      <c r="J2771" s="19" t="n">
        <v>619.875</v>
      </c>
      <c r="K2771" s="37" t="n">
        <v>-0.25</v>
      </c>
    </row>
    <row r="2772">
      <c r="A2772" s="34" t="inlineStr">
        <is>
          <t>AGA SPK-tilskudd</t>
        </is>
      </c>
      <c r="B2772" s="34" t="inlineStr">
        <is>
          <t>Region Øst</t>
        </is>
      </c>
      <c r="C2772" s="34" t="inlineStr">
        <is>
          <t>Hedmark ungdoms- og  familiesenter - akutt  Avdeling  Stange 1</t>
        </is>
      </c>
      <c r="D2772" s="18" t="n">
        <v>41300</v>
      </c>
      <c r="E2772" s="18" t="n">
        <v>43354</v>
      </c>
      <c r="F2772" s="18" t="n">
        <v>45604</v>
      </c>
      <c r="G2772" s="18" t="n">
        <v>59472</v>
      </c>
      <c r="H2772" s="18" t="n">
        <v>67571</v>
      </c>
      <c r="I2772" s="18" t="n"/>
      <c r="J2772" s="19" t="n">
        <v>0</v>
      </c>
      <c r="K2772" s="35" t="n">
        <v>0.065</v>
      </c>
    </row>
    <row r="2773">
      <c r="A2773" s="36" t="inlineStr">
        <is>
          <t>AGA SPK-tilskudd</t>
        </is>
      </c>
      <c r="B2773" s="36" t="inlineStr">
        <is>
          <t>Region Øst</t>
        </is>
      </c>
      <c r="C2773" s="36" t="inlineStr">
        <is>
          <t>Hedmark ungdoms- og  familiesenter - akutt  Avdeling  Stange 1</t>
        </is>
      </c>
      <c r="D2773" s="26" t="n"/>
      <c r="E2773" s="26" t="n">
        <v>11592</v>
      </c>
      <c r="F2773" s="26" t="n"/>
      <c r="G2773" s="26" t="n">
        <v>3244</v>
      </c>
      <c r="H2773" s="26" t="n"/>
      <c r="I2773" s="26" t="n"/>
      <c r="J2773" s="19" t="n">
        <v>0</v>
      </c>
      <c r="K2773" s="37" t="n">
        <v>0.065</v>
      </c>
    </row>
    <row r="2774">
      <c r="A2774" s="34" t="inlineStr">
        <is>
          <t>AGA SPK-tilskudd</t>
        </is>
      </c>
      <c r="B2774" s="34" t="inlineStr">
        <is>
          <t>Region Øst</t>
        </is>
      </c>
      <c r="C2774" s="34" t="inlineStr">
        <is>
          <t>Hedmark ungdoms- og  familiesenter - akutt  Avdeling  Stange 1</t>
        </is>
      </c>
      <c r="D2774" s="18" t="n"/>
      <c r="E2774" s="18" t="n">
        <v>880</v>
      </c>
      <c r="F2774" s="18" t="n">
        <v>1705</v>
      </c>
      <c r="G2774" s="18" t="n">
        <v>1985</v>
      </c>
      <c r="H2774" s="18" t="n">
        <v>392</v>
      </c>
      <c r="I2774" s="18" t="n"/>
      <c r="J2774" s="19" t="n">
        <v>0</v>
      </c>
      <c r="K2774" s="35" t="n">
        <v>0.065</v>
      </c>
    </row>
    <row r="2775">
      <c r="A2775" s="36" t="inlineStr">
        <is>
          <t>AGA SPK-tilskudd</t>
        </is>
      </c>
      <c r="B2775" s="36" t="inlineStr">
        <is>
          <t>Region Øst</t>
        </is>
      </c>
      <c r="C2775" s="36" t="inlineStr">
        <is>
          <t>Hedmark ungdoms- og  familiesenter - akutt  Avdeling  Stange 1</t>
        </is>
      </c>
      <c r="D2775" s="26" t="n"/>
      <c r="E2775" s="26" t="n">
        <v>1737</v>
      </c>
      <c r="F2775" s="26" t="n">
        <v>3213</v>
      </c>
      <c r="G2775" s="26" t="n">
        <v>3838</v>
      </c>
      <c r="H2775" s="26" t="n">
        <v>2686</v>
      </c>
      <c r="I2775" s="26" t="n"/>
      <c r="J2775" s="19" t="n">
        <v>0</v>
      </c>
      <c r="K2775" s="37" t="n">
        <v>0.065</v>
      </c>
    </row>
    <row r="2776">
      <c r="A2776" s="34" t="inlineStr">
        <is>
          <t>AGA SPK-tilskudd</t>
        </is>
      </c>
      <c r="B2776" s="34" t="inlineStr">
        <is>
          <t>Region Øst</t>
        </is>
      </c>
      <c r="C2776" s="34" t="inlineStr">
        <is>
          <t>Hedmark ungdoms- og  familiesenter - akutt  Avdeling  Stange 1</t>
        </is>
      </c>
      <c r="D2776" s="18" t="n"/>
      <c r="E2776" s="18" t="n"/>
      <c r="F2776" s="18" t="n">
        <v>1400</v>
      </c>
      <c r="G2776" s="18" t="n"/>
      <c r="H2776" s="18" t="n"/>
      <c r="I2776" s="18" t="n"/>
      <c r="J2776" s="19" t="n">
        <v>0</v>
      </c>
      <c r="K2776" s="35" t="n">
        <v>0.065</v>
      </c>
    </row>
    <row r="2777">
      <c r="A2777" s="36" t="inlineStr">
        <is>
          <t>AGA SPK-tilskudd</t>
        </is>
      </c>
      <c r="B2777" s="36" t="inlineStr">
        <is>
          <t>Region Øst</t>
        </is>
      </c>
      <c r="C2777" s="36" t="inlineStr">
        <is>
          <t>Hedmark ungdoms- og  familiesenter - akutt  Avdeling  Stange 1</t>
        </is>
      </c>
      <c r="D2777" s="26" t="n">
        <v>683</v>
      </c>
      <c r="E2777" s="26" t="n">
        <v>18190</v>
      </c>
      <c r="F2777" s="26" t="n">
        <v>1501</v>
      </c>
      <c r="G2777" s="26" t="n">
        <v>16755</v>
      </c>
      <c r="H2777" s="26" t="n">
        <v>5560</v>
      </c>
      <c r="I2777" s="26" t="n"/>
      <c r="J2777" s="19" t="n">
        <v>0</v>
      </c>
      <c r="K2777" s="37" t="n">
        <v>0.065</v>
      </c>
    </row>
    <row r="2778">
      <c r="A2778" s="34" t="inlineStr">
        <is>
          <t>AGA SPK-tilskudd</t>
        </is>
      </c>
      <c r="B2778" s="34" t="inlineStr">
        <is>
          <t>Region Øst</t>
        </is>
      </c>
      <c r="C2778" s="34" t="inlineStr">
        <is>
          <t>Hedmark ungdoms- og  familiesenter - akutt  Avdeling  Stange 1</t>
        </is>
      </c>
      <c r="D2778" s="18" t="n"/>
      <c r="E2778" s="18" t="n">
        <v>721</v>
      </c>
      <c r="F2778" s="18" t="n">
        <v>3157</v>
      </c>
      <c r="G2778" s="18" t="n">
        <v>1963</v>
      </c>
      <c r="H2778" s="18" t="n">
        <v>844</v>
      </c>
      <c r="I2778" s="18" t="n"/>
      <c r="J2778" s="19" t="n">
        <v>0</v>
      </c>
      <c r="K2778" s="35" t="n">
        <v>0.065</v>
      </c>
    </row>
    <row r="2779">
      <c r="A2779" s="36" t="inlineStr">
        <is>
          <t>AGA SPK-tilskudd</t>
        </is>
      </c>
      <c r="B2779" s="36" t="inlineStr">
        <is>
          <t>Region Øst</t>
        </is>
      </c>
      <c r="C2779" s="36" t="inlineStr">
        <is>
          <t>Hedmark ungdoms- og  familiesenter - akutt  Avdeling  Stange 1</t>
        </is>
      </c>
      <c r="D2779" s="26" t="n">
        <v>14000</v>
      </c>
      <c r="E2779" s="26" t="n"/>
      <c r="F2779" s="26" t="n"/>
      <c r="G2779" s="26" t="n"/>
      <c r="H2779" s="26" t="n"/>
      <c r="I2779" s="26" t="n"/>
      <c r="J2779" s="19" t="n">
        <v>0</v>
      </c>
      <c r="K2779" s="37" t="n">
        <v>0.065</v>
      </c>
    </row>
    <row r="2780">
      <c r="A2780" s="34" t="inlineStr">
        <is>
          <t>AGA SPK-tilskudd</t>
        </is>
      </c>
      <c r="B2780" s="34" t="inlineStr">
        <is>
          <t>Region Øst</t>
        </is>
      </c>
      <c r="C2780" s="34" t="inlineStr">
        <is>
          <t>Hedmark ungdoms- og  familiesenter - akutt  Avdeling  Stange 1</t>
        </is>
      </c>
      <c r="D2780" s="18" t="n">
        <v>-39785</v>
      </c>
      <c r="E2780" s="18" t="n">
        <v>-34376</v>
      </c>
      <c r="F2780" s="18" t="n">
        <v>-35200</v>
      </c>
      <c r="G2780" s="18" t="n">
        <v>-31600</v>
      </c>
      <c r="H2780" s="18" t="n">
        <v>-28320</v>
      </c>
      <c r="I2780" s="18" t="n"/>
      <c r="J2780" s="19" t="n">
        <v>0</v>
      </c>
      <c r="K2780" s="35" t="n">
        <v>0.065</v>
      </c>
    </row>
    <row r="2781">
      <c r="A2781" s="36" t="inlineStr">
        <is>
          <t>AGA SPK-tilskudd</t>
        </is>
      </c>
      <c r="B2781" s="36" t="inlineStr">
        <is>
          <t>Region Øst</t>
        </is>
      </c>
      <c r="C2781" s="36" t="inlineStr">
        <is>
          <t>Hedmark ungdoms- og  familiesenter - akutt  Avdeling  Stange 1</t>
        </is>
      </c>
      <c r="D2781" s="26" t="n">
        <v>-138221</v>
      </c>
      <c r="E2781" s="26" t="n">
        <v>-214173</v>
      </c>
      <c r="F2781" s="26" t="n"/>
      <c r="G2781" s="26" t="n"/>
      <c r="H2781" s="26" t="n"/>
      <c r="I2781" s="26" t="n"/>
      <c r="J2781" s="19" t="n">
        <v>0</v>
      </c>
      <c r="K2781" s="37" t="n">
        <v>0.065</v>
      </c>
    </row>
    <row r="2782">
      <c r="A2782" s="34" t="inlineStr">
        <is>
          <t>AGA SPK-tilskudd</t>
        </is>
      </c>
      <c r="B2782" s="34" t="inlineStr">
        <is>
          <t>Region Øst</t>
        </is>
      </c>
      <c r="C2782" s="34" t="inlineStr">
        <is>
          <t>Hedmark ungdoms- og  familiesenter - akutt  Avdeling  Stange 1</t>
        </is>
      </c>
      <c r="D2782" s="18" t="n">
        <v>-29094</v>
      </c>
      <c r="E2782" s="18" t="n">
        <v>-208400</v>
      </c>
      <c r="F2782" s="18" t="n">
        <v>-150020</v>
      </c>
      <c r="G2782" s="18" t="n">
        <v>-39150</v>
      </c>
      <c r="H2782" s="18" t="n">
        <v>-50072</v>
      </c>
      <c r="I2782" s="18" t="n">
        <v>-1760</v>
      </c>
      <c r="J2782" s="19" t="n">
        <v>-1996.236</v>
      </c>
      <c r="K2782" s="35" t="n">
        <v>0.065</v>
      </c>
    </row>
    <row r="2783">
      <c r="A2783" s="36" t="inlineStr">
        <is>
          <t>AGA SPK-tilskudd</t>
        </is>
      </c>
      <c r="B2783" s="36" t="inlineStr">
        <is>
          <t>Region Øst</t>
        </is>
      </c>
      <c r="C2783" s="36" t="inlineStr">
        <is>
          <t>Hedmark ungdoms- og  familiesenter - akutt  Avdeling  Stange 1</t>
        </is>
      </c>
      <c r="D2783" s="26" t="n">
        <v>-300451</v>
      </c>
      <c r="E2783" s="26" t="n">
        <v>-751510</v>
      </c>
      <c r="F2783" s="26" t="n">
        <v>-205496</v>
      </c>
      <c r="G2783" s="26" t="n">
        <v>-290596</v>
      </c>
      <c r="H2783" s="26" t="n">
        <v>-483508</v>
      </c>
      <c r="I2783" s="26" t="n">
        <v>65642</v>
      </c>
      <c r="J2783" s="19" t="n">
        <v>74452.79744999998</v>
      </c>
      <c r="K2783" s="37" t="n">
        <v>0.065</v>
      </c>
    </row>
    <row r="2784">
      <c r="A2784" s="34" t="inlineStr">
        <is>
          <t>AGA SPK-tilskudd</t>
        </is>
      </c>
      <c r="B2784" s="34" t="inlineStr">
        <is>
          <t>Region Øst</t>
        </is>
      </c>
      <c r="C2784" s="34" t="inlineStr">
        <is>
          <t>Hedmark ungdoms- og  familiesenter - akutt  Avdeling  Vien 1</t>
        </is>
      </c>
      <c r="D2784" s="18" t="n">
        <v>158594</v>
      </c>
      <c r="E2784" s="18" t="n">
        <v>148148</v>
      </c>
      <c r="F2784" s="18" t="n">
        <v>118191</v>
      </c>
      <c r="G2784" s="18" t="n">
        <v>147735</v>
      </c>
      <c r="H2784" s="18" t="n">
        <v>159350</v>
      </c>
      <c r="I2784" s="18" t="n">
        <v>3202</v>
      </c>
      <c r="J2784" s="19" t="n">
        <v>1801.125</v>
      </c>
      <c r="K2784" s="35" t="n">
        <v>-0.25</v>
      </c>
    </row>
    <row r="2785">
      <c r="A2785" s="36" t="inlineStr">
        <is>
          <t>AGA SPK-tilskudd</t>
        </is>
      </c>
      <c r="B2785" s="36" t="inlineStr">
        <is>
          <t>Region Øst</t>
        </is>
      </c>
      <c r="C2785" s="36" t="inlineStr">
        <is>
          <t>Hedmark ungdoms- og  familiesenter - akutt  Avdeling  Vien 1</t>
        </is>
      </c>
      <c r="D2785" s="26" t="n">
        <v>147120</v>
      </c>
      <c r="E2785" s="26" t="n">
        <v>136898</v>
      </c>
      <c r="F2785" s="26" t="n">
        <v>71056</v>
      </c>
      <c r="G2785" s="26" t="n">
        <v>44695</v>
      </c>
      <c r="H2785" s="26" t="n">
        <v>54969</v>
      </c>
      <c r="I2785" s="26" t="n">
        <v>226</v>
      </c>
      <c r="J2785" s="19" t="n">
        <v>127.125</v>
      </c>
      <c r="K2785" s="37" t="n">
        <v>-0.25</v>
      </c>
    </row>
    <row r="2786">
      <c r="A2786" s="34" t="inlineStr">
        <is>
          <t>AGA SPK-tilskudd</t>
        </is>
      </c>
      <c r="B2786" s="34" t="inlineStr">
        <is>
          <t>Region Øst</t>
        </is>
      </c>
      <c r="C2786" s="34" t="inlineStr">
        <is>
          <t>Hedmark ungdoms- og  familiesenter - akutt  Avdeling  Vien 1</t>
        </is>
      </c>
      <c r="D2786" s="18" t="n">
        <v>283</v>
      </c>
      <c r="E2786" s="18" t="n">
        <v>4603</v>
      </c>
      <c r="F2786" s="18" t="n">
        <v>29528</v>
      </c>
      <c r="G2786" s="18" t="n">
        <v>18228</v>
      </c>
      <c r="H2786" s="18" t="n">
        <v>30714</v>
      </c>
      <c r="I2786" s="18" t="n">
        <v>2203</v>
      </c>
      <c r="J2786" s="19" t="n">
        <v>3442.1875</v>
      </c>
      <c r="K2786" s="35" t="n">
        <v>0.25</v>
      </c>
    </row>
    <row r="2787">
      <c r="A2787" s="36" t="inlineStr">
        <is>
          <t>AGA SPK-tilskudd</t>
        </is>
      </c>
      <c r="B2787" s="36" t="inlineStr">
        <is>
          <t>Region Øst</t>
        </is>
      </c>
      <c r="C2787" s="36" t="inlineStr">
        <is>
          <t>Hedmark ungdoms- og  familiesenter - akutt  Avdeling  Vien 1</t>
        </is>
      </c>
      <c r="D2787" s="26" t="n">
        <v>44540</v>
      </c>
      <c r="E2787" s="26" t="n">
        <v>48771</v>
      </c>
      <c r="F2787" s="26" t="n">
        <v>55931</v>
      </c>
      <c r="G2787" s="26" t="n">
        <v>64251</v>
      </c>
      <c r="H2787" s="26" t="n">
        <v>69641</v>
      </c>
      <c r="I2787" s="26" t="n"/>
      <c r="J2787" s="19" t="n">
        <v>0</v>
      </c>
      <c r="K2787" s="37" t="n">
        <v>0.065</v>
      </c>
    </row>
    <row r="2788">
      <c r="A2788" s="34" t="inlineStr">
        <is>
          <t>AGA SPK-tilskudd</t>
        </is>
      </c>
      <c r="B2788" s="34" t="inlineStr">
        <is>
          <t>Region Øst</t>
        </is>
      </c>
      <c r="C2788" s="34" t="inlineStr">
        <is>
          <t>Hedmark ungdoms- og  familiesenter - akutt  Avdeling  Vien 1</t>
        </is>
      </c>
      <c r="D2788" s="18" t="n"/>
      <c r="E2788" s="18" t="n">
        <v>966</v>
      </c>
      <c r="F2788" s="18" t="n">
        <v>6036</v>
      </c>
      <c r="G2788" s="18" t="n">
        <v>6652</v>
      </c>
      <c r="H2788" s="18" t="n">
        <v>1725</v>
      </c>
      <c r="I2788" s="18" t="n"/>
      <c r="J2788" s="19" t="n">
        <v>0</v>
      </c>
      <c r="K2788" s="35" t="n">
        <v>0.065</v>
      </c>
    </row>
    <row r="2789">
      <c r="A2789" s="36" t="inlineStr">
        <is>
          <t>AGA SPK-tilskudd</t>
        </is>
      </c>
      <c r="B2789" s="36" t="inlineStr">
        <is>
          <t>Region Øst</t>
        </is>
      </c>
      <c r="C2789" s="36" t="inlineStr">
        <is>
          <t>Hedmark ungdoms- og  familiesenter - akutt  Avdeling  Vien 1</t>
        </is>
      </c>
      <c r="D2789" s="26" t="n"/>
      <c r="E2789" s="26" t="n">
        <v>91000</v>
      </c>
      <c r="F2789" s="26" t="n"/>
      <c r="G2789" s="26" t="n"/>
      <c r="H2789" s="26" t="n"/>
      <c r="I2789" s="26" t="n"/>
      <c r="J2789" s="19" t="n">
        <v>0</v>
      </c>
      <c r="K2789" s="37" t="n">
        <v>0.065</v>
      </c>
    </row>
    <row r="2790">
      <c r="A2790" s="34" t="inlineStr">
        <is>
          <t>AGA SPK-tilskudd</t>
        </is>
      </c>
      <c r="B2790" s="34" t="inlineStr">
        <is>
          <t>Region Øst</t>
        </is>
      </c>
      <c r="C2790" s="34" t="inlineStr">
        <is>
          <t>Hedmark ungdoms- og  familiesenter - akutt  Avdeling  Vien 1</t>
        </is>
      </c>
      <c r="D2790" s="18" t="n"/>
      <c r="E2790" s="18" t="n"/>
      <c r="F2790" s="18" t="n"/>
      <c r="G2790" s="18" t="n">
        <v>231</v>
      </c>
      <c r="H2790" s="18" t="n">
        <v>2919</v>
      </c>
      <c r="I2790" s="18" t="n"/>
      <c r="J2790" s="19" t="n">
        <v>0</v>
      </c>
      <c r="K2790" s="35" t="n">
        <v>0.065</v>
      </c>
    </row>
    <row r="2791">
      <c r="A2791" s="36" t="inlineStr">
        <is>
          <t>AGA SPK-tilskudd</t>
        </is>
      </c>
      <c r="B2791" s="36" t="inlineStr">
        <is>
          <t>Region Øst</t>
        </is>
      </c>
      <c r="C2791" s="36" t="inlineStr">
        <is>
          <t>Hedmark ungdoms- og  familiesenter - akutt  Avdeling  Vien 1</t>
        </is>
      </c>
      <c r="D2791" s="26" t="n"/>
      <c r="E2791" s="26" t="n"/>
      <c r="F2791" s="26" t="n">
        <v>1853</v>
      </c>
      <c r="G2791" s="26" t="n">
        <v>4091</v>
      </c>
      <c r="H2791" s="26" t="n">
        <v>7918</v>
      </c>
      <c r="I2791" s="26" t="n"/>
      <c r="J2791" s="19" t="n">
        <v>0</v>
      </c>
      <c r="K2791" s="37" t="n">
        <v>0.065</v>
      </c>
    </row>
    <row r="2792">
      <c r="A2792" s="34" t="inlineStr">
        <is>
          <t>AGA SPK-tilskudd</t>
        </is>
      </c>
      <c r="B2792" s="34" t="inlineStr">
        <is>
          <t>Region Øst</t>
        </is>
      </c>
      <c r="C2792" s="34" t="inlineStr">
        <is>
          <t>Hedmark ungdoms- og  familiesenter - akutt  Avdeling  Vien 1</t>
        </is>
      </c>
      <c r="D2792" s="18" t="n"/>
      <c r="E2792" s="18" t="n"/>
      <c r="F2792" s="18" t="n"/>
      <c r="G2792" s="18" t="n"/>
      <c r="H2792" s="18" t="n">
        <v>289</v>
      </c>
      <c r="I2792" s="18" t="n"/>
      <c r="J2792" s="19" t="n">
        <v>0</v>
      </c>
      <c r="K2792" s="35" t="n">
        <v>0.065</v>
      </c>
    </row>
    <row r="2793">
      <c r="A2793" s="36" t="inlineStr">
        <is>
          <t>AGA SPK-tilskudd</t>
        </is>
      </c>
      <c r="B2793" s="36" t="inlineStr">
        <is>
          <t>Region Øst</t>
        </is>
      </c>
      <c r="C2793" s="36" t="inlineStr">
        <is>
          <t>Hedmark ungdoms- og  familiesenter - akutt  Avdeling  Vien 1</t>
        </is>
      </c>
      <c r="D2793" s="26" t="n">
        <v>755</v>
      </c>
      <c r="E2793" s="26" t="n">
        <v>16853</v>
      </c>
      <c r="F2793" s="26" t="n">
        <v>403</v>
      </c>
      <c r="G2793" s="26" t="n">
        <v>16010</v>
      </c>
      <c r="H2793" s="26" t="n"/>
      <c r="I2793" s="26" t="n"/>
      <c r="J2793" s="19" t="n">
        <v>0</v>
      </c>
      <c r="K2793" s="37" t="n">
        <v>0.065</v>
      </c>
    </row>
    <row r="2794">
      <c r="A2794" s="34" t="inlineStr">
        <is>
          <t>AGA SPK-tilskudd</t>
        </is>
      </c>
      <c r="B2794" s="34" t="inlineStr">
        <is>
          <t>Region Øst</t>
        </is>
      </c>
      <c r="C2794" s="34" t="inlineStr">
        <is>
          <t>Hedmark ungdoms- og  familiesenter - akutt  Avdeling  Vien 1</t>
        </is>
      </c>
      <c r="D2794" s="18" t="n"/>
      <c r="E2794" s="18" t="n"/>
      <c r="F2794" s="18" t="n">
        <v>1521</v>
      </c>
      <c r="G2794" s="18" t="n">
        <v>1044</v>
      </c>
      <c r="H2794" s="18" t="n">
        <v>3123</v>
      </c>
      <c r="I2794" s="18" t="n"/>
      <c r="J2794" s="19" t="n">
        <v>0</v>
      </c>
      <c r="K2794" s="35" t="n">
        <v>0.065</v>
      </c>
    </row>
    <row r="2795">
      <c r="A2795" s="36" t="inlineStr">
        <is>
          <t>AGA SPK-tilskudd</t>
        </is>
      </c>
      <c r="B2795" s="36" t="inlineStr">
        <is>
          <t>Region Øst</t>
        </is>
      </c>
      <c r="C2795" s="36" t="inlineStr">
        <is>
          <t>Hedmark ungdoms- og  familiesenter - akutt  Avdeling  Vien 1</t>
        </is>
      </c>
      <c r="D2795" s="26" t="n"/>
      <c r="E2795" s="26" t="n"/>
      <c r="F2795" s="26" t="n">
        <v>186</v>
      </c>
      <c r="G2795" s="26" t="n"/>
      <c r="H2795" s="26" t="n"/>
      <c r="I2795" s="26" t="n"/>
      <c r="J2795" s="19" t="n">
        <v>0</v>
      </c>
      <c r="K2795" s="37" t="n">
        <v>0.065</v>
      </c>
    </row>
    <row r="2796">
      <c r="A2796" s="34" t="inlineStr">
        <is>
          <t>AGA SPK-tilskudd</t>
        </is>
      </c>
      <c r="B2796" s="34" t="inlineStr">
        <is>
          <t>Region Øst</t>
        </is>
      </c>
      <c r="C2796" s="34" t="inlineStr">
        <is>
          <t>Hedmark ungdoms- og  familiesenter - akutt  Avdeling  Vien 1</t>
        </is>
      </c>
      <c r="D2796" s="18" t="n">
        <v>14000</v>
      </c>
      <c r="E2796" s="18" t="n"/>
      <c r="F2796" s="18" t="n"/>
      <c r="G2796" s="18" t="n"/>
      <c r="H2796" s="18" t="n"/>
      <c r="I2796" s="18" t="n"/>
      <c r="J2796" s="19" t="n">
        <v>0</v>
      </c>
      <c r="K2796" s="35" t="n">
        <v>0.065</v>
      </c>
    </row>
    <row r="2797">
      <c r="A2797" s="36" t="inlineStr">
        <is>
          <t>AGA SPK-tilskudd</t>
        </is>
      </c>
      <c r="B2797" s="36" t="inlineStr">
        <is>
          <t>Region Øst</t>
        </is>
      </c>
      <c r="C2797" s="36" t="inlineStr">
        <is>
          <t>Hedmark ungdoms- og  familiesenter - akutt  Avdeling  Vien 1</t>
        </is>
      </c>
      <c r="D2797" s="26" t="n">
        <v>-38480</v>
      </c>
      <c r="E2797" s="26" t="n">
        <v>-37584</v>
      </c>
      <c r="F2797" s="26" t="n">
        <v>-37184</v>
      </c>
      <c r="G2797" s="26" t="n">
        <v>-28960</v>
      </c>
      <c r="H2797" s="26" t="n">
        <v>-24350</v>
      </c>
      <c r="I2797" s="26" t="n"/>
      <c r="J2797" s="19" t="n">
        <v>0</v>
      </c>
      <c r="K2797" s="37" t="n">
        <v>0.065</v>
      </c>
    </row>
    <row r="2798">
      <c r="A2798" s="34" t="inlineStr">
        <is>
          <t>AGA SPK-tilskudd</t>
        </is>
      </c>
      <c r="B2798" s="34" t="inlineStr">
        <is>
          <t>Region Øst</t>
        </is>
      </c>
      <c r="C2798" s="34" t="inlineStr">
        <is>
          <t>Hedmark ungdoms- og  familiesenter - akutt  Avdeling  Vien 1</t>
        </is>
      </c>
      <c r="D2798" s="18" t="n">
        <v>-231073</v>
      </c>
      <c r="E2798" s="18" t="n">
        <v>-303980</v>
      </c>
      <c r="F2798" s="18" t="n">
        <v>-163804</v>
      </c>
      <c r="G2798" s="18" t="n">
        <v>-43958</v>
      </c>
      <c r="H2798" s="18" t="n">
        <v>-120147</v>
      </c>
      <c r="I2798" s="18" t="n">
        <v>-3835</v>
      </c>
      <c r="J2798" s="19" t="n">
        <v>-4349.752874999999</v>
      </c>
      <c r="K2798" s="35" t="n">
        <v>0.065</v>
      </c>
    </row>
    <row r="2799">
      <c r="A2799" s="36" t="inlineStr">
        <is>
          <t>AGA SPK-tilskudd</t>
        </is>
      </c>
      <c r="B2799" s="36" t="inlineStr">
        <is>
          <t>Region Øst</t>
        </is>
      </c>
      <c r="C2799" s="36" t="inlineStr">
        <is>
          <t>Hedmark ungdoms- og  familiesenter - akutt  Avdeling  Vien 1</t>
        </is>
      </c>
      <c r="D2799" s="26" t="n">
        <v>-533620</v>
      </c>
      <c r="E2799" s="26" t="n">
        <v>-821125</v>
      </c>
      <c r="F2799" s="26" t="n">
        <v>-131374</v>
      </c>
      <c r="G2799" s="26" t="n">
        <v>-1137794</v>
      </c>
      <c r="H2799" s="26" t="n">
        <v>-899431</v>
      </c>
      <c r="I2799" s="26" t="n">
        <v>-27710</v>
      </c>
      <c r="J2799" s="19" t="n">
        <v>-31429.37475</v>
      </c>
      <c r="K2799" s="37" t="n">
        <v>0.065</v>
      </c>
    </row>
    <row r="2800">
      <c r="A2800" s="34" t="inlineStr">
        <is>
          <t>AGA SPK-tilskudd</t>
        </is>
      </c>
      <c r="B2800" s="34" t="inlineStr">
        <is>
          <t>Region Øst</t>
        </is>
      </c>
      <c r="C2800" s="34" t="inlineStr">
        <is>
          <t>Hedmark ungdoms- og  familiesenter - akutt  Avdeling  Vien 2</t>
        </is>
      </c>
      <c r="D2800" s="18" t="n">
        <v>158459</v>
      </c>
      <c r="E2800" s="18" t="n">
        <v>160451</v>
      </c>
      <c r="F2800" s="18" t="n">
        <v>134346</v>
      </c>
      <c r="G2800" s="18" t="n">
        <v>135174</v>
      </c>
      <c r="H2800" s="18" t="n">
        <v>140801</v>
      </c>
      <c r="I2800" s="18" t="n">
        <v>1903</v>
      </c>
      <c r="J2800" s="19" t="n">
        <v>1070.4375</v>
      </c>
      <c r="K2800" s="35" t="n">
        <v>-0.25</v>
      </c>
    </row>
    <row r="2801">
      <c r="A2801" s="36" t="inlineStr">
        <is>
          <t>AGA SPK-tilskudd</t>
        </is>
      </c>
      <c r="B2801" s="36" t="inlineStr">
        <is>
          <t>Region Øst</t>
        </is>
      </c>
      <c r="C2801" s="36" t="inlineStr">
        <is>
          <t>Hedmark ungdoms- og  familiesenter - akutt  Avdeling  Vien 2</t>
        </is>
      </c>
      <c r="D2801" s="26" t="n">
        <v>167195</v>
      </c>
      <c r="E2801" s="26" t="n">
        <v>212780</v>
      </c>
      <c r="F2801" s="26" t="n">
        <v>171793</v>
      </c>
      <c r="G2801" s="26" t="n">
        <v>3850</v>
      </c>
      <c r="H2801" s="26" t="n">
        <v>103906</v>
      </c>
      <c r="I2801" s="26" t="n">
        <v>1079</v>
      </c>
      <c r="J2801" s="19" t="n">
        <v>606.9375</v>
      </c>
      <c r="K2801" s="37" t="n">
        <v>-0.25</v>
      </c>
    </row>
    <row r="2802">
      <c r="A2802" s="34" t="inlineStr">
        <is>
          <t>AGA SPK-tilskudd</t>
        </is>
      </c>
      <c r="B2802" s="34" t="inlineStr">
        <is>
          <t>Region Øst</t>
        </is>
      </c>
      <c r="C2802" s="34" t="inlineStr">
        <is>
          <t>Hedmark ungdoms- og  familiesenter - akutt  Avdeling  Vien 2</t>
        </is>
      </c>
      <c r="D2802" s="18" t="n">
        <v>967</v>
      </c>
      <c r="E2802" s="18" t="n">
        <v>4353</v>
      </c>
      <c r="F2802" s="18" t="n">
        <v>13646</v>
      </c>
      <c r="G2802" s="18" t="n">
        <v>23467</v>
      </c>
      <c r="H2802" s="18" t="n">
        <v>11303</v>
      </c>
      <c r="I2802" s="18" t="n"/>
      <c r="J2802" s="19" t="n">
        <v>0</v>
      </c>
      <c r="K2802" s="35" t="n">
        <v>0.065</v>
      </c>
    </row>
    <row r="2803">
      <c r="A2803" s="36" t="inlineStr">
        <is>
          <t>AGA SPK-tilskudd</t>
        </is>
      </c>
      <c r="B2803" s="36" t="inlineStr">
        <is>
          <t>Region Øst</t>
        </is>
      </c>
      <c r="C2803" s="36" t="inlineStr">
        <is>
          <t>Hedmark ungdoms- og  familiesenter - akutt  Avdeling  Vien 2</t>
        </is>
      </c>
      <c r="D2803" s="26" t="n">
        <v>39400</v>
      </c>
      <c r="E2803" s="26" t="n">
        <v>38039</v>
      </c>
      <c r="F2803" s="26" t="n">
        <v>37730</v>
      </c>
      <c r="G2803" s="26" t="n">
        <v>49189</v>
      </c>
      <c r="H2803" s="26" t="n">
        <v>64036</v>
      </c>
      <c r="I2803" s="26" t="n"/>
      <c r="J2803" s="19" t="n">
        <v>0</v>
      </c>
      <c r="K2803" s="37" t="n">
        <v>0.065</v>
      </c>
    </row>
    <row r="2804">
      <c r="A2804" s="34" t="inlineStr">
        <is>
          <t>AGA SPK-tilskudd</t>
        </is>
      </c>
      <c r="B2804" s="34" t="inlineStr">
        <is>
          <t>Region Øst</t>
        </is>
      </c>
      <c r="C2804" s="34" t="inlineStr">
        <is>
          <t>Hedmark ungdoms- og  familiesenter - akutt  Avdeling  Vien 2</t>
        </is>
      </c>
      <c r="D2804" s="18" t="n"/>
      <c r="E2804" s="18" t="n">
        <v>5764</v>
      </c>
      <c r="F2804" s="18" t="n">
        <v>25171</v>
      </c>
      <c r="G2804" s="18" t="n"/>
      <c r="H2804" s="18" t="n"/>
      <c r="I2804" s="18" t="n"/>
      <c r="J2804" s="19" t="n">
        <v>0</v>
      </c>
      <c r="K2804" s="35" t="n">
        <v>0.065</v>
      </c>
    </row>
    <row r="2805">
      <c r="A2805" s="36" t="inlineStr">
        <is>
          <t>AGA SPK-tilskudd</t>
        </is>
      </c>
      <c r="B2805" s="36" t="inlineStr">
        <is>
          <t>Region Øst</t>
        </is>
      </c>
      <c r="C2805" s="36" t="inlineStr">
        <is>
          <t>Hedmark ungdoms- og  familiesenter - akutt  Avdeling  Vien 2</t>
        </is>
      </c>
      <c r="D2805" s="26" t="n"/>
      <c r="E2805" s="26" t="n"/>
      <c r="F2805" s="26" t="n">
        <v>2315</v>
      </c>
      <c r="G2805" s="26" t="n">
        <v>5093</v>
      </c>
      <c r="H2805" s="26" t="n">
        <v>1281</v>
      </c>
      <c r="I2805" s="26" t="n"/>
      <c r="J2805" s="19" t="n">
        <v>0</v>
      </c>
      <c r="K2805" s="37" t="n">
        <v>0.065</v>
      </c>
    </row>
    <row r="2806">
      <c r="A2806" s="34" t="inlineStr">
        <is>
          <t>AGA SPK-tilskudd</t>
        </is>
      </c>
      <c r="B2806" s="34" t="inlineStr">
        <is>
          <t>Region Øst</t>
        </is>
      </c>
      <c r="C2806" s="34" t="inlineStr">
        <is>
          <t>Hedmark ungdoms- og  familiesenter - akutt  Avdeling  Vien 2</t>
        </is>
      </c>
      <c r="D2806" s="18" t="n"/>
      <c r="E2806" s="18" t="n"/>
      <c r="F2806" s="18" t="n">
        <v>845</v>
      </c>
      <c r="G2806" s="18" t="n">
        <v>4711</v>
      </c>
      <c r="H2806" s="18" t="n">
        <v>2304</v>
      </c>
      <c r="I2806" s="18" t="n"/>
      <c r="J2806" s="19" t="n">
        <v>0</v>
      </c>
      <c r="K2806" s="35" t="n">
        <v>0.065</v>
      </c>
    </row>
    <row r="2807">
      <c r="A2807" s="36" t="inlineStr">
        <is>
          <t>AGA SPK-tilskudd</t>
        </is>
      </c>
      <c r="B2807" s="36" t="inlineStr">
        <is>
          <t>Region Øst</t>
        </is>
      </c>
      <c r="C2807" s="36" t="inlineStr">
        <is>
          <t>Hedmark ungdoms- og  familiesenter - akutt  Avdeling  Vien 2</t>
        </is>
      </c>
      <c r="D2807" s="26" t="n"/>
      <c r="E2807" s="26" t="n"/>
      <c r="F2807" s="26" t="n">
        <v>478</v>
      </c>
      <c r="G2807" s="26" t="n"/>
      <c r="H2807" s="26" t="n"/>
      <c r="I2807" s="26" t="n"/>
      <c r="J2807" s="19" t="n">
        <v>0</v>
      </c>
      <c r="K2807" s="37" t="n">
        <v>0.065</v>
      </c>
    </row>
    <row r="2808">
      <c r="A2808" s="34" t="inlineStr">
        <is>
          <t>AGA SPK-tilskudd</t>
        </is>
      </c>
      <c r="B2808" s="34" t="inlineStr">
        <is>
          <t>Region Øst</t>
        </is>
      </c>
      <c r="C2808" s="34" t="inlineStr">
        <is>
          <t>Hedmark ungdoms- og  familiesenter - akutt  Avdeling  Vien 2</t>
        </is>
      </c>
      <c r="D2808" s="18" t="n">
        <v>755</v>
      </c>
      <c r="E2808" s="18" t="n">
        <v>14850</v>
      </c>
      <c r="F2808" s="18" t="n"/>
      <c r="G2808" s="18" t="n">
        <v>15000</v>
      </c>
      <c r="H2808" s="18" t="n"/>
      <c r="I2808" s="18" t="n"/>
      <c r="J2808" s="19" t="n">
        <v>0</v>
      </c>
      <c r="K2808" s="35" t="n">
        <v>0.065</v>
      </c>
    </row>
    <row r="2809">
      <c r="A2809" s="36" t="inlineStr">
        <is>
          <t>AGA SPK-tilskudd</t>
        </is>
      </c>
      <c r="B2809" s="36" t="inlineStr">
        <is>
          <t>Region Øst</t>
        </is>
      </c>
      <c r="C2809" s="36" t="inlineStr">
        <is>
          <t>Hedmark ungdoms- og  familiesenter - akutt  Avdeling  Vien 2</t>
        </is>
      </c>
      <c r="D2809" s="26" t="n">
        <v>67</v>
      </c>
      <c r="E2809" s="26" t="n"/>
      <c r="F2809" s="26" t="n">
        <v>466</v>
      </c>
      <c r="G2809" s="26" t="n">
        <v>2136</v>
      </c>
      <c r="H2809" s="26" t="n">
        <v>1200</v>
      </c>
      <c r="I2809" s="26" t="n"/>
      <c r="J2809" s="19" t="n">
        <v>0</v>
      </c>
      <c r="K2809" s="37" t="n">
        <v>0.065</v>
      </c>
    </row>
    <row r="2810">
      <c r="A2810" s="34" t="inlineStr">
        <is>
          <t>AGA SPK-tilskudd</t>
        </is>
      </c>
      <c r="B2810" s="34" t="inlineStr">
        <is>
          <t>Region Øst</t>
        </is>
      </c>
      <c r="C2810" s="34" t="inlineStr">
        <is>
          <t>Hedmark ungdoms- og  familiesenter - akutt  Avdeling  Vien 2</t>
        </is>
      </c>
      <c r="D2810" s="18" t="n">
        <v>14000</v>
      </c>
      <c r="E2810" s="18" t="n"/>
      <c r="F2810" s="18" t="n"/>
      <c r="G2810" s="18" t="n"/>
      <c r="H2810" s="18" t="n"/>
      <c r="I2810" s="18" t="n"/>
      <c r="J2810" s="19" t="n">
        <v>0</v>
      </c>
      <c r="K2810" s="35" t="n">
        <v>0.065</v>
      </c>
    </row>
    <row r="2811">
      <c r="A2811" s="36" t="inlineStr">
        <is>
          <t>AGA SPK-tilskudd</t>
        </is>
      </c>
      <c r="B2811" s="36" t="inlineStr">
        <is>
          <t>Region Øst</t>
        </is>
      </c>
      <c r="C2811" s="36" t="inlineStr">
        <is>
          <t>Hedmark ungdoms- og  familiesenter - akutt  Avdeling  Vien 2</t>
        </is>
      </c>
      <c r="D2811" s="26" t="n">
        <v>-22540</v>
      </c>
      <c r="E2811" s="26" t="n">
        <v>-8484</v>
      </c>
      <c r="F2811" s="26" t="n">
        <v>-20944</v>
      </c>
      <c r="G2811" s="26" t="n">
        <v>-19968</v>
      </c>
      <c r="H2811" s="26" t="n">
        <v>-20128</v>
      </c>
      <c r="I2811" s="26" t="n"/>
      <c r="J2811" s="19" t="n">
        <v>0</v>
      </c>
      <c r="K2811" s="37" t="n">
        <v>0.065</v>
      </c>
    </row>
    <row r="2812">
      <c r="A2812" s="34" t="inlineStr">
        <is>
          <t>AGA SPK-tilskudd</t>
        </is>
      </c>
      <c r="B2812" s="34" t="inlineStr">
        <is>
          <t>Region Øst</t>
        </is>
      </c>
      <c r="C2812" s="34" t="inlineStr">
        <is>
          <t>Hedmark ungdoms- og  familiesenter - akutt  Avdeling  Vien 2</t>
        </is>
      </c>
      <c r="D2812" s="18" t="n">
        <v>-44177</v>
      </c>
      <c r="E2812" s="18" t="n">
        <v>-710438</v>
      </c>
      <c r="F2812" s="18" t="n">
        <v>-315760</v>
      </c>
      <c r="G2812" s="18" t="n">
        <v>-129815</v>
      </c>
      <c r="H2812" s="18" t="n">
        <v>-100785</v>
      </c>
      <c r="I2812" s="18" t="n">
        <v>-5743</v>
      </c>
      <c r="J2812" s="19" t="n">
        <v>-6513.854174999999</v>
      </c>
      <c r="K2812" s="35" t="n">
        <v>0.065</v>
      </c>
    </row>
    <row r="2813">
      <c r="A2813" s="36" t="inlineStr">
        <is>
          <t>AGA SPK-tilskudd</t>
        </is>
      </c>
      <c r="B2813" s="36" t="inlineStr">
        <is>
          <t>Region Øst</t>
        </is>
      </c>
      <c r="C2813" s="36" t="inlineStr">
        <is>
          <t>Hedmark ungdoms- og  familiesenter - akutt  Avdeling  Vien 2</t>
        </is>
      </c>
      <c r="D2813" s="26" t="n">
        <v>-314595</v>
      </c>
      <c r="E2813" s="26" t="n">
        <v>-776190</v>
      </c>
      <c r="F2813" s="26" t="n">
        <v>-493365</v>
      </c>
      <c r="G2813" s="26" t="n">
        <v>-158876</v>
      </c>
      <c r="H2813" s="26" t="n">
        <v>-384296</v>
      </c>
      <c r="I2813" s="26" t="n">
        <v>-59208</v>
      </c>
      <c r="J2813" s="19" t="n">
        <v>-67155.19379999999</v>
      </c>
      <c r="K2813" s="37" t="n">
        <v>0.065</v>
      </c>
    </row>
    <row r="2814">
      <c r="A2814" s="34" t="inlineStr">
        <is>
          <t>AGA SPK-tilskudd</t>
        </is>
      </c>
      <c r="B2814" s="34" t="inlineStr">
        <is>
          <t>Region Øst</t>
        </is>
      </c>
      <c r="C2814" s="34" t="inlineStr">
        <is>
          <t>Hedmark ungdoms- og familiesenter - akutt Avdeling Disen</t>
        </is>
      </c>
      <c r="D2814" s="18" t="n"/>
      <c r="E2814" s="18" t="n"/>
      <c r="F2814" s="18" t="n">
        <v>107500</v>
      </c>
      <c r="G2814" s="18" t="n">
        <v>138596</v>
      </c>
      <c r="H2814" s="18" t="n">
        <v>142778</v>
      </c>
      <c r="I2814" s="18" t="n">
        <v>2187</v>
      </c>
      <c r="J2814" s="19" t="n">
        <v>2480.550075</v>
      </c>
      <c r="K2814" s="35" t="n">
        <v>0.065</v>
      </c>
    </row>
    <row r="2815">
      <c r="A2815" s="36" t="inlineStr">
        <is>
          <t>AGA SPK-tilskudd</t>
        </is>
      </c>
      <c r="B2815" s="36" t="inlineStr">
        <is>
          <t>Region Øst</t>
        </is>
      </c>
      <c r="C2815" s="36" t="inlineStr">
        <is>
          <t>Hedmark ungdoms- og familiesenter - akutt Avdeling Disen</t>
        </is>
      </c>
      <c r="D2815" s="26" t="n"/>
      <c r="E2815" s="26" t="n"/>
      <c r="F2815" s="26" t="n">
        <v>101983</v>
      </c>
      <c r="G2815" s="26" t="n">
        <v>254284</v>
      </c>
      <c r="H2815" s="26" t="n"/>
      <c r="I2815" s="26" t="n"/>
      <c r="J2815" s="19" t="n">
        <v>0</v>
      </c>
      <c r="K2815" s="37" t="n">
        <v>0.065</v>
      </c>
    </row>
    <row r="2816">
      <c r="A2816" s="34" t="inlineStr">
        <is>
          <t>AGA SPK-tilskudd</t>
        </is>
      </c>
      <c r="B2816" s="34" t="inlineStr">
        <is>
          <t>Region Øst</t>
        </is>
      </c>
      <c r="C2816" s="34" t="inlineStr">
        <is>
          <t>Hedmark ungdoms- og familiesenter - akutt Avdeling Disen</t>
        </is>
      </c>
      <c r="D2816" s="18" t="n"/>
      <c r="E2816" s="18" t="n">
        <v>1891</v>
      </c>
      <c r="F2816" s="18" t="n">
        <v>15655</v>
      </c>
      <c r="G2816" s="18" t="n">
        <v>24027</v>
      </c>
      <c r="H2816" s="18" t="n">
        <v>22208</v>
      </c>
      <c r="I2816" s="18" t="n"/>
      <c r="J2816" s="19" t="n">
        <v>0</v>
      </c>
      <c r="K2816" s="35" t="n">
        <v>0.065</v>
      </c>
    </row>
    <row r="2817">
      <c r="A2817" s="36" t="inlineStr">
        <is>
          <t>AGA SPK-tilskudd</t>
        </is>
      </c>
      <c r="B2817" s="36" t="inlineStr">
        <is>
          <t>Region Øst</t>
        </is>
      </c>
      <c r="C2817" s="36" t="inlineStr">
        <is>
          <t>Hedmark ungdoms- og familiesenter - akutt Avdeling Disen</t>
        </is>
      </c>
      <c r="D2817" s="26" t="n"/>
      <c r="E2817" s="26" t="n"/>
      <c r="F2817" s="26" t="n">
        <v>41923</v>
      </c>
      <c r="G2817" s="26" t="n">
        <v>66610</v>
      </c>
      <c r="H2817" s="26" t="n">
        <v>61038</v>
      </c>
      <c r="I2817" s="26" t="n">
        <v>-555</v>
      </c>
      <c r="J2817" s="19" t="n">
        <v>-629.4948749999999</v>
      </c>
      <c r="K2817" s="37" t="n">
        <v>0.065</v>
      </c>
    </row>
    <row r="2818">
      <c r="A2818" s="34" t="inlineStr">
        <is>
          <t>AGA SPK-tilskudd</t>
        </is>
      </c>
      <c r="B2818" s="34" t="inlineStr">
        <is>
          <t>Region Øst</t>
        </is>
      </c>
      <c r="C2818" s="34" t="inlineStr">
        <is>
          <t>Hedmark ungdoms- og familiesenter - akutt Avdeling Disen</t>
        </is>
      </c>
      <c r="D2818" s="18" t="n"/>
      <c r="E2818" s="18" t="n"/>
      <c r="F2818" s="18" t="n">
        <v>4024</v>
      </c>
      <c r="G2818" s="18" t="n">
        <v>31588</v>
      </c>
      <c r="H2818" s="18" t="n">
        <v>6697</v>
      </c>
      <c r="I2818" s="18" t="n"/>
      <c r="J2818" s="19" t="n">
        <v>0</v>
      </c>
      <c r="K2818" s="35" t="n">
        <v>0.065</v>
      </c>
    </row>
    <row r="2819">
      <c r="A2819" s="36" t="inlineStr">
        <is>
          <t>AGA SPK-tilskudd</t>
        </is>
      </c>
      <c r="B2819" s="36" t="inlineStr">
        <is>
          <t>Region Øst</t>
        </is>
      </c>
      <c r="C2819" s="36" t="inlineStr">
        <is>
          <t>Hedmark ungdoms- og familiesenter - akutt Avdeling Disen</t>
        </is>
      </c>
      <c r="D2819" s="26" t="n"/>
      <c r="E2819" s="26" t="n"/>
      <c r="F2819" s="26" t="n"/>
      <c r="G2819" s="26" t="n"/>
      <c r="H2819" s="26" t="n">
        <v>3687</v>
      </c>
      <c r="I2819" s="26" t="n"/>
      <c r="J2819" s="19" t="n">
        <v>0</v>
      </c>
      <c r="K2819" s="37" t="n">
        <v>0.065</v>
      </c>
    </row>
    <row r="2820">
      <c r="A2820" s="34" t="inlineStr">
        <is>
          <t>AGA SPK-tilskudd</t>
        </is>
      </c>
      <c r="B2820" s="34" t="inlineStr">
        <is>
          <t>Region Øst</t>
        </is>
      </c>
      <c r="C2820" s="34" t="inlineStr">
        <is>
          <t>Hedmark ungdoms- og familiesenter - akutt Avdeling Disen</t>
        </is>
      </c>
      <c r="D2820" s="18" t="n"/>
      <c r="E2820" s="18" t="n"/>
      <c r="F2820" s="18" t="n">
        <v>632</v>
      </c>
      <c r="G2820" s="18" t="n">
        <v>379</v>
      </c>
      <c r="H2820" s="18" t="n">
        <v>1641</v>
      </c>
      <c r="I2820" s="18" t="n"/>
      <c r="J2820" s="19" t="n">
        <v>0</v>
      </c>
      <c r="K2820" s="35" t="n">
        <v>0.065</v>
      </c>
    </row>
    <row r="2821">
      <c r="A2821" s="36" t="inlineStr">
        <is>
          <t>AGA SPK-tilskudd</t>
        </is>
      </c>
      <c r="B2821" s="36" t="inlineStr">
        <is>
          <t>Region Øst</t>
        </is>
      </c>
      <c r="C2821" s="36" t="inlineStr">
        <is>
          <t>Hedmark ungdoms- og familiesenter - akutt Avdeling Disen</t>
        </is>
      </c>
      <c r="D2821" s="26" t="n"/>
      <c r="E2821" s="26" t="n"/>
      <c r="F2821" s="26" t="n">
        <v>2718</v>
      </c>
      <c r="G2821" s="26" t="n"/>
      <c r="H2821" s="26" t="n">
        <v>1104</v>
      </c>
      <c r="I2821" s="26" t="n"/>
      <c r="J2821" s="19" t="n">
        <v>0</v>
      </c>
      <c r="K2821" s="37" t="n">
        <v>0.065</v>
      </c>
    </row>
    <row r="2822">
      <c r="A2822" s="34" t="inlineStr">
        <is>
          <t>AGA SPK-tilskudd</t>
        </is>
      </c>
      <c r="B2822" s="34" t="inlineStr">
        <is>
          <t>Region Øst</t>
        </is>
      </c>
      <c r="C2822" s="34" t="inlineStr">
        <is>
          <t>Hedmark ungdoms- og familiesenter - akutt Avdeling Disen</t>
        </is>
      </c>
      <c r="D2822" s="18" t="n"/>
      <c r="E2822" s="18" t="n"/>
      <c r="F2822" s="18" t="n">
        <v>5255</v>
      </c>
      <c r="G2822" s="18" t="n">
        <v>17005</v>
      </c>
      <c r="H2822" s="18" t="n">
        <v>1020</v>
      </c>
      <c r="I2822" s="18" t="n"/>
      <c r="J2822" s="19" t="n">
        <v>0</v>
      </c>
      <c r="K2822" s="35" t="n">
        <v>0.065</v>
      </c>
    </row>
    <row r="2823">
      <c r="A2823" s="36" t="inlineStr">
        <is>
          <t>AGA SPK-tilskudd</t>
        </is>
      </c>
      <c r="B2823" s="36" t="inlineStr">
        <is>
          <t>Region Øst</t>
        </is>
      </c>
      <c r="C2823" s="36" t="inlineStr">
        <is>
          <t>Hedmark ungdoms- og familiesenter - akutt Avdeling Disen</t>
        </is>
      </c>
      <c r="D2823" s="26" t="n"/>
      <c r="E2823" s="26" t="n"/>
      <c r="F2823" s="26" t="n">
        <v>322</v>
      </c>
      <c r="G2823" s="26" t="n">
        <v>613</v>
      </c>
      <c r="H2823" s="26" t="n">
        <v>1589</v>
      </c>
      <c r="I2823" s="26" t="n"/>
      <c r="J2823" s="19" t="n">
        <v>0</v>
      </c>
      <c r="K2823" s="37" t="n">
        <v>0.065</v>
      </c>
    </row>
    <row r="2824">
      <c r="A2824" s="34" t="inlineStr">
        <is>
          <t>AGA SPK-tilskudd</t>
        </is>
      </c>
      <c r="B2824" s="34" t="inlineStr">
        <is>
          <t>Region Øst</t>
        </is>
      </c>
      <c r="C2824" s="34" t="inlineStr">
        <is>
          <t>Hedmark ungdoms- og familiesenter - akutt Avdeling Disen</t>
        </is>
      </c>
      <c r="D2824" s="18" t="n"/>
      <c r="E2824" s="18" t="n"/>
      <c r="F2824" s="18" t="n">
        <v>-35768</v>
      </c>
      <c r="G2824" s="18" t="n">
        <v>-31050</v>
      </c>
      <c r="H2824" s="18" t="n">
        <v>-25680</v>
      </c>
      <c r="I2824" s="18" t="n"/>
      <c r="J2824" s="19" t="n">
        <v>0</v>
      </c>
      <c r="K2824" s="35" t="n">
        <v>0.065</v>
      </c>
    </row>
    <row r="2825">
      <c r="A2825" s="36" t="inlineStr">
        <is>
          <t>AGA SPK-tilskudd</t>
        </is>
      </c>
      <c r="B2825" s="36" t="inlineStr">
        <is>
          <t>Region Øst</t>
        </is>
      </c>
      <c r="C2825" s="36" t="inlineStr">
        <is>
          <t>Hedmark ungdoms- og familiesenter - akutt Avdeling Disen</t>
        </is>
      </c>
      <c r="D2825" s="26" t="n"/>
      <c r="E2825" s="26" t="n"/>
      <c r="F2825" s="26" t="n">
        <v>-102842</v>
      </c>
      <c r="G2825" s="26" t="n">
        <v>-48387</v>
      </c>
      <c r="H2825" s="26" t="n"/>
      <c r="I2825" s="26" t="n"/>
      <c r="J2825" s="19" t="n">
        <v>0</v>
      </c>
      <c r="K2825" s="37" t="n">
        <v>0.065</v>
      </c>
    </row>
    <row r="2826">
      <c r="A2826" s="34" t="inlineStr">
        <is>
          <t>AGA SPK-tilskudd</t>
        </is>
      </c>
      <c r="B2826" s="34" t="inlineStr">
        <is>
          <t>Region Øst</t>
        </is>
      </c>
      <c r="C2826" s="34" t="inlineStr">
        <is>
          <t>Hedmark ungdoms- og familiesenter - akutt Avdeling Disen</t>
        </is>
      </c>
      <c r="D2826" s="18" t="n"/>
      <c r="E2826" s="18" t="n"/>
      <c r="F2826" s="18" t="n">
        <v>-905359</v>
      </c>
      <c r="G2826" s="18" t="n">
        <v>-989334</v>
      </c>
      <c r="H2826" s="18" t="n">
        <v>-550297</v>
      </c>
      <c r="I2826" s="18" t="n">
        <v>-73960</v>
      </c>
      <c r="J2826" s="19" t="n">
        <v>-83887.28099999999</v>
      </c>
      <c r="K2826" s="35" t="n">
        <v>0.065</v>
      </c>
    </row>
    <row r="2827">
      <c r="A2827" s="36" t="inlineStr">
        <is>
          <t>AGA SPK-tilskudd</t>
        </is>
      </c>
      <c r="B2827" s="36" t="inlineStr">
        <is>
          <t>Region Øst</t>
        </is>
      </c>
      <c r="C2827" s="36" t="inlineStr">
        <is>
          <t>Hedmark ungdoms- og familiesenter - akutt Avdeling Irstad</t>
        </is>
      </c>
      <c r="D2827" s="26" t="n">
        <v>164134</v>
      </c>
      <c r="E2827" s="26" t="n">
        <v>145941</v>
      </c>
      <c r="F2827" s="26" t="n">
        <v>2054</v>
      </c>
      <c r="G2827" s="26" t="n"/>
      <c r="H2827" s="26" t="n"/>
      <c r="I2827" s="26" t="n"/>
      <c r="J2827" s="19" t="n">
        <v>0</v>
      </c>
      <c r="K2827" s="37" t="n">
        <v>0.065</v>
      </c>
    </row>
    <row r="2828">
      <c r="A2828" s="34" t="inlineStr">
        <is>
          <t>AGA SPK-tilskudd</t>
        </is>
      </c>
      <c r="B2828" s="34" t="inlineStr">
        <is>
          <t>Region Øst</t>
        </is>
      </c>
      <c r="C2828" s="34" t="inlineStr">
        <is>
          <t>Hedmark ungdoms- og familiesenter - akutt Avdeling Irstad</t>
        </is>
      </c>
      <c r="D2828" s="18" t="n">
        <v>75846</v>
      </c>
      <c r="E2828" s="18" t="n">
        <v>121360</v>
      </c>
      <c r="F2828" s="18" t="n">
        <v>35714</v>
      </c>
      <c r="G2828" s="18" t="n"/>
      <c r="H2828" s="18" t="n"/>
      <c r="I2828" s="18" t="n"/>
      <c r="J2828" s="19" t="n">
        <v>0</v>
      </c>
      <c r="K2828" s="35" t="n">
        <v>0.065</v>
      </c>
    </row>
    <row r="2829">
      <c r="A2829" s="36" t="inlineStr">
        <is>
          <t>AGA SPK-tilskudd</t>
        </is>
      </c>
      <c r="B2829" s="36" t="inlineStr">
        <is>
          <t>Region Øst</t>
        </is>
      </c>
      <c r="C2829" s="36" t="inlineStr">
        <is>
          <t>Hedmark ungdoms- og familiesenter - akutt Avdeling Irstad</t>
        </is>
      </c>
      <c r="D2829" s="26" t="n">
        <v>7616</v>
      </c>
      <c r="E2829" s="26" t="n">
        <v>6042</v>
      </c>
      <c r="F2829" s="26" t="n">
        <v>2985</v>
      </c>
      <c r="G2829" s="26" t="n"/>
      <c r="H2829" s="26" t="n"/>
      <c r="I2829" s="26" t="n"/>
      <c r="J2829" s="19" t="n">
        <v>0</v>
      </c>
      <c r="K2829" s="37" t="n">
        <v>0.065</v>
      </c>
    </row>
    <row r="2830">
      <c r="A2830" s="34" t="inlineStr">
        <is>
          <t>AGA SPK-tilskudd</t>
        </is>
      </c>
      <c r="B2830" s="34" t="inlineStr">
        <is>
          <t>Region Øst</t>
        </is>
      </c>
      <c r="C2830" s="34" t="inlineStr">
        <is>
          <t>Hedmark ungdoms- og familiesenter - akutt Avdeling Irstad</t>
        </is>
      </c>
      <c r="D2830" s="18" t="n">
        <v>43560</v>
      </c>
      <c r="E2830" s="18" t="n">
        <v>40796</v>
      </c>
      <c r="F2830" s="18" t="n"/>
      <c r="G2830" s="18" t="n"/>
      <c r="H2830" s="18" t="n"/>
      <c r="I2830" s="18" t="n"/>
      <c r="J2830" s="19" t="n">
        <v>0</v>
      </c>
      <c r="K2830" s="35" t="n">
        <v>0.065</v>
      </c>
    </row>
    <row r="2831">
      <c r="A2831" s="36" t="inlineStr">
        <is>
          <t>AGA SPK-tilskudd</t>
        </is>
      </c>
      <c r="B2831" s="36" t="inlineStr">
        <is>
          <t>Region Øst</t>
        </is>
      </c>
      <c r="C2831" s="36" t="inlineStr">
        <is>
          <t>Hedmark ungdoms- og familiesenter - akutt Avdeling Irstad</t>
        </is>
      </c>
      <c r="D2831" s="26" t="n">
        <v>18606</v>
      </c>
      <c r="E2831" s="26" t="n"/>
      <c r="F2831" s="26" t="n"/>
      <c r="G2831" s="26" t="n"/>
      <c r="H2831" s="26" t="n"/>
      <c r="I2831" s="26" t="n"/>
      <c r="J2831" s="19" t="n">
        <v>0</v>
      </c>
      <c r="K2831" s="37" t="n">
        <v>0.065</v>
      </c>
    </row>
    <row r="2832">
      <c r="A2832" s="34" t="inlineStr">
        <is>
          <t>AGA SPK-tilskudd</t>
        </is>
      </c>
      <c r="B2832" s="34" t="inlineStr">
        <is>
          <t>Region Øst</t>
        </is>
      </c>
      <c r="C2832" s="34" t="inlineStr">
        <is>
          <t>Hedmark ungdoms- og familiesenter - akutt Avdeling Irstad</t>
        </is>
      </c>
      <c r="D2832" s="18" t="n">
        <v>936</v>
      </c>
      <c r="E2832" s="18" t="n">
        <v>4408</v>
      </c>
      <c r="F2832" s="18" t="n"/>
      <c r="G2832" s="18" t="n"/>
      <c r="H2832" s="18" t="n"/>
      <c r="I2832" s="18" t="n"/>
      <c r="J2832" s="19" t="n">
        <v>0</v>
      </c>
      <c r="K2832" s="35" t="n">
        <v>0.065</v>
      </c>
    </row>
    <row r="2833">
      <c r="A2833" s="36" t="inlineStr">
        <is>
          <t>AGA SPK-tilskudd</t>
        </is>
      </c>
      <c r="B2833" s="36" t="inlineStr">
        <is>
          <t>Region Øst</t>
        </is>
      </c>
      <c r="C2833" s="36" t="inlineStr">
        <is>
          <t>Hedmark ungdoms- og familiesenter - akutt Avdeling Irstad</t>
        </is>
      </c>
      <c r="D2833" s="26" t="n">
        <v>955</v>
      </c>
      <c r="E2833" s="26" t="n"/>
      <c r="F2833" s="26" t="n"/>
      <c r="G2833" s="26" t="n"/>
      <c r="H2833" s="26" t="n"/>
      <c r="I2833" s="26" t="n"/>
      <c r="J2833" s="19" t="n">
        <v>0</v>
      </c>
      <c r="K2833" s="37" t="n">
        <v>0.065</v>
      </c>
    </row>
    <row r="2834">
      <c r="A2834" s="34" t="inlineStr">
        <is>
          <t>AGA SPK-tilskudd</t>
        </is>
      </c>
      <c r="B2834" s="34" t="inlineStr">
        <is>
          <t>Region Øst</t>
        </is>
      </c>
      <c r="C2834" s="34" t="inlineStr">
        <is>
          <t>Hedmark ungdoms- og familiesenter - akutt Avdeling Irstad</t>
        </is>
      </c>
      <c r="D2834" s="18" t="n">
        <v>8187</v>
      </c>
      <c r="E2834" s="18" t="n">
        <v>17125</v>
      </c>
      <c r="F2834" s="18" t="n"/>
      <c r="G2834" s="18" t="n"/>
      <c r="H2834" s="18" t="n"/>
      <c r="I2834" s="18" t="n"/>
      <c r="J2834" s="19" t="n">
        <v>0</v>
      </c>
      <c r="K2834" s="35" t="n">
        <v>0.065</v>
      </c>
    </row>
    <row r="2835">
      <c r="A2835" s="36" t="inlineStr">
        <is>
          <t>AGA SPK-tilskudd</t>
        </is>
      </c>
      <c r="B2835" s="36" t="inlineStr">
        <is>
          <t>Region Øst</t>
        </is>
      </c>
      <c r="C2835" s="36" t="inlineStr">
        <is>
          <t>Hedmark ungdoms- og familiesenter - akutt Avdeling Irstad</t>
        </is>
      </c>
      <c r="D2835" s="26" t="n">
        <v>412</v>
      </c>
      <c r="E2835" s="26" t="n">
        <v>509</v>
      </c>
      <c r="F2835" s="26" t="n"/>
      <c r="G2835" s="26" t="n"/>
      <c r="H2835" s="26" t="n"/>
      <c r="I2835" s="26" t="n"/>
      <c r="J2835" s="19" t="n">
        <v>0</v>
      </c>
      <c r="K2835" s="37" t="n">
        <v>0.065</v>
      </c>
    </row>
    <row r="2836">
      <c r="A2836" s="34" t="inlineStr">
        <is>
          <t>AGA SPK-tilskudd</t>
        </is>
      </c>
      <c r="B2836" s="34" t="inlineStr">
        <is>
          <t>Region Øst</t>
        </is>
      </c>
      <c r="C2836" s="34" t="inlineStr">
        <is>
          <t>Hedmark ungdoms- og familiesenter - akutt Avdeling Irstad</t>
        </is>
      </c>
      <c r="D2836" s="18" t="n"/>
      <c r="E2836" s="18" t="n">
        <v>5290</v>
      </c>
      <c r="F2836" s="18" t="n"/>
      <c r="G2836" s="18" t="n"/>
      <c r="H2836" s="18" t="n"/>
      <c r="I2836" s="18" t="n"/>
      <c r="J2836" s="19" t="n">
        <v>0</v>
      </c>
      <c r="K2836" s="35" t="n">
        <v>0.065</v>
      </c>
    </row>
    <row r="2837">
      <c r="A2837" s="36" t="inlineStr">
        <is>
          <t>AGA SPK-tilskudd</t>
        </is>
      </c>
      <c r="B2837" s="36" t="inlineStr">
        <is>
          <t>Region Øst</t>
        </is>
      </c>
      <c r="C2837" s="36" t="inlineStr">
        <is>
          <t>Hedmark ungdoms- og familiesenter - akutt Avdeling Irstad</t>
        </is>
      </c>
      <c r="D2837" s="26" t="n">
        <v>14000</v>
      </c>
      <c r="E2837" s="26" t="n"/>
      <c r="F2837" s="26" t="n"/>
      <c r="G2837" s="26" t="n"/>
      <c r="H2837" s="26" t="n"/>
      <c r="I2837" s="26" t="n"/>
      <c r="J2837" s="19" t="n">
        <v>0</v>
      </c>
      <c r="K2837" s="37" t="n">
        <v>0.065</v>
      </c>
    </row>
    <row r="2838">
      <c r="A2838" s="34" t="inlineStr">
        <is>
          <t>AGA SPK-tilskudd</t>
        </is>
      </c>
      <c r="B2838" s="34" t="inlineStr">
        <is>
          <t>Region Øst</t>
        </is>
      </c>
      <c r="C2838" s="34" t="inlineStr">
        <is>
          <t>Hedmark ungdoms- og familiesenter - akutt Avdeling Irstad</t>
        </is>
      </c>
      <c r="D2838" s="18" t="n">
        <v>-30120</v>
      </c>
      <c r="E2838" s="18" t="n">
        <v>-29100</v>
      </c>
      <c r="F2838" s="18" t="n"/>
      <c r="G2838" s="18" t="n"/>
      <c r="H2838" s="18" t="n"/>
      <c r="I2838" s="18" t="n"/>
      <c r="J2838" s="19" t="n">
        <v>0</v>
      </c>
      <c r="K2838" s="35" t="n">
        <v>0.065</v>
      </c>
    </row>
    <row r="2839">
      <c r="A2839" s="36" t="inlineStr">
        <is>
          <t>AGA SPK-tilskudd</t>
        </is>
      </c>
      <c r="B2839" s="36" t="inlineStr">
        <is>
          <t>Region Øst</t>
        </is>
      </c>
      <c r="C2839" s="36" t="inlineStr">
        <is>
          <t>Hedmark ungdoms- og familiesenter - akutt Avdeling Irstad</t>
        </is>
      </c>
      <c r="D2839" s="26" t="n">
        <v>-235884</v>
      </c>
      <c r="E2839" s="26" t="n">
        <v>-55004</v>
      </c>
      <c r="F2839" s="26" t="n"/>
      <c r="G2839" s="26" t="n"/>
      <c r="H2839" s="26" t="n"/>
      <c r="I2839" s="26" t="n"/>
      <c r="J2839" s="19" t="n">
        <v>0</v>
      </c>
      <c r="K2839" s="37" t="n">
        <v>0.065</v>
      </c>
    </row>
    <row r="2840">
      <c r="A2840" s="34" t="inlineStr">
        <is>
          <t>AGA SPK-tilskudd</t>
        </is>
      </c>
      <c r="B2840" s="34" t="inlineStr">
        <is>
          <t>Region Øst</t>
        </is>
      </c>
      <c r="C2840" s="34" t="inlineStr">
        <is>
          <t>Hedmark ungdoms- og familiesenter - akutt Avdeling Irstad</t>
        </is>
      </c>
      <c r="D2840" s="18" t="n">
        <v>-646514</v>
      </c>
      <c r="E2840" s="18" t="n">
        <v>-595223</v>
      </c>
      <c r="F2840" s="18" t="n">
        <v>-63276</v>
      </c>
      <c r="G2840" s="18" t="n"/>
      <c r="H2840" s="18" t="n"/>
      <c r="I2840" s="18" t="n"/>
      <c r="J2840" s="19" t="n">
        <v>0</v>
      </c>
      <c r="K2840" s="35" t="n">
        <v>0.065</v>
      </c>
    </row>
    <row r="2841">
      <c r="A2841" s="36" t="inlineStr">
        <is>
          <t>AGA SPK-tilskudd</t>
        </is>
      </c>
      <c r="B2841" s="36" t="inlineStr">
        <is>
          <t>Region Øst</t>
        </is>
      </c>
      <c r="C2841" s="36" t="inlineStr">
        <is>
          <t>Hedmark ungdoms- og familiesenter - akutt, adm</t>
        </is>
      </c>
      <c r="D2841" s="26" t="n"/>
      <c r="E2841" s="26" t="n"/>
      <c r="F2841" s="26" t="n"/>
      <c r="G2841" s="26" t="n"/>
      <c r="H2841" s="26" t="n"/>
      <c r="I2841" s="26" t="n">
        <v>24139</v>
      </c>
      <c r="J2841" s="19" t="n">
        <v>27379.057275</v>
      </c>
      <c r="K2841" s="37" t="n">
        <v>0.065</v>
      </c>
    </row>
    <row r="2842">
      <c r="A2842" s="34" t="inlineStr">
        <is>
          <t>AGA SPK-tilskudd</t>
        </is>
      </c>
      <c r="B2842" s="34" t="inlineStr">
        <is>
          <t>Region Øst</t>
        </is>
      </c>
      <c r="C2842" s="34" t="inlineStr">
        <is>
          <t>Hedmark ungdoms- og familiesenter - akutt, adm</t>
        </is>
      </c>
      <c r="D2842" s="18" t="n"/>
      <c r="E2842" s="18" t="n"/>
      <c r="F2842" s="18" t="n"/>
      <c r="G2842" s="18" t="n"/>
      <c r="H2842" s="18" t="n"/>
      <c r="I2842" s="18" t="n">
        <v>36816</v>
      </c>
      <c r="J2842" s="19" t="n">
        <v>41757.62759999999</v>
      </c>
      <c r="K2842" s="35" t="n">
        <v>0.065</v>
      </c>
    </row>
    <row r="2843">
      <c r="A2843" s="36" t="inlineStr">
        <is>
          <t>AGA SPK-tilskudd</t>
        </is>
      </c>
      <c r="B2843" s="36" t="inlineStr">
        <is>
          <t>Region Øst</t>
        </is>
      </c>
      <c r="C2843" s="36" t="inlineStr">
        <is>
          <t>Hedmark ungdoms- og familiesenter - akutt, adm</t>
        </is>
      </c>
      <c r="D2843" s="26" t="n"/>
      <c r="E2843" s="26" t="n"/>
      <c r="F2843" s="26" t="n"/>
      <c r="G2843" s="26" t="n"/>
      <c r="H2843" s="26" t="n"/>
      <c r="I2843" s="26" t="n">
        <v>5767</v>
      </c>
      <c r="J2843" s="19" t="n">
        <v>6541.075574999999</v>
      </c>
      <c r="K2843" s="37" t="n">
        <v>0.065</v>
      </c>
    </row>
    <row r="2844">
      <c r="A2844" s="34" t="inlineStr">
        <is>
          <t>AGA SPK-tilskudd</t>
        </is>
      </c>
      <c r="B2844" s="34" t="inlineStr">
        <is>
          <t>Region Øst</t>
        </is>
      </c>
      <c r="C2844" s="34" t="inlineStr">
        <is>
          <t>Hedmark ungdoms- og familiesenter - akutt, adm</t>
        </is>
      </c>
      <c r="D2844" s="18" t="n"/>
      <c r="E2844" s="18" t="n"/>
      <c r="F2844" s="18" t="n"/>
      <c r="G2844" s="18" t="n"/>
      <c r="H2844" s="18" t="n"/>
      <c r="I2844" s="18" t="n">
        <v>37892</v>
      </c>
      <c r="J2844" s="19" t="n">
        <v>42978.05369999999</v>
      </c>
      <c r="K2844" s="35" t="n">
        <v>0.065</v>
      </c>
    </row>
    <row r="2845">
      <c r="A2845" s="36" t="inlineStr">
        <is>
          <t>AGA SPK-tilskudd</t>
        </is>
      </c>
      <c r="B2845" s="36" t="inlineStr">
        <is>
          <t>Region Øst</t>
        </is>
      </c>
      <c r="C2845" s="36" t="inlineStr">
        <is>
          <t>Hedmark ungdoms- og familiesenter - akutt, adm</t>
        </is>
      </c>
      <c r="D2845" s="26" t="n"/>
      <c r="E2845" s="26" t="n"/>
      <c r="F2845" s="26" t="n"/>
      <c r="G2845" s="26" t="n"/>
      <c r="H2845" s="26" t="n"/>
      <c r="I2845" s="26" t="n">
        <v>8779</v>
      </c>
      <c r="J2845" s="19" t="n">
        <v>9957.361274999999</v>
      </c>
      <c r="K2845" s="37" t="n">
        <v>0.065</v>
      </c>
    </row>
    <row r="2846">
      <c r="A2846" s="34" t="inlineStr">
        <is>
          <t>AGA SPK-tilskudd</t>
        </is>
      </c>
      <c r="B2846" s="34" t="inlineStr">
        <is>
          <t>Region Øst</t>
        </is>
      </c>
      <c r="C2846" s="34" t="inlineStr">
        <is>
          <t>Hedmark ungdoms- og familiesenter - akutt, adm</t>
        </is>
      </c>
      <c r="D2846" s="18" t="n"/>
      <c r="E2846" s="18" t="n"/>
      <c r="F2846" s="18" t="n"/>
      <c r="G2846" s="18" t="n"/>
      <c r="H2846" s="18" t="n"/>
      <c r="I2846" s="18" t="n">
        <v>5060</v>
      </c>
      <c r="J2846" s="19" t="n">
        <v>5739.178499999999</v>
      </c>
      <c r="K2846" s="35" t="n">
        <v>0.065</v>
      </c>
    </row>
    <row r="2847">
      <c r="A2847" s="36" t="inlineStr">
        <is>
          <t>AGA SPK-tilskudd</t>
        </is>
      </c>
      <c r="B2847" s="36" t="inlineStr">
        <is>
          <t>Region Øst</t>
        </is>
      </c>
      <c r="C2847" s="36" t="inlineStr">
        <is>
          <t>Hedmark ungdoms- og familiesenter - akutt, adm</t>
        </is>
      </c>
      <c r="D2847" s="26" t="n"/>
      <c r="E2847" s="26" t="n"/>
      <c r="F2847" s="26" t="n"/>
      <c r="G2847" s="26" t="n"/>
      <c r="H2847" s="26" t="n"/>
      <c r="I2847" s="26" t="n">
        <v>21730</v>
      </c>
      <c r="J2847" s="19" t="n">
        <v>24646.70925</v>
      </c>
      <c r="K2847" s="37" t="n">
        <v>0.065</v>
      </c>
    </row>
    <row r="2848">
      <c r="A2848" s="34" t="inlineStr">
        <is>
          <t>AGA SPK-tilskudd</t>
        </is>
      </c>
      <c r="B2848" s="34" t="inlineStr">
        <is>
          <t>Region Øst</t>
        </is>
      </c>
      <c r="C2848" s="34" t="inlineStr">
        <is>
          <t>Hedmark ungdoms- og familiesenter - akutt, adm</t>
        </is>
      </c>
      <c r="D2848" s="18" t="n"/>
      <c r="E2848" s="18" t="n"/>
      <c r="F2848" s="18" t="n"/>
      <c r="G2848" s="18" t="n"/>
      <c r="H2848" s="18" t="n"/>
      <c r="I2848" s="18" t="n">
        <v>30788</v>
      </c>
      <c r="J2848" s="19" t="n">
        <v>34920.51929999999</v>
      </c>
      <c r="K2848" s="35" t="n">
        <v>0.065</v>
      </c>
    </row>
    <row r="2849">
      <c r="A2849" s="36" t="inlineStr">
        <is>
          <t>AGA SPK-tilskudd</t>
        </is>
      </c>
      <c r="B2849" s="36" t="inlineStr">
        <is>
          <t>Region Øst</t>
        </is>
      </c>
      <c r="C2849" s="36" t="inlineStr">
        <is>
          <t>Hedmark ungdoms- og familiesenter - akutt, adm</t>
        </is>
      </c>
      <c r="D2849" s="26" t="n"/>
      <c r="E2849" s="26" t="n"/>
      <c r="F2849" s="26" t="n"/>
      <c r="G2849" s="26" t="n"/>
      <c r="H2849" s="26" t="n"/>
      <c r="I2849" s="26" t="n">
        <v>-3400</v>
      </c>
      <c r="J2849" s="19" t="n">
        <v>-3856.364999999999</v>
      </c>
      <c r="K2849" s="37" t="n">
        <v>0.065</v>
      </c>
    </row>
    <row r="2850">
      <c r="A2850" s="34" t="inlineStr">
        <is>
          <t>AGA SPK-tilskudd</t>
        </is>
      </c>
      <c r="B2850" s="34" t="inlineStr">
        <is>
          <t>Region Øst</t>
        </is>
      </c>
      <c r="C2850" s="34" t="inlineStr">
        <is>
          <t>Hedmark ungdoms- og familiesenter - akutt, adm</t>
        </is>
      </c>
      <c r="D2850" s="18" t="n"/>
      <c r="E2850" s="18" t="n"/>
      <c r="F2850" s="18" t="n"/>
      <c r="G2850" s="18" t="n"/>
      <c r="H2850" s="18" t="n"/>
      <c r="I2850" s="18" t="n">
        <v>-35200</v>
      </c>
      <c r="J2850" s="19" t="n">
        <v>-39924.71999999999</v>
      </c>
      <c r="K2850" s="35" t="n">
        <v>0.065</v>
      </c>
    </row>
    <row r="2851">
      <c r="A2851" s="36" t="inlineStr">
        <is>
          <t>AGA SPK-tilskudd</t>
        </is>
      </c>
      <c r="B2851" s="36" t="inlineStr">
        <is>
          <t>Region Øst</t>
        </is>
      </c>
      <c r="C2851" s="36" t="inlineStr">
        <is>
          <t>Hedmark ungdoms- og familiesenter - akutt, avd Disen</t>
        </is>
      </c>
      <c r="D2851" s="26" t="n"/>
      <c r="E2851" s="26" t="n"/>
      <c r="F2851" s="26" t="n"/>
      <c r="G2851" s="26" t="n"/>
      <c r="H2851" s="26" t="n"/>
      <c r="I2851" s="26" t="n">
        <v>129875</v>
      </c>
      <c r="J2851" s="19" t="n">
        <v>147307.471875</v>
      </c>
      <c r="K2851" s="37" t="n">
        <v>0.065</v>
      </c>
    </row>
    <row r="2852">
      <c r="A2852" s="34" t="inlineStr">
        <is>
          <t>AGA SPK-tilskudd</t>
        </is>
      </c>
      <c r="B2852" s="34" t="inlineStr">
        <is>
          <t>Region Øst</t>
        </is>
      </c>
      <c r="C2852" s="34" t="inlineStr">
        <is>
          <t>Hedmark ungdoms- og familiesenter - akutt, avd Disen</t>
        </is>
      </c>
      <c r="D2852" s="18" t="n"/>
      <c r="E2852" s="18" t="n"/>
      <c r="F2852" s="18" t="n"/>
      <c r="G2852" s="18" t="n"/>
      <c r="H2852" s="18" t="n"/>
      <c r="I2852" s="18" t="n">
        <v>60017</v>
      </c>
      <c r="J2852" s="19" t="n">
        <v>68072.78182499998</v>
      </c>
      <c r="K2852" s="35" t="n">
        <v>0.065</v>
      </c>
    </row>
    <row r="2853">
      <c r="A2853" s="36" t="inlineStr">
        <is>
          <t>AGA SPK-tilskudd</t>
        </is>
      </c>
      <c r="B2853" s="36" t="inlineStr">
        <is>
          <t>Region Øst</t>
        </is>
      </c>
      <c r="C2853" s="36" t="inlineStr">
        <is>
          <t>Hedmark ungdoms- og familiesenter - akutt, avd Disen</t>
        </is>
      </c>
      <c r="D2853" s="26" t="n"/>
      <c r="E2853" s="26" t="n"/>
      <c r="F2853" s="26" t="n"/>
      <c r="G2853" s="26" t="n"/>
      <c r="H2853" s="26" t="n"/>
      <c r="I2853" s="26" t="n">
        <v>58740</v>
      </c>
      <c r="J2853" s="19" t="n">
        <v>66624.37649999998</v>
      </c>
      <c r="K2853" s="37" t="n">
        <v>0.065</v>
      </c>
    </row>
    <row r="2854">
      <c r="A2854" s="34" t="inlineStr">
        <is>
          <t>AGA SPK-tilskudd</t>
        </is>
      </c>
      <c r="B2854" s="34" t="inlineStr">
        <is>
          <t>Region Øst</t>
        </is>
      </c>
      <c r="C2854" s="34" t="inlineStr">
        <is>
          <t>Hedmark ungdoms- og familiesenter - akutt, avd Disen</t>
        </is>
      </c>
      <c r="D2854" s="18" t="n"/>
      <c r="E2854" s="18" t="n"/>
      <c r="F2854" s="18" t="n"/>
      <c r="G2854" s="18" t="n"/>
      <c r="H2854" s="18" t="n"/>
      <c r="I2854" s="18" t="n">
        <v>59831</v>
      </c>
      <c r="J2854" s="19" t="n">
        <v>67861.81597499999</v>
      </c>
      <c r="K2854" s="35" t="n">
        <v>0.065</v>
      </c>
    </row>
    <row r="2855">
      <c r="A2855" s="36" t="inlineStr">
        <is>
          <t>AGA SPK-tilskudd</t>
        </is>
      </c>
      <c r="B2855" s="36" t="inlineStr">
        <is>
          <t>Region Øst</t>
        </is>
      </c>
      <c r="C2855" s="36" t="inlineStr">
        <is>
          <t>Hedmark ungdoms- og familiesenter - akutt, avd Disen</t>
        </is>
      </c>
      <c r="D2855" s="26" t="n"/>
      <c r="E2855" s="26" t="n"/>
      <c r="F2855" s="26" t="n"/>
      <c r="G2855" s="26" t="n"/>
      <c r="H2855" s="26" t="n"/>
      <c r="I2855" s="26" t="n">
        <v>10185</v>
      </c>
      <c r="J2855" s="19" t="n">
        <v>11552.081625</v>
      </c>
      <c r="K2855" s="37" t="n">
        <v>0.065</v>
      </c>
    </row>
    <row r="2856">
      <c r="A2856" s="34" t="inlineStr">
        <is>
          <t>AGA SPK-tilskudd</t>
        </is>
      </c>
      <c r="B2856" s="34" t="inlineStr">
        <is>
          <t>Region Øst</t>
        </is>
      </c>
      <c r="C2856" s="34" t="inlineStr">
        <is>
          <t>Hedmark ungdoms- og familiesenter - akutt, avd Disen</t>
        </is>
      </c>
      <c r="D2856" s="18" t="n"/>
      <c r="E2856" s="18" t="n"/>
      <c r="F2856" s="18" t="n"/>
      <c r="G2856" s="18" t="n"/>
      <c r="H2856" s="18" t="n"/>
      <c r="I2856" s="18" t="n">
        <v>2643</v>
      </c>
      <c r="J2856" s="19" t="n">
        <v>2997.756675</v>
      </c>
      <c r="K2856" s="35" t="n">
        <v>0.065</v>
      </c>
    </row>
    <row r="2857">
      <c r="A2857" s="36" t="inlineStr">
        <is>
          <t>AGA SPK-tilskudd</t>
        </is>
      </c>
      <c r="B2857" s="36" t="inlineStr">
        <is>
          <t>Region Øst</t>
        </is>
      </c>
      <c r="C2857" s="36" t="inlineStr">
        <is>
          <t>Hedmark ungdoms- og familiesenter - akutt, avd Disen</t>
        </is>
      </c>
      <c r="D2857" s="26" t="n"/>
      <c r="E2857" s="26" t="n"/>
      <c r="F2857" s="26" t="n"/>
      <c r="G2857" s="26" t="n"/>
      <c r="H2857" s="26" t="n"/>
      <c r="I2857" s="26" t="n">
        <v>11233</v>
      </c>
      <c r="J2857" s="19" t="n">
        <v>12740.749425</v>
      </c>
      <c r="K2857" s="37" t="n">
        <v>0.065</v>
      </c>
    </row>
    <row r="2858">
      <c r="A2858" s="34" t="inlineStr">
        <is>
          <t>AGA SPK-tilskudd</t>
        </is>
      </c>
      <c r="B2858" s="34" t="inlineStr">
        <is>
          <t>Region Øst</t>
        </is>
      </c>
      <c r="C2858" s="34" t="inlineStr">
        <is>
          <t>Hedmark ungdoms- og familiesenter - akutt, avd Disen</t>
        </is>
      </c>
      <c r="D2858" s="18" t="n"/>
      <c r="E2858" s="18" t="n"/>
      <c r="F2858" s="18" t="n"/>
      <c r="G2858" s="18" t="n"/>
      <c r="H2858" s="18" t="n"/>
      <c r="I2858" s="18" t="n">
        <v>776</v>
      </c>
      <c r="J2858" s="19" t="n">
        <v>880.1585999999999</v>
      </c>
      <c r="K2858" s="35" t="n">
        <v>0.065</v>
      </c>
    </row>
    <row r="2859">
      <c r="A2859" s="36" t="inlineStr">
        <is>
          <t>AGA SPK-tilskudd</t>
        </is>
      </c>
      <c r="B2859" s="36" t="inlineStr">
        <is>
          <t>Region Øst</t>
        </is>
      </c>
      <c r="C2859" s="36" t="inlineStr">
        <is>
          <t>Hedmark ungdoms- og familiesenter - akutt, avd Disen</t>
        </is>
      </c>
      <c r="D2859" s="26" t="n"/>
      <c r="E2859" s="26" t="n"/>
      <c r="F2859" s="26" t="n"/>
      <c r="G2859" s="26" t="n"/>
      <c r="H2859" s="26" t="n"/>
      <c r="I2859" s="26" t="n">
        <v>1050</v>
      </c>
      <c r="J2859" s="19" t="n">
        <v>1190.93625</v>
      </c>
      <c r="K2859" s="37" t="n">
        <v>0.065</v>
      </c>
    </row>
    <row r="2860">
      <c r="A2860" s="34" t="inlineStr">
        <is>
          <t>AGA SPK-tilskudd</t>
        </is>
      </c>
      <c r="B2860" s="34" t="inlineStr">
        <is>
          <t>Region Øst</t>
        </is>
      </c>
      <c r="C2860" s="34" t="inlineStr">
        <is>
          <t>Hedmark ungdoms- og familiesenter - akutt, avd Disen</t>
        </is>
      </c>
      <c r="D2860" s="18" t="n"/>
      <c r="E2860" s="18" t="n"/>
      <c r="F2860" s="18" t="n"/>
      <c r="G2860" s="18" t="n"/>
      <c r="H2860" s="18" t="n"/>
      <c r="I2860" s="18" t="n">
        <v>7062</v>
      </c>
      <c r="J2860" s="19" t="n">
        <v>8009.896949999998</v>
      </c>
      <c r="K2860" s="35" t="n">
        <v>0.065</v>
      </c>
    </row>
    <row r="2861">
      <c r="A2861" s="36" t="inlineStr">
        <is>
          <t>AGA SPK-tilskudd</t>
        </is>
      </c>
      <c r="B2861" s="36" t="inlineStr">
        <is>
          <t>Region Øst</t>
        </is>
      </c>
      <c r="C2861" s="36" t="inlineStr">
        <is>
          <t>Hedmark ungdoms- og familiesenter - akutt, avd Disen</t>
        </is>
      </c>
      <c r="D2861" s="26" t="n"/>
      <c r="E2861" s="26" t="n"/>
      <c r="F2861" s="26" t="n"/>
      <c r="G2861" s="26" t="n"/>
      <c r="H2861" s="26" t="n"/>
      <c r="I2861" s="26" t="n">
        <v>-36950</v>
      </c>
      <c r="J2861" s="19" t="n">
        <v>-41909.61375</v>
      </c>
      <c r="K2861" s="37" t="n">
        <v>0.065</v>
      </c>
    </row>
    <row r="2862">
      <c r="A2862" s="34" t="inlineStr">
        <is>
          <t>AGA SPK-tilskudd</t>
        </is>
      </c>
      <c r="B2862" s="34" t="inlineStr">
        <is>
          <t>Region Øst</t>
        </is>
      </c>
      <c r="C2862" s="34" t="inlineStr">
        <is>
          <t>Hedmark ungdoms- og familiesenter - akutt, avd Disen</t>
        </is>
      </c>
      <c r="D2862" s="18" t="n"/>
      <c r="E2862" s="18" t="n"/>
      <c r="F2862" s="18" t="n"/>
      <c r="G2862" s="18" t="n"/>
      <c r="H2862" s="18" t="n"/>
      <c r="I2862" s="18" t="n">
        <v>-188025</v>
      </c>
      <c r="J2862" s="19" t="n">
        <v>-213262.655625</v>
      </c>
      <c r="K2862" s="35" t="n">
        <v>0.065</v>
      </c>
    </row>
    <row r="2863">
      <c r="A2863" s="36" t="inlineStr">
        <is>
          <t>AGA SPK-tilskudd</t>
        </is>
      </c>
      <c r="B2863" s="36" t="inlineStr">
        <is>
          <t>Region Øst</t>
        </is>
      </c>
      <c r="C2863" s="36" t="inlineStr">
        <is>
          <t>Hedmark ungdoms- og familiesenter - akutt, avd Disen</t>
        </is>
      </c>
      <c r="D2863" s="26" t="n"/>
      <c r="E2863" s="26" t="n"/>
      <c r="F2863" s="26" t="n"/>
      <c r="G2863" s="26" t="n"/>
      <c r="H2863" s="26" t="n"/>
      <c r="I2863" s="26" t="n">
        <v>-389621</v>
      </c>
      <c r="J2863" s="19" t="n">
        <v>-441917.8787249999</v>
      </c>
      <c r="K2863" s="37" t="n">
        <v>0.065</v>
      </c>
    </row>
    <row r="2864">
      <c r="A2864" s="34" t="inlineStr">
        <is>
          <t>AGA SPK-tilskudd</t>
        </is>
      </c>
      <c r="B2864" s="34" t="inlineStr">
        <is>
          <t>Region Øst</t>
        </is>
      </c>
      <c r="C2864" s="34" t="inlineStr">
        <is>
          <t>Hedmark ungdoms- og familiesenter - akutt, avd Stange 1</t>
        </is>
      </c>
      <c r="D2864" s="18" t="n"/>
      <c r="E2864" s="18" t="n"/>
      <c r="F2864" s="18" t="n"/>
      <c r="G2864" s="18" t="n"/>
      <c r="H2864" s="18" t="n"/>
      <c r="I2864" s="18" t="n">
        <v>138207</v>
      </c>
      <c r="J2864" s="19" t="n">
        <v>156757.834575</v>
      </c>
      <c r="K2864" s="35" t="n">
        <v>0.065</v>
      </c>
    </row>
    <row r="2865">
      <c r="A2865" s="36" t="inlineStr">
        <is>
          <t>AGA SPK-tilskudd</t>
        </is>
      </c>
      <c r="B2865" s="36" t="inlineStr">
        <is>
          <t>Region Øst</t>
        </is>
      </c>
      <c r="C2865" s="36" t="inlineStr">
        <is>
          <t>Hedmark ungdoms- og familiesenter - akutt, avd Stange 1</t>
        </is>
      </c>
      <c r="D2865" s="26" t="n"/>
      <c r="E2865" s="26" t="n"/>
      <c r="F2865" s="26" t="n"/>
      <c r="G2865" s="26" t="n"/>
      <c r="H2865" s="26" t="n"/>
      <c r="I2865" s="26" t="n">
        <v>118286</v>
      </c>
      <c r="J2865" s="19" t="n">
        <v>134162.93835</v>
      </c>
      <c r="K2865" s="37" t="n">
        <v>0.065</v>
      </c>
    </row>
    <row r="2866">
      <c r="A2866" s="34" t="inlineStr">
        <is>
          <t>AGA SPK-tilskudd</t>
        </is>
      </c>
      <c r="B2866" s="34" t="inlineStr">
        <is>
          <t>Region Øst</t>
        </is>
      </c>
      <c r="C2866" s="34" t="inlineStr">
        <is>
          <t>Hedmark ungdoms- og familiesenter - akutt, avd Stange 1</t>
        </is>
      </c>
      <c r="D2866" s="18" t="n"/>
      <c r="E2866" s="18" t="n"/>
      <c r="F2866" s="18" t="n"/>
      <c r="G2866" s="18" t="n"/>
      <c r="H2866" s="18" t="n"/>
      <c r="I2866" s="18" t="n">
        <v>46554</v>
      </c>
      <c r="J2866" s="19" t="n">
        <v>52802.71064999999</v>
      </c>
      <c r="K2866" s="35" t="n">
        <v>0.065</v>
      </c>
    </row>
    <row r="2867">
      <c r="A2867" s="36" t="inlineStr">
        <is>
          <t>AGA SPK-tilskudd</t>
        </is>
      </c>
      <c r="B2867" s="36" t="inlineStr">
        <is>
          <t>Region Øst</t>
        </is>
      </c>
      <c r="C2867" s="36" t="inlineStr">
        <is>
          <t>Hedmark ungdoms- og familiesenter - akutt, avd Stange 1</t>
        </is>
      </c>
      <c r="D2867" s="26" t="n"/>
      <c r="E2867" s="26" t="n"/>
      <c r="F2867" s="26" t="n"/>
      <c r="G2867" s="26" t="n"/>
      <c r="H2867" s="26" t="n"/>
      <c r="I2867" s="26" t="n">
        <v>71508</v>
      </c>
      <c r="J2867" s="19" t="n">
        <v>81106.16129999999</v>
      </c>
      <c r="K2867" s="37" t="n">
        <v>0.065</v>
      </c>
    </row>
    <row r="2868">
      <c r="A2868" s="34" t="inlineStr">
        <is>
          <t>AGA SPK-tilskudd</t>
        </is>
      </c>
      <c r="B2868" s="34" t="inlineStr">
        <is>
          <t>Region Øst</t>
        </is>
      </c>
      <c r="C2868" s="34" t="inlineStr">
        <is>
          <t>Hedmark ungdoms- og familiesenter - akutt, avd Stange 1</t>
        </is>
      </c>
      <c r="D2868" s="18" t="n"/>
      <c r="E2868" s="18" t="n"/>
      <c r="F2868" s="18" t="n"/>
      <c r="G2868" s="18" t="n"/>
      <c r="H2868" s="18" t="n"/>
      <c r="I2868" s="18" t="n">
        <v>3099</v>
      </c>
      <c r="J2868" s="19" t="n">
        <v>3514.963275</v>
      </c>
      <c r="K2868" s="35" t="n">
        <v>0.065</v>
      </c>
    </row>
    <row r="2869">
      <c r="A2869" s="36" t="inlineStr">
        <is>
          <t>AGA SPK-tilskudd</t>
        </is>
      </c>
      <c r="B2869" s="36" t="inlineStr">
        <is>
          <t>Region Øst</t>
        </is>
      </c>
      <c r="C2869" s="36" t="inlineStr">
        <is>
          <t>Hedmark ungdoms- og familiesenter - akutt, avd Stange 1</t>
        </is>
      </c>
      <c r="D2869" s="26" t="n"/>
      <c r="E2869" s="26" t="n"/>
      <c r="F2869" s="26" t="n"/>
      <c r="G2869" s="26" t="n"/>
      <c r="H2869" s="26" t="n"/>
      <c r="I2869" s="26" t="n">
        <v>8012</v>
      </c>
      <c r="J2869" s="19" t="n">
        <v>9087.410699999999</v>
      </c>
      <c r="K2869" s="37" t="n">
        <v>0.065</v>
      </c>
    </row>
    <row r="2870">
      <c r="A2870" s="34" t="inlineStr">
        <is>
          <t>AGA SPK-tilskudd</t>
        </is>
      </c>
      <c r="B2870" s="34" t="inlineStr">
        <is>
          <t>Region Øst</t>
        </is>
      </c>
      <c r="C2870" s="34" t="inlineStr">
        <is>
          <t>Hedmark ungdoms- og familiesenter - akutt, avd Stange 1</t>
        </is>
      </c>
      <c r="D2870" s="18" t="n"/>
      <c r="E2870" s="18" t="n"/>
      <c r="F2870" s="18" t="n"/>
      <c r="G2870" s="18" t="n"/>
      <c r="H2870" s="18" t="n"/>
      <c r="I2870" s="18" t="n">
        <v>2200</v>
      </c>
      <c r="J2870" s="19" t="n">
        <v>2495.295</v>
      </c>
      <c r="K2870" s="35" t="n">
        <v>0.065</v>
      </c>
    </row>
    <row r="2871">
      <c r="A2871" s="36" t="inlineStr">
        <is>
          <t>AGA SPK-tilskudd</t>
        </is>
      </c>
      <c r="B2871" s="36" t="inlineStr">
        <is>
          <t>Region Øst</t>
        </is>
      </c>
      <c r="C2871" s="36" t="inlineStr">
        <is>
          <t>Hedmark ungdoms- og familiesenter - akutt, avd Stange 1</t>
        </is>
      </c>
      <c r="D2871" s="26" t="n"/>
      <c r="E2871" s="26" t="n"/>
      <c r="F2871" s="26" t="n"/>
      <c r="G2871" s="26" t="n"/>
      <c r="H2871" s="26" t="n"/>
      <c r="I2871" s="26" t="n">
        <v>1910</v>
      </c>
      <c r="J2871" s="19" t="n">
        <v>2166.36975</v>
      </c>
      <c r="K2871" s="37" t="n">
        <v>0.065</v>
      </c>
    </row>
    <row r="2872">
      <c r="A2872" s="34" t="inlineStr">
        <is>
          <t>AGA SPK-tilskudd</t>
        </is>
      </c>
      <c r="B2872" s="34" t="inlineStr">
        <is>
          <t>Region Øst</t>
        </is>
      </c>
      <c r="C2872" s="34" t="inlineStr">
        <is>
          <t>Hedmark ungdoms- og familiesenter - akutt, avd Stange 1</t>
        </is>
      </c>
      <c r="D2872" s="18" t="n"/>
      <c r="E2872" s="18" t="n"/>
      <c r="F2872" s="18" t="n"/>
      <c r="G2872" s="18" t="n"/>
      <c r="H2872" s="18" t="n"/>
      <c r="I2872" s="18" t="n">
        <v>4188</v>
      </c>
      <c r="J2872" s="19" t="n">
        <v>4750.134299999999</v>
      </c>
      <c r="K2872" s="35" t="n">
        <v>0.065</v>
      </c>
    </row>
    <row r="2873">
      <c r="A2873" s="36" t="inlineStr">
        <is>
          <t>AGA SPK-tilskudd</t>
        </is>
      </c>
      <c r="B2873" s="36" t="inlineStr">
        <is>
          <t>Region Øst</t>
        </is>
      </c>
      <c r="C2873" s="36" t="inlineStr">
        <is>
          <t>Hedmark ungdoms- og familiesenter - akutt, avd Stange 1</t>
        </is>
      </c>
      <c r="D2873" s="26" t="n"/>
      <c r="E2873" s="26" t="n"/>
      <c r="F2873" s="26" t="n"/>
      <c r="G2873" s="26" t="n"/>
      <c r="H2873" s="26" t="n"/>
      <c r="I2873" s="26" t="n">
        <v>3295</v>
      </c>
      <c r="J2873" s="19" t="n">
        <v>3737.271374999999</v>
      </c>
      <c r="K2873" s="37" t="n">
        <v>0.065</v>
      </c>
    </row>
    <row r="2874">
      <c r="A2874" s="34" t="inlineStr">
        <is>
          <t>AGA SPK-tilskudd</t>
        </is>
      </c>
      <c r="B2874" s="34" t="inlineStr">
        <is>
          <t>Region Øst</t>
        </is>
      </c>
      <c r="C2874" s="34" t="inlineStr">
        <is>
          <t>Hedmark ungdoms- og familiesenter - akutt, avd Stange 1</t>
        </is>
      </c>
      <c r="D2874" s="18" t="n"/>
      <c r="E2874" s="18" t="n"/>
      <c r="F2874" s="18" t="n"/>
      <c r="G2874" s="18" t="n"/>
      <c r="H2874" s="18" t="n"/>
      <c r="I2874" s="18" t="n">
        <v>-32952</v>
      </c>
      <c r="J2874" s="19" t="n">
        <v>-37374.98219999999</v>
      </c>
      <c r="K2874" s="35" t="n">
        <v>0.065</v>
      </c>
    </row>
    <row r="2875">
      <c r="A2875" s="36" t="inlineStr">
        <is>
          <t>AGA SPK-tilskudd</t>
        </is>
      </c>
      <c r="B2875" s="36" t="inlineStr">
        <is>
          <t>Region Øst</t>
        </is>
      </c>
      <c r="C2875" s="36" t="inlineStr">
        <is>
          <t>Hedmark ungdoms- og familiesenter - akutt, avd Stange 1</t>
        </is>
      </c>
      <c r="D2875" s="26" t="n"/>
      <c r="E2875" s="26" t="n"/>
      <c r="F2875" s="26" t="n"/>
      <c r="G2875" s="26" t="n"/>
      <c r="H2875" s="26" t="n"/>
      <c r="I2875" s="26" t="n">
        <v>-124868</v>
      </c>
      <c r="J2875" s="19" t="n">
        <v>-141628.4073</v>
      </c>
      <c r="K2875" s="37" t="n">
        <v>0.065</v>
      </c>
    </row>
    <row r="2876">
      <c r="A2876" s="34" t="inlineStr">
        <is>
          <t>AGA SPK-tilskudd</t>
        </is>
      </c>
      <c r="B2876" s="34" t="inlineStr">
        <is>
          <t>Region Øst</t>
        </is>
      </c>
      <c r="C2876" s="34" t="inlineStr">
        <is>
          <t>Hedmark ungdoms- og familiesenter - akutt, avd Stange 1</t>
        </is>
      </c>
      <c r="D2876" s="18" t="n"/>
      <c r="E2876" s="18" t="n"/>
      <c r="F2876" s="18" t="n"/>
      <c r="G2876" s="18" t="n"/>
      <c r="H2876" s="18" t="n"/>
      <c r="I2876" s="18" t="n">
        <v>-156319</v>
      </c>
      <c r="J2876" s="19" t="n">
        <v>-177300.917775</v>
      </c>
      <c r="K2876" s="35" t="n">
        <v>0.065</v>
      </c>
    </row>
    <row r="2877">
      <c r="A2877" s="36" t="inlineStr">
        <is>
          <t>AGA SPK-tilskudd</t>
        </is>
      </c>
      <c r="B2877" s="36" t="inlineStr">
        <is>
          <t>Region Øst</t>
        </is>
      </c>
      <c r="C2877" s="36" t="inlineStr">
        <is>
          <t>Hedmark ungdoms- og familiesenter - akutt, avd Vien 1</t>
        </is>
      </c>
      <c r="D2877" s="26" t="n"/>
      <c r="E2877" s="26" t="n"/>
      <c r="F2877" s="26" t="n"/>
      <c r="G2877" s="26" t="n"/>
      <c r="H2877" s="26" t="n"/>
      <c r="I2877" s="26" t="n">
        <v>164310</v>
      </c>
      <c r="J2877" s="19" t="n">
        <v>186364.50975</v>
      </c>
      <c r="K2877" s="37" t="n">
        <v>0.065</v>
      </c>
    </row>
    <row r="2878">
      <c r="A2878" s="34" t="inlineStr">
        <is>
          <t>AGA SPK-tilskudd</t>
        </is>
      </c>
      <c r="B2878" s="34" t="inlineStr">
        <is>
          <t>Region Øst</t>
        </is>
      </c>
      <c r="C2878" s="34" t="inlineStr">
        <is>
          <t>Hedmark ungdoms- og familiesenter - akutt, avd Vien 1</t>
        </is>
      </c>
      <c r="D2878" s="18" t="n"/>
      <c r="E2878" s="18" t="n"/>
      <c r="F2878" s="18" t="n"/>
      <c r="G2878" s="18" t="n"/>
      <c r="H2878" s="18" t="n"/>
      <c r="I2878" s="18" t="n">
        <v>172052</v>
      </c>
      <c r="J2878" s="19" t="n">
        <v>195145.6797</v>
      </c>
      <c r="K2878" s="35" t="n">
        <v>0.065</v>
      </c>
    </row>
    <row r="2879">
      <c r="A2879" s="36" t="inlineStr">
        <is>
          <t>AGA SPK-tilskudd</t>
        </is>
      </c>
      <c r="B2879" s="36" t="inlineStr">
        <is>
          <t>Region Øst</t>
        </is>
      </c>
      <c r="C2879" s="36" t="inlineStr">
        <is>
          <t>Hedmark ungdoms- og familiesenter - akutt, avd Vien 1</t>
        </is>
      </c>
      <c r="D2879" s="26" t="n"/>
      <c r="E2879" s="26" t="n"/>
      <c r="F2879" s="26" t="n"/>
      <c r="G2879" s="26" t="n"/>
      <c r="H2879" s="26" t="n"/>
      <c r="I2879" s="26" t="n">
        <v>34073</v>
      </c>
      <c r="J2879" s="19" t="n">
        <v>38646.448425</v>
      </c>
      <c r="K2879" s="37" t="n">
        <v>0.065</v>
      </c>
    </row>
    <row r="2880">
      <c r="A2880" s="34" t="inlineStr">
        <is>
          <t>AGA SPK-tilskudd</t>
        </is>
      </c>
      <c r="B2880" s="34" t="inlineStr">
        <is>
          <t>Region Øst</t>
        </is>
      </c>
      <c r="C2880" s="34" t="inlineStr">
        <is>
          <t>Hedmark ungdoms- og familiesenter - akutt, avd Vien 1</t>
        </is>
      </c>
      <c r="D2880" s="18" t="n"/>
      <c r="E2880" s="18" t="n"/>
      <c r="F2880" s="18" t="n"/>
      <c r="G2880" s="18" t="n"/>
      <c r="H2880" s="18" t="n"/>
      <c r="I2880" s="18" t="n">
        <v>73671</v>
      </c>
      <c r="J2880" s="19" t="n">
        <v>83559.48997499999</v>
      </c>
      <c r="K2880" s="35" t="n">
        <v>0.065</v>
      </c>
    </row>
    <row r="2881">
      <c r="A2881" s="36" t="inlineStr">
        <is>
          <t>AGA SPK-tilskudd</t>
        </is>
      </c>
      <c r="B2881" s="36" t="inlineStr">
        <is>
          <t>Region Øst</t>
        </is>
      </c>
      <c r="C2881" s="36" t="inlineStr">
        <is>
          <t>Hedmark ungdoms- og familiesenter - akutt, avd Vien 1</t>
        </is>
      </c>
      <c r="D2881" s="26" t="n"/>
      <c r="E2881" s="26" t="n"/>
      <c r="F2881" s="26" t="n"/>
      <c r="G2881" s="26" t="n"/>
      <c r="H2881" s="26" t="n"/>
      <c r="I2881" s="26" t="n">
        <v>3469</v>
      </c>
      <c r="J2881" s="19" t="n">
        <v>3934.626524999999</v>
      </c>
      <c r="K2881" s="37" t="n">
        <v>0.065</v>
      </c>
    </row>
    <row r="2882">
      <c r="A2882" s="34" t="inlineStr">
        <is>
          <t>AGA SPK-tilskudd</t>
        </is>
      </c>
      <c r="B2882" s="34" t="inlineStr">
        <is>
          <t>Region Øst</t>
        </is>
      </c>
      <c r="C2882" s="34" t="inlineStr">
        <is>
          <t>Hedmark ungdoms- og familiesenter - akutt, avd Vien 1</t>
        </is>
      </c>
      <c r="D2882" s="18" t="n"/>
      <c r="E2882" s="18" t="n"/>
      <c r="F2882" s="18" t="n"/>
      <c r="G2882" s="18" t="n"/>
      <c r="H2882" s="18" t="n"/>
      <c r="I2882" s="18" t="n">
        <v>4668</v>
      </c>
      <c r="J2882" s="19" t="n">
        <v>5294.5623</v>
      </c>
      <c r="K2882" s="35" t="n">
        <v>0.065</v>
      </c>
    </row>
    <row r="2883">
      <c r="A2883" s="36" t="inlineStr">
        <is>
          <t>AGA SPK-tilskudd</t>
        </is>
      </c>
      <c r="B2883" s="36" t="inlineStr">
        <is>
          <t>Region Øst</t>
        </is>
      </c>
      <c r="C2883" s="36" t="inlineStr">
        <is>
          <t>Hedmark ungdoms- og familiesenter - akutt, avd Vien 1</t>
        </is>
      </c>
      <c r="D2883" s="26" t="n"/>
      <c r="E2883" s="26" t="n"/>
      <c r="F2883" s="26" t="n"/>
      <c r="G2883" s="26" t="n"/>
      <c r="H2883" s="26" t="n"/>
      <c r="I2883" s="26" t="n">
        <v>2556</v>
      </c>
      <c r="J2883" s="19" t="n">
        <v>2899.079099999999</v>
      </c>
      <c r="K2883" s="37" t="n">
        <v>0.065</v>
      </c>
    </row>
    <row r="2884">
      <c r="A2884" s="34" t="inlineStr">
        <is>
          <t>AGA SPK-tilskudd</t>
        </is>
      </c>
      <c r="B2884" s="34" t="inlineStr">
        <is>
          <t>Region Øst</t>
        </is>
      </c>
      <c r="C2884" s="34" t="inlineStr">
        <is>
          <t>Hedmark ungdoms- og familiesenter - akutt, avd Vien 1</t>
        </is>
      </c>
      <c r="D2884" s="18" t="n"/>
      <c r="E2884" s="18" t="n"/>
      <c r="F2884" s="18" t="n"/>
      <c r="G2884" s="18" t="n"/>
      <c r="H2884" s="18" t="n"/>
      <c r="I2884" s="18" t="n">
        <v>2870</v>
      </c>
      <c r="J2884" s="19" t="n">
        <v>3255.22575</v>
      </c>
      <c r="K2884" s="35" t="n">
        <v>0.065</v>
      </c>
    </row>
    <row r="2885">
      <c r="A2885" s="36" t="inlineStr">
        <is>
          <t>AGA SPK-tilskudd</t>
        </is>
      </c>
      <c r="B2885" s="36" t="inlineStr">
        <is>
          <t>Region Øst</t>
        </is>
      </c>
      <c r="C2885" s="36" t="inlineStr">
        <is>
          <t>Hedmark ungdoms- og familiesenter - akutt, avd Vien 1</t>
        </is>
      </c>
      <c r="D2885" s="26" t="n"/>
      <c r="E2885" s="26" t="n"/>
      <c r="F2885" s="26" t="n"/>
      <c r="G2885" s="26" t="n"/>
      <c r="H2885" s="26" t="n"/>
      <c r="I2885" s="26" t="n">
        <v>3108</v>
      </c>
      <c r="J2885" s="19" t="n">
        <v>3525.1713</v>
      </c>
      <c r="K2885" s="37" t="n">
        <v>0.065</v>
      </c>
    </row>
    <row r="2886">
      <c r="A2886" s="34" t="inlineStr">
        <is>
          <t>AGA SPK-tilskudd</t>
        </is>
      </c>
      <c r="B2886" s="34" t="inlineStr">
        <is>
          <t>Region Øst</t>
        </is>
      </c>
      <c r="C2886" s="34" t="inlineStr">
        <is>
          <t>Hedmark ungdoms- og familiesenter - akutt, avd Vien 1</t>
        </is>
      </c>
      <c r="D2886" s="18" t="n"/>
      <c r="E2886" s="18" t="n"/>
      <c r="F2886" s="18" t="n"/>
      <c r="G2886" s="18" t="n"/>
      <c r="H2886" s="18" t="n"/>
      <c r="I2886" s="18" t="n">
        <v>-40850</v>
      </c>
      <c r="J2886" s="19" t="n">
        <v>-46333.09124999999</v>
      </c>
      <c r="K2886" s="35" t="n">
        <v>0.065</v>
      </c>
    </row>
    <row r="2887">
      <c r="A2887" s="36" t="inlineStr">
        <is>
          <t>AGA SPK-tilskudd</t>
        </is>
      </c>
      <c r="B2887" s="36" t="inlineStr">
        <is>
          <t>Region Øst</t>
        </is>
      </c>
      <c r="C2887" s="36" t="inlineStr">
        <is>
          <t>Hedmark ungdoms- og familiesenter - akutt, avd Vien 1</t>
        </is>
      </c>
      <c r="D2887" s="26" t="n"/>
      <c r="E2887" s="26" t="n"/>
      <c r="F2887" s="26" t="n"/>
      <c r="G2887" s="26" t="n"/>
      <c r="H2887" s="26" t="n"/>
      <c r="I2887" s="26" t="n">
        <v>-195298</v>
      </c>
      <c r="J2887" s="19" t="n">
        <v>-221511.87405</v>
      </c>
      <c r="K2887" s="37" t="n">
        <v>0.065</v>
      </c>
    </row>
    <row r="2888">
      <c r="A2888" s="34" t="inlineStr">
        <is>
          <t>AGA SPK-tilskudd</t>
        </is>
      </c>
      <c r="B2888" s="34" t="inlineStr">
        <is>
          <t>Region Øst</t>
        </is>
      </c>
      <c r="C2888" s="34" t="inlineStr">
        <is>
          <t>Hedmark ungdoms- og familiesenter - akutt, avd Vien 1</t>
        </is>
      </c>
      <c r="D2888" s="18" t="n"/>
      <c r="E2888" s="18" t="n"/>
      <c r="F2888" s="18" t="n"/>
      <c r="G2888" s="18" t="n"/>
      <c r="H2888" s="18" t="n"/>
      <c r="I2888" s="18" t="n">
        <v>-964677</v>
      </c>
      <c r="J2888" s="19" t="n">
        <v>-1094160.770325</v>
      </c>
      <c r="K2888" s="35" t="n">
        <v>0.065</v>
      </c>
    </row>
    <row r="2889">
      <c r="A2889" s="36" t="inlineStr">
        <is>
          <t>AGA SPK-tilskudd</t>
        </is>
      </c>
      <c r="B2889" s="36" t="inlineStr">
        <is>
          <t>Region Øst</t>
        </is>
      </c>
      <c r="C2889" s="36" t="inlineStr">
        <is>
          <t>Hedmark ungdoms- og familiesenter - akutt, avd Vien 2</t>
        </is>
      </c>
      <c r="D2889" s="26" t="n"/>
      <c r="E2889" s="26" t="n"/>
      <c r="F2889" s="26" t="n"/>
      <c r="G2889" s="26" t="n"/>
      <c r="H2889" s="26" t="n"/>
      <c r="I2889" s="26" t="n">
        <v>126633</v>
      </c>
      <c r="J2889" s="19" t="n">
        <v>143630.314425</v>
      </c>
      <c r="K2889" s="37" t="n">
        <v>0.065</v>
      </c>
    </row>
    <row r="2890">
      <c r="A2890" s="34" t="inlineStr">
        <is>
          <t>AGA SPK-tilskudd</t>
        </is>
      </c>
      <c r="B2890" s="34" t="inlineStr">
        <is>
          <t>Region Øst</t>
        </is>
      </c>
      <c r="C2890" s="34" t="inlineStr">
        <is>
          <t>Hedmark ungdoms- og familiesenter - akutt, avd Vien 2</t>
        </is>
      </c>
      <c r="D2890" s="18" t="n"/>
      <c r="E2890" s="18" t="n"/>
      <c r="F2890" s="18" t="n"/>
      <c r="G2890" s="18" t="n"/>
      <c r="H2890" s="18" t="n"/>
      <c r="I2890" s="18" t="n">
        <v>125081</v>
      </c>
      <c r="J2890" s="19" t="n">
        <v>141869.997225</v>
      </c>
      <c r="K2890" s="35" t="n">
        <v>0.065</v>
      </c>
    </row>
    <row r="2891">
      <c r="A2891" s="36" t="inlineStr">
        <is>
          <t>AGA SPK-tilskudd</t>
        </is>
      </c>
      <c r="B2891" s="36" t="inlineStr">
        <is>
          <t>Region Øst</t>
        </is>
      </c>
      <c r="C2891" s="36" t="inlineStr">
        <is>
          <t>Hedmark ungdoms- og familiesenter - akutt, avd Vien 2</t>
        </is>
      </c>
      <c r="D2891" s="26" t="n"/>
      <c r="E2891" s="26" t="n"/>
      <c r="F2891" s="26" t="n"/>
      <c r="G2891" s="26" t="n"/>
      <c r="H2891" s="26" t="n"/>
      <c r="I2891" s="26" t="n">
        <v>26365</v>
      </c>
      <c r="J2891" s="19" t="n">
        <v>29903.842125</v>
      </c>
      <c r="K2891" s="37" t="n">
        <v>0.065</v>
      </c>
    </row>
    <row r="2892">
      <c r="A2892" s="34" t="inlineStr">
        <is>
          <t>AGA SPK-tilskudd</t>
        </is>
      </c>
      <c r="B2892" s="34" t="inlineStr">
        <is>
          <t>Region Øst</t>
        </is>
      </c>
      <c r="C2892" s="34" t="inlineStr">
        <is>
          <t>Hedmark ungdoms- og familiesenter - akutt, avd Vien 2</t>
        </is>
      </c>
      <c r="D2892" s="18" t="n"/>
      <c r="E2892" s="18" t="n"/>
      <c r="F2892" s="18" t="n"/>
      <c r="G2892" s="18" t="n"/>
      <c r="H2892" s="18" t="n"/>
      <c r="I2892" s="18" t="n">
        <v>72950</v>
      </c>
      <c r="J2892" s="19" t="n">
        <v>82741.71374999998</v>
      </c>
      <c r="K2892" s="35" t="n">
        <v>0.065</v>
      </c>
    </row>
    <row r="2893">
      <c r="A2893" s="36" t="inlineStr">
        <is>
          <t>AGA SPK-tilskudd</t>
        </is>
      </c>
      <c r="B2893" s="36" t="inlineStr">
        <is>
          <t>Region Øst</t>
        </is>
      </c>
      <c r="C2893" s="36" t="inlineStr">
        <is>
          <t>Hedmark ungdoms- og familiesenter - akutt, avd Vien 2</t>
        </is>
      </c>
      <c r="D2893" s="26" t="n"/>
      <c r="E2893" s="26" t="n"/>
      <c r="F2893" s="26" t="n"/>
      <c r="G2893" s="26" t="n"/>
      <c r="H2893" s="26" t="n"/>
      <c r="I2893" s="26" t="n">
        <v>1540</v>
      </c>
      <c r="J2893" s="19" t="n">
        <v>1746.7065</v>
      </c>
      <c r="K2893" s="37" t="n">
        <v>0.065</v>
      </c>
    </row>
    <row r="2894">
      <c r="A2894" s="34" t="inlineStr">
        <is>
          <t>AGA SPK-tilskudd</t>
        </is>
      </c>
      <c r="B2894" s="34" t="inlineStr">
        <is>
          <t>Region Øst</t>
        </is>
      </c>
      <c r="C2894" s="34" t="inlineStr">
        <is>
          <t>Hedmark ungdoms- og familiesenter - akutt, avd Vien 2</t>
        </is>
      </c>
      <c r="D2894" s="18" t="n"/>
      <c r="E2894" s="18" t="n"/>
      <c r="F2894" s="18" t="n"/>
      <c r="G2894" s="18" t="n"/>
      <c r="H2894" s="18" t="n"/>
      <c r="I2894" s="18" t="n">
        <v>2587</v>
      </c>
      <c r="J2894" s="19" t="n">
        <v>2934.240075</v>
      </c>
      <c r="K2894" s="35" t="n">
        <v>0.065</v>
      </c>
    </row>
    <row r="2895">
      <c r="A2895" s="36" t="inlineStr">
        <is>
          <t>AGA SPK-tilskudd</t>
        </is>
      </c>
      <c r="B2895" s="36" t="inlineStr">
        <is>
          <t>Region Øst</t>
        </is>
      </c>
      <c r="C2895" s="36" t="inlineStr">
        <is>
          <t>Hedmark ungdoms- og familiesenter - akutt, avd Vien 2</t>
        </is>
      </c>
      <c r="D2895" s="26" t="n"/>
      <c r="E2895" s="26" t="n"/>
      <c r="F2895" s="26" t="n"/>
      <c r="G2895" s="26" t="n"/>
      <c r="H2895" s="26" t="n"/>
      <c r="I2895" s="26" t="n">
        <v>2250</v>
      </c>
      <c r="J2895" s="19" t="n">
        <v>2552.006249999999</v>
      </c>
      <c r="K2895" s="37" t="n">
        <v>0.065</v>
      </c>
    </row>
    <row r="2896">
      <c r="A2896" s="34" t="inlineStr">
        <is>
          <t>AGA SPK-tilskudd</t>
        </is>
      </c>
      <c r="B2896" s="34" t="inlineStr">
        <is>
          <t>Region Øst</t>
        </is>
      </c>
      <c r="C2896" s="34" t="inlineStr">
        <is>
          <t>Hedmark ungdoms- og familiesenter - akutt, avd Vien 2</t>
        </is>
      </c>
      <c r="D2896" s="18" t="n"/>
      <c r="E2896" s="18" t="n"/>
      <c r="F2896" s="18" t="n"/>
      <c r="G2896" s="18" t="n"/>
      <c r="H2896" s="18" t="n"/>
      <c r="I2896" s="18" t="n">
        <v>1572</v>
      </c>
      <c r="J2896" s="19" t="n">
        <v>1783.0017</v>
      </c>
      <c r="K2896" s="35" t="n">
        <v>0.065</v>
      </c>
    </row>
    <row r="2897">
      <c r="A2897" s="36" t="inlineStr">
        <is>
          <t>AGA SPK-tilskudd</t>
        </is>
      </c>
      <c r="B2897" s="36" t="inlineStr">
        <is>
          <t>Region Øst</t>
        </is>
      </c>
      <c r="C2897" s="36" t="inlineStr">
        <is>
          <t>Hedmark ungdoms- og familiesenter - akutt, avd Vien 2</t>
        </is>
      </c>
      <c r="D2897" s="26" t="n"/>
      <c r="E2897" s="26" t="n"/>
      <c r="F2897" s="26" t="n"/>
      <c r="G2897" s="26" t="n"/>
      <c r="H2897" s="26" t="n"/>
      <c r="I2897" s="26" t="n">
        <v>695</v>
      </c>
      <c r="J2897" s="19" t="n">
        <v>788.2863749999999</v>
      </c>
      <c r="K2897" s="37" t="n">
        <v>0.065</v>
      </c>
    </row>
    <row r="2898">
      <c r="A2898" s="34" t="inlineStr">
        <is>
          <t>AGA SPK-tilskudd</t>
        </is>
      </c>
      <c r="B2898" s="34" t="inlineStr">
        <is>
          <t>Region Øst</t>
        </is>
      </c>
      <c r="C2898" s="34" t="inlineStr">
        <is>
          <t>Hedmark ungdoms- og familiesenter - akutt, avd Vien 2</t>
        </is>
      </c>
      <c r="D2898" s="18" t="n"/>
      <c r="E2898" s="18" t="n"/>
      <c r="F2898" s="18" t="n"/>
      <c r="G2898" s="18" t="n"/>
      <c r="H2898" s="18" t="n"/>
      <c r="I2898" s="18" t="n">
        <v>-21791</v>
      </c>
      <c r="J2898" s="19" t="n">
        <v>-24715.896975</v>
      </c>
      <c r="K2898" s="35" t="n">
        <v>0.065</v>
      </c>
    </row>
    <row r="2899">
      <c r="A2899" s="36" t="inlineStr">
        <is>
          <t>AGA SPK-tilskudd</t>
        </is>
      </c>
      <c r="B2899" s="36" t="inlineStr">
        <is>
          <t>Region Øst</t>
        </is>
      </c>
      <c r="C2899" s="36" t="inlineStr">
        <is>
          <t>Hedmark ungdoms- og familiesenter - akutt, avd Vien 2</t>
        </is>
      </c>
      <c r="D2899" s="26" t="n"/>
      <c r="E2899" s="26" t="n"/>
      <c r="F2899" s="26" t="n"/>
      <c r="G2899" s="26" t="n"/>
      <c r="H2899" s="26" t="n"/>
      <c r="I2899" s="26" t="n">
        <v>-106473</v>
      </c>
      <c r="J2899" s="19" t="n">
        <v>-120764.338425</v>
      </c>
      <c r="K2899" s="37" t="n">
        <v>0.065</v>
      </c>
    </row>
    <row r="2900">
      <c r="A2900" s="34" t="inlineStr">
        <is>
          <t>AGA SPK-tilskudd</t>
        </is>
      </c>
      <c r="B2900" s="34" t="inlineStr">
        <is>
          <t>Region Øst</t>
        </is>
      </c>
      <c r="C2900" s="34" t="inlineStr">
        <is>
          <t>Hedmark ungdoms- og familiesenter - akutt, avd Vien 2</t>
        </is>
      </c>
      <c r="D2900" s="18" t="n"/>
      <c r="E2900" s="18" t="n"/>
      <c r="F2900" s="18" t="n"/>
      <c r="G2900" s="18" t="n"/>
      <c r="H2900" s="18" t="n"/>
      <c r="I2900" s="18" t="n">
        <v>-818211</v>
      </c>
      <c r="J2900" s="19" t="n">
        <v>-928035.3714749998</v>
      </c>
      <c r="K2900" s="35" t="n">
        <v>0.065</v>
      </c>
    </row>
    <row r="2901">
      <c r="A2901" s="36" t="inlineStr">
        <is>
          <t>AGA SPK-tilskudd</t>
        </is>
      </c>
      <c r="B2901" s="36" t="inlineStr">
        <is>
          <t>Region Øst</t>
        </is>
      </c>
      <c r="C2901" s="36" t="inlineStr">
        <is>
          <t>Innlandet Barnevernsenter avdeling Sandvig</t>
        </is>
      </c>
      <c r="D2901" s="26" t="n">
        <v>39741</v>
      </c>
      <c r="E2901" s="26" t="n">
        <v>106562</v>
      </c>
      <c r="F2901" s="26" t="n">
        <v>85247</v>
      </c>
      <c r="G2901" s="26" t="n">
        <v>108805</v>
      </c>
      <c r="H2901" s="26" t="n">
        <v>131386</v>
      </c>
      <c r="I2901" s="26" t="n">
        <v>143581</v>
      </c>
      <c r="J2901" s="19" t="n">
        <v>224345.3125</v>
      </c>
      <c r="K2901" s="37" t="n">
        <v>0.25</v>
      </c>
    </row>
    <row r="2902">
      <c r="A2902" s="34" t="inlineStr">
        <is>
          <t>AGA SPK-tilskudd</t>
        </is>
      </c>
      <c r="B2902" s="34" t="inlineStr">
        <is>
          <t>Region Øst</t>
        </is>
      </c>
      <c r="C2902" s="34" t="inlineStr">
        <is>
          <t>Innlandet Barnevernsenter avdeling Sandvig</t>
        </is>
      </c>
      <c r="D2902" s="18" t="n">
        <v>23</v>
      </c>
      <c r="E2902" s="18" t="n">
        <v>92183</v>
      </c>
      <c r="F2902" s="18" t="n">
        <v>83850</v>
      </c>
      <c r="G2902" s="18" t="n">
        <v>46194</v>
      </c>
      <c r="H2902" s="18" t="n">
        <v>446326</v>
      </c>
      <c r="I2902" s="18" t="n">
        <v>344116</v>
      </c>
      <c r="J2902" s="19" t="n">
        <v>537681.25</v>
      </c>
      <c r="K2902" s="35" t="n">
        <v>0.25</v>
      </c>
    </row>
    <row r="2903">
      <c r="A2903" s="36" t="inlineStr">
        <is>
          <t>AGA SPK-tilskudd</t>
        </is>
      </c>
      <c r="B2903" s="36" t="inlineStr">
        <is>
          <t>Region Øst</t>
        </is>
      </c>
      <c r="C2903" s="36" t="inlineStr">
        <is>
          <t>Innlandet Barnevernsenter avdeling Sandvig</t>
        </is>
      </c>
      <c r="D2903" s="26" t="n">
        <v>6059</v>
      </c>
      <c r="E2903" s="26" t="n">
        <v>15961</v>
      </c>
      <c r="F2903" s="26" t="n">
        <v>103548</v>
      </c>
      <c r="G2903" s="26" t="n">
        <v>66377</v>
      </c>
      <c r="H2903" s="26" t="n">
        <v>42366</v>
      </c>
      <c r="I2903" s="26" t="n">
        <v>32266</v>
      </c>
      <c r="J2903" s="19" t="n">
        <v>50415.625</v>
      </c>
      <c r="K2903" s="37" t="n">
        <v>0.25</v>
      </c>
    </row>
    <row r="2904">
      <c r="A2904" s="34" t="inlineStr">
        <is>
          <t>AGA SPK-tilskudd</t>
        </is>
      </c>
      <c r="B2904" s="34" t="inlineStr">
        <is>
          <t>Region Øst</t>
        </is>
      </c>
      <c r="C2904" s="34" t="inlineStr">
        <is>
          <t>Innlandet Barnevernsenter avdeling Sandvig</t>
        </is>
      </c>
      <c r="D2904" s="18" t="n">
        <v>4600</v>
      </c>
      <c r="E2904" s="18" t="n">
        <v>23191</v>
      </c>
      <c r="F2904" s="18" t="n">
        <v>22597</v>
      </c>
      <c r="G2904" s="18" t="n">
        <v>40388</v>
      </c>
      <c r="H2904" s="18" t="n">
        <v>55482</v>
      </c>
      <c r="I2904" s="18" t="n">
        <v>69346</v>
      </c>
      <c r="J2904" s="19" t="n">
        <v>108353.125</v>
      </c>
      <c r="K2904" s="35" t="n">
        <v>0.25</v>
      </c>
    </row>
    <row r="2905">
      <c r="A2905" s="36" t="inlineStr">
        <is>
          <t>AGA SPK-tilskudd</t>
        </is>
      </c>
      <c r="B2905" s="36" t="inlineStr">
        <is>
          <t>Region Øst</t>
        </is>
      </c>
      <c r="C2905" s="36" t="inlineStr">
        <is>
          <t>Innlandet Barnevernsenter avdeling Sandvig</t>
        </is>
      </c>
      <c r="D2905" s="26" t="n"/>
      <c r="E2905" s="26" t="n">
        <v>2898</v>
      </c>
      <c r="F2905" s="26" t="n">
        <v>6539</v>
      </c>
      <c r="G2905" s="26" t="n"/>
      <c r="H2905" s="26" t="n"/>
      <c r="I2905" s="26" t="n">
        <v>7875</v>
      </c>
      <c r="J2905" s="19" t="n">
        <v>12304.6875</v>
      </c>
      <c r="K2905" s="37" t="n">
        <v>0.25</v>
      </c>
    </row>
    <row r="2906">
      <c r="A2906" s="34" t="inlineStr">
        <is>
          <t>AGA SPK-tilskudd</t>
        </is>
      </c>
      <c r="B2906" s="34" t="inlineStr">
        <is>
          <t>Region Øst</t>
        </is>
      </c>
      <c r="C2906" s="34" t="inlineStr">
        <is>
          <t>Innlandet Barnevernsenter avdeling Sandvig</t>
        </is>
      </c>
      <c r="D2906" s="18" t="n">
        <v>2373</v>
      </c>
      <c r="E2906" s="18" t="n">
        <v>1320</v>
      </c>
      <c r="F2906" s="18" t="n">
        <v>1329</v>
      </c>
      <c r="G2906" s="18" t="n">
        <v>2010</v>
      </c>
      <c r="H2906" s="18" t="n">
        <v>3830</v>
      </c>
      <c r="I2906" s="18" t="n">
        <v>1061</v>
      </c>
      <c r="J2906" s="19" t="n">
        <v>768.9222749305475</v>
      </c>
      <c r="K2906" s="35" t="n">
        <v>-0.148698244168299</v>
      </c>
    </row>
    <row r="2907">
      <c r="A2907" s="36" t="inlineStr">
        <is>
          <t>AGA SPK-tilskudd</t>
        </is>
      </c>
      <c r="B2907" s="36" t="inlineStr">
        <is>
          <t>Region Øst</t>
        </is>
      </c>
      <c r="C2907" s="36" t="inlineStr">
        <is>
          <t>Innlandet Barnevernsenter avdeling Sandvig</t>
        </is>
      </c>
      <c r="D2907" s="26" t="n">
        <v>3678</v>
      </c>
      <c r="E2907" s="26" t="n">
        <v>8397</v>
      </c>
      <c r="F2907" s="26" t="n">
        <v>12986</v>
      </c>
      <c r="G2907" s="26" t="n">
        <v>14343</v>
      </c>
      <c r="H2907" s="26" t="n">
        <v>2019</v>
      </c>
      <c r="I2907" s="26" t="n">
        <v>3309</v>
      </c>
      <c r="J2907" s="19" t="n">
        <v>3171.98251049606</v>
      </c>
      <c r="K2907" s="37" t="n">
        <v>-0.02092263929760396</v>
      </c>
    </row>
    <row r="2908">
      <c r="A2908" s="34" t="inlineStr">
        <is>
          <t>AGA SPK-tilskudd</t>
        </is>
      </c>
      <c r="B2908" s="34" t="inlineStr">
        <is>
          <t>Region Øst</t>
        </is>
      </c>
      <c r="C2908" s="34" t="inlineStr">
        <is>
          <t>Innlandet Barnevernsenter avdeling Sandvig</t>
        </is>
      </c>
      <c r="D2908" s="18" t="n"/>
      <c r="E2908" s="18" t="n"/>
      <c r="F2908" s="18" t="n">
        <v>796</v>
      </c>
      <c r="G2908" s="18" t="n">
        <v>3430</v>
      </c>
      <c r="H2908" s="18" t="n">
        <v>3129</v>
      </c>
      <c r="I2908" s="18" t="n">
        <v>200</v>
      </c>
      <c r="J2908" s="19" t="n">
        <v>226.845</v>
      </c>
      <c r="K2908" s="35" t="n">
        <v>0.065</v>
      </c>
    </row>
    <row r="2909">
      <c r="A2909" s="36" t="inlineStr">
        <is>
          <t>AGA SPK-tilskudd</t>
        </is>
      </c>
      <c r="B2909" s="36" t="inlineStr">
        <is>
          <t>Region Øst</t>
        </is>
      </c>
      <c r="C2909" s="36" t="inlineStr">
        <is>
          <t>Innlandet Barnevernsenter avdeling Sandvig</t>
        </is>
      </c>
      <c r="D2909" s="26" t="n"/>
      <c r="E2909" s="26" t="n">
        <v>1820</v>
      </c>
      <c r="F2909" s="26" t="n">
        <v>1125</v>
      </c>
      <c r="G2909" s="26" t="n">
        <v>360</v>
      </c>
      <c r="H2909" s="26" t="n">
        <v>1010</v>
      </c>
      <c r="I2909" s="26" t="n">
        <v>504</v>
      </c>
      <c r="J2909" s="19" t="n">
        <v>283.5</v>
      </c>
      <c r="K2909" s="37" t="n">
        <v>-0.25</v>
      </c>
    </row>
    <row r="2910">
      <c r="A2910" s="34" t="inlineStr">
        <is>
          <t>AGA SPK-tilskudd</t>
        </is>
      </c>
      <c r="B2910" s="34" t="inlineStr">
        <is>
          <t>Region Øst</t>
        </is>
      </c>
      <c r="C2910" s="34" t="inlineStr">
        <is>
          <t>Innlandet Barnevernsenter avdeling Sandvig</t>
        </is>
      </c>
      <c r="D2910" s="18" t="n">
        <v>1643</v>
      </c>
      <c r="E2910" s="18" t="n">
        <v>2590</v>
      </c>
      <c r="F2910" s="18" t="n">
        <v>3557</v>
      </c>
      <c r="G2910" s="18" t="n">
        <v>4369</v>
      </c>
      <c r="H2910" s="18" t="n">
        <v>1487</v>
      </c>
      <c r="I2910" s="18" t="n">
        <v>1691</v>
      </c>
      <c r="J2910" s="19" t="n">
        <v>1710.590379777594</v>
      </c>
      <c r="K2910" s="35" t="n">
        <v>0.005775862514384889</v>
      </c>
    </row>
    <row r="2911">
      <c r="A2911" s="36" t="inlineStr">
        <is>
          <t>AGA SPK-tilskudd</t>
        </is>
      </c>
      <c r="B2911" s="36" t="inlineStr">
        <is>
          <t>Region Øst</t>
        </is>
      </c>
      <c r="C2911" s="36" t="inlineStr">
        <is>
          <t>Innlandet Barnevernsenter avdeling Sandvig</t>
        </is>
      </c>
      <c r="D2911" s="26" t="n"/>
      <c r="E2911" s="26" t="n">
        <v>477</v>
      </c>
      <c r="F2911" s="26" t="n"/>
      <c r="G2911" s="26" t="n"/>
      <c r="H2911" s="26" t="n"/>
      <c r="I2911" s="26" t="n"/>
      <c r="J2911" s="19" t="n">
        <v>0</v>
      </c>
      <c r="K2911" s="37" t="n">
        <v>0.065</v>
      </c>
    </row>
    <row r="2912">
      <c r="A2912" s="34" t="inlineStr">
        <is>
          <t>AGA SPK-tilskudd</t>
        </is>
      </c>
      <c r="B2912" s="34" t="inlineStr">
        <is>
          <t>Region Øst</t>
        </is>
      </c>
      <c r="C2912" s="34" t="inlineStr">
        <is>
          <t>Innlandet Barnevernsenter avdeling Sandvig</t>
        </is>
      </c>
      <c r="D2912" s="18" t="n">
        <v>2115</v>
      </c>
      <c r="E2912" s="18" t="n">
        <v>-6538</v>
      </c>
      <c r="F2912" s="18" t="n">
        <v>-18700</v>
      </c>
      <c r="G2912" s="18" t="n">
        <v>-24617</v>
      </c>
      <c r="H2912" s="18" t="n">
        <v>-28700</v>
      </c>
      <c r="I2912" s="18" t="n">
        <v>-25180</v>
      </c>
      <c r="J2912" s="19" t="n">
        <v>-28559.78549999999</v>
      </c>
      <c r="K2912" s="35" t="n">
        <v>0.065</v>
      </c>
    </row>
    <row r="2913">
      <c r="A2913" s="36" t="inlineStr">
        <is>
          <t>AGA SPK-tilskudd</t>
        </is>
      </c>
      <c r="B2913" s="36" t="inlineStr">
        <is>
          <t>Region Øst</t>
        </is>
      </c>
      <c r="C2913" s="36" t="inlineStr">
        <is>
          <t>Innlandet Barnevernsenter avdeling Sandvig</t>
        </is>
      </c>
      <c r="D2913" s="26" t="n"/>
      <c r="E2913" s="26" t="n">
        <v>-162680</v>
      </c>
      <c r="F2913" s="26" t="n">
        <v>-206856</v>
      </c>
      <c r="G2913" s="26" t="n"/>
      <c r="H2913" s="26" t="n">
        <v>-308037</v>
      </c>
      <c r="I2913" s="26" t="n">
        <v>-282438</v>
      </c>
      <c r="J2913" s="19" t="n">
        <v>-320348.2405499999</v>
      </c>
      <c r="K2913" s="37" t="n">
        <v>0.065</v>
      </c>
    </row>
    <row r="2914">
      <c r="A2914" s="34" t="inlineStr">
        <is>
          <t>AGA SPK-tilskudd</t>
        </is>
      </c>
      <c r="B2914" s="34" t="inlineStr">
        <is>
          <t>Region Øst</t>
        </is>
      </c>
      <c r="C2914" s="34" t="inlineStr">
        <is>
          <t>Innlandet Barnevernsenter avdeling Sandvig</t>
        </is>
      </c>
      <c r="D2914" s="18" t="n">
        <v>-17033</v>
      </c>
      <c r="E2914" s="18" t="n">
        <v>-88843</v>
      </c>
      <c r="F2914" s="18" t="n">
        <v>-330964</v>
      </c>
      <c r="G2914" s="18" t="n">
        <v>-743032</v>
      </c>
      <c r="H2914" s="18" t="n">
        <v>-257763</v>
      </c>
      <c r="I2914" s="18" t="n">
        <v>-818112</v>
      </c>
      <c r="J2914" s="19" t="n">
        <v>-927923.0831999999</v>
      </c>
      <c r="K2914" s="35" t="n">
        <v>0.065</v>
      </c>
    </row>
    <row r="2915">
      <c r="A2915" s="36" t="inlineStr">
        <is>
          <t>AGA SPK-tilskudd</t>
        </is>
      </c>
      <c r="B2915" s="36" t="inlineStr">
        <is>
          <t>Region Øst</t>
        </is>
      </c>
      <c r="C2915" s="36" t="inlineStr">
        <is>
          <t>Innlandet barnevernsenter avdeling Aukrust</t>
        </is>
      </c>
      <c r="D2915" s="26" t="n">
        <v>139745</v>
      </c>
      <c r="E2915" s="26" t="n">
        <v>113152</v>
      </c>
      <c r="F2915" s="26" t="n">
        <v>85648</v>
      </c>
      <c r="G2915" s="26" t="n">
        <v>110239</v>
      </c>
      <c r="H2915" s="26" t="n">
        <v>120042</v>
      </c>
      <c r="I2915" s="26" t="n">
        <v>125377</v>
      </c>
      <c r="J2915" s="19" t="n">
        <v>120052.3075827741</v>
      </c>
      <c r="K2915" s="37" t="n">
        <v>-0.02146510101691701</v>
      </c>
    </row>
    <row r="2916">
      <c r="A2916" s="34" t="inlineStr">
        <is>
          <t>AGA SPK-tilskudd</t>
        </is>
      </c>
      <c r="B2916" s="34" t="inlineStr">
        <is>
          <t>Region Øst</t>
        </is>
      </c>
      <c r="C2916" s="34" t="inlineStr">
        <is>
          <t>Innlandet barnevernsenter avdeling Aukrust</t>
        </is>
      </c>
      <c r="D2916" s="18" t="n">
        <v>140193</v>
      </c>
      <c r="E2916" s="18" t="n">
        <v>64068</v>
      </c>
      <c r="F2916" s="18" t="n">
        <v>133431</v>
      </c>
      <c r="G2916" s="18" t="n">
        <v>62018</v>
      </c>
      <c r="H2916" s="18" t="n">
        <v>217928</v>
      </c>
      <c r="I2916" s="18" t="n">
        <v>298348</v>
      </c>
      <c r="J2916" s="19" t="n">
        <v>403572.7660803096</v>
      </c>
      <c r="K2916" s="35" t="n">
        <v>0.1630526102034602</v>
      </c>
    </row>
    <row r="2917">
      <c r="A2917" s="36" t="inlineStr">
        <is>
          <t>AGA SPK-tilskudd</t>
        </is>
      </c>
      <c r="B2917" s="36" t="inlineStr">
        <is>
          <t>Region Øst</t>
        </is>
      </c>
      <c r="C2917" s="36" t="inlineStr">
        <is>
          <t>Innlandet barnevernsenter avdeling Aukrust</t>
        </is>
      </c>
      <c r="D2917" s="26" t="n">
        <v>12770</v>
      </c>
      <c r="E2917" s="26" t="n">
        <v>8880</v>
      </c>
      <c r="F2917" s="26" t="n">
        <v>83939</v>
      </c>
      <c r="G2917" s="26" t="n">
        <v>57592</v>
      </c>
      <c r="H2917" s="26" t="n">
        <v>54325</v>
      </c>
      <c r="I2917" s="26" t="n">
        <v>22364</v>
      </c>
      <c r="J2917" s="19" t="n">
        <v>27982.91273459591</v>
      </c>
      <c r="K2917" s="37" t="n">
        <v>0.1185920212992255</v>
      </c>
    </row>
    <row r="2918">
      <c r="A2918" s="34" t="inlineStr">
        <is>
          <t>AGA SPK-tilskudd</t>
        </is>
      </c>
      <c r="B2918" s="34" t="inlineStr">
        <is>
          <t>Region Øst</t>
        </is>
      </c>
      <c r="C2918" s="34" t="inlineStr">
        <is>
          <t>Innlandet barnevernsenter avdeling Aukrust</t>
        </is>
      </c>
      <c r="D2918" s="18" t="n">
        <v>20200</v>
      </c>
      <c r="E2918" s="18" t="n">
        <v>30568</v>
      </c>
      <c r="F2918" s="18" t="n">
        <v>38753</v>
      </c>
      <c r="G2918" s="18" t="n">
        <v>56227</v>
      </c>
      <c r="H2918" s="18" t="n">
        <v>56616</v>
      </c>
      <c r="I2918" s="18" t="n">
        <v>54496</v>
      </c>
      <c r="J2918" s="19" t="n">
        <v>81053.15585080968</v>
      </c>
      <c r="K2918" s="35" t="n">
        <v>0.2195585390400534</v>
      </c>
    </row>
    <row r="2919">
      <c r="A2919" s="36" t="inlineStr">
        <is>
          <t>AGA SPK-tilskudd</t>
        </is>
      </c>
      <c r="B2919" s="36" t="inlineStr">
        <is>
          <t>Region Øst</t>
        </is>
      </c>
      <c r="C2919" s="36" t="inlineStr">
        <is>
          <t>Innlandet barnevernsenter avdeling Aukrust</t>
        </is>
      </c>
      <c r="D2919" s="26" t="n">
        <v>10853</v>
      </c>
      <c r="E2919" s="26" t="n">
        <v>950</v>
      </c>
      <c r="F2919" s="26" t="n"/>
      <c r="G2919" s="26" t="n"/>
      <c r="H2919" s="26" t="n"/>
      <c r="I2919" s="26" t="n">
        <v>13395</v>
      </c>
      <c r="J2919" s="19" t="n">
        <v>14571.3531525424</v>
      </c>
      <c r="K2919" s="37" t="n">
        <v>0.04298624989611932</v>
      </c>
    </row>
    <row r="2920">
      <c r="A2920" s="34" t="inlineStr">
        <is>
          <t>AGA SPK-tilskudd</t>
        </is>
      </c>
      <c r="B2920" s="34" t="inlineStr">
        <is>
          <t>Region Øst</t>
        </is>
      </c>
      <c r="C2920" s="34" t="inlineStr">
        <is>
          <t>Innlandet barnevernsenter avdeling Aukrust</t>
        </is>
      </c>
      <c r="D2920" s="18" t="n">
        <v>952</v>
      </c>
      <c r="E2920" s="18" t="n"/>
      <c r="F2920" s="18" t="n">
        <v>421</v>
      </c>
      <c r="G2920" s="18" t="n">
        <v>6360</v>
      </c>
      <c r="H2920" s="18" t="n">
        <v>3099</v>
      </c>
      <c r="I2920" s="18" t="n"/>
      <c r="J2920" s="19" t="n">
        <v>0</v>
      </c>
      <c r="K2920" s="35" t="n">
        <v>0.065</v>
      </c>
    </row>
    <row r="2921">
      <c r="A2921" s="36" t="inlineStr">
        <is>
          <t>AGA SPK-tilskudd</t>
        </is>
      </c>
      <c r="B2921" s="36" t="inlineStr">
        <is>
          <t>Region Øst</t>
        </is>
      </c>
      <c r="C2921" s="36" t="inlineStr">
        <is>
          <t>Innlandet barnevernsenter avdeling Aukrust</t>
        </is>
      </c>
      <c r="D2921" s="26" t="n">
        <v>1251</v>
      </c>
      <c r="E2921" s="26" t="n">
        <v>4935</v>
      </c>
      <c r="F2921" s="26" t="n">
        <v>14242</v>
      </c>
      <c r="G2921" s="26" t="n">
        <v>7261</v>
      </c>
      <c r="H2921" s="26" t="n">
        <v>6594</v>
      </c>
      <c r="I2921" s="26" t="n">
        <v>3554</v>
      </c>
      <c r="J2921" s="19" t="n">
        <v>5396.366890214204</v>
      </c>
      <c r="K2921" s="37" t="n">
        <v>0.2322306945473931</v>
      </c>
    </row>
    <row r="2922">
      <c r="A2922" s="34" t="inlineStr">
        <is>
          <t>AGA SPK-tilskudd</t>
        </is>
      </c>
      <c r="B2922" s="34" t="inlineStr">
        <is>
          <t>Region Øst</t>
        </is>
      </c>
      <c r="C2922" s="34" t="inlineStr">
        <is>
          <t>Innlandet barnevernsenter avdeling Aukrust</t>
        </is>
      </c>
      <c r="D2922" s="18" t="n"/>
      <c r="E2922" s="18" t="n">
        <v>5160</v>
      </c>
      <c r="F2922" s="18" t="n"/>
      <c r="G2922" s="18" t="n">
        <v>3833</v>
      </c>
      <c r="H2922" s="18" t="n">
        <v>10735</v>
      </c>
      <c r="I2922" s="18" t="n">
        <v>890</v>
      </c>
      <c r="J2922" s="19" t="n">
        <v>500.625</v>
      </c>
      <c r="K2922" s="35" t="n">
        <v>-0.25</v>
      </c>
    </row>
    <row r="2923">
      <c r="A2923" s="36" t="inlineStr">
        <is>
          <t>AGA SPK-tilskudd</t>
        </is>
      </c>
      <c r="B2923" s="36" t="inlineStr">
        <is>
          <t>Region Øst</t>
        </is>
      </c>
      <c r="C2923" s="36" t="inlineStr">
        <is>
          <t>Innlandet barnevernsenter avdeling Aukrust</t>
        </is>
      </c>
      <c r="D2923" s="26" t="n">
        <v>2950</v>
      </c>
      <c r="E2923" s="26" t="n">
        <v>1975</v>
      </c>
      <c r="F2923" s="26" t="n">
        <v>604</v>
      </c>
      <c r="G2923" s="26" t="n">
        <v>604</v>
      </c>
      <c r="H2923" s="26" t="n">
        <v>4594</v>
      </c>
      <c r="I2923" s="26" t="n">
        <v>382</v>
      </c>
      <c r="J2923" s="19" t="n">
        <v>214.875</v>
      </c>
      <c r="K2923" s="37" t="n">
        <v>-0.25</v>
      </c>
    </row>
    <row r="2924">
      <c r="A2924" s="34" t="inlineStr">
        <is>
          <t>AGA SPK-tilskudd</t>
        </is>
      </c>
      <c r="B2924" s="34" t="inlineStr">
        <is>
          <t>Region Øst</t>
        </is>
      </c>
      <c r="C2924" s="34" t="inlineStr">
        <is>
          <t>Innlandet barnevernsenter avdeling Aukrust</t>
        </is>
      </c>
      <c r="D2924" s="18" t="n">
        <v>572</v>
      </c>
      <c r="E2924" s="18" t="n">
        <v>1455</v>
      </c>
      <c r="F2924" s="18" t="n">
        <v>3644</v>
      </c>
      <c r="G2924" s="18" t="n">
        <v>3912</v>
      </c>
      <c r="H2924" s="18" t="n">
        <v>2847</v>
      </c>
      <c r="I2924" s="18" t="n">
        <v>1041</v>
      </c>
      <c r="J2924" s="19" t="n">
        <v>1322.734282813852</v>
      </c>
      <c r="K2924" s="35" t="n">
        <v>0.1272258513261808</v>
      </c>
    </row>
    <row r="2925">
      <c r="A2925" s="36" t="inlineStr">
        <is>
          <t>AGA SPK-tilskudd</t>
        </is>
      </c>
      <c r="B2925" s="36" t="inlineStr">
        <is>
          <t>Region Øst</t>
        </is>
      </c>
      <c r="C2925" s="36" t="inlineStr">
        <is>
          <t>Innlandet barnevernsenter avdeling Aukrust</t>
        </is>
      </c>
      <c r="D2925" s="26" t="n">
        <v>16</v>
      </c>
      <c r="E2925" s="26" t="n">
        <v>-8980</v>
      </c>
      <c r="F2925" s="26" t="n">
        <v>-21900</v>
      </c>
      <c r="G2925" s="26" t="n">
        <v>-24725</v>
      </c>
      <c r="H2925" s="26" t="n">
        <v>-23847</v>
      </c>
      <c r="I2925" s="26" t="n">
        <v>-28300</v>
      </c>
      <c r="J2925" s="19" t="n">
        <v>-32098.56749999999</v>
      </c>
      <c r="K2925" s="37" t="n">
        <v>0.065</v>
      </c>
    </row>
    <row r="2926">
      <c r="A2926" s="34" t="inlineStr">
        <is>
          <t>AGA SPK-tilskudd</t>
        </is>
      </c>
      <c r="B2926" s="34" t="inlineStr">
        <is>
          <t>Region Øst</t>
        </is>
      </c>
      <c r="C2926" s="34" t="inlineStr">
        <is>
          <t>Innlandet barnevernsenter avdeling Aukrust</t>
        </is>
      </c>
      <c r="D2926" s="18" t="n">
        <v>-68924</v>
      </c>
      <c r="E2926" s="18" t="n"/>
      <c r="F2926" s="18" t="n">
        <v>-522091</v>
      </c>
      <c r="G2926" s="18" t="n">
        <v>-702148</v>
      </c>
      <c r="H2926" s="18" t="n">
        <v>-602334</v>
      </c>
      <c r="I2926" s="18" t="n">
        <v>-395005</v>
      </c>
      <c r="J2926" s="19" t="n">
        <v>-448024.5461249999</v>
      </c>
      <c r="K2926" s="35" t="n">
        <v>0.065</v>
      </c>
    </row>
    <row r="2927">
      <c r="A2927" s="36" t="inlineStr">
        <is>
          <t>AGA SPK-tilskudd</t>
        </is>
      </c>
      <c r="B2927" s="36" t="inlineStr">
        <is>
          <t>Region Øst</t>
        </is>
      </c>
      <c r="C2927" s="36" t="inlineStr">
        <is>
          <t>Innlandet barnevernsenter avdeling Aukrust</t>
        </is>
      </c>
      <c r="D2927" s="26" t="n">
        <v>-519066</v>
      </c>
      <c r="E2927" s="26" t="n">
        <v>-706353</v>
      </c>
      <c r="F2927" s="26" t="n">
        <v>-405575</v>
      </c>
      <c r="G2927" s="26" t="n">
        <v>-230616</v>
      </c>
      <c r="H2927" s="26" t="n">
        <v>-517597</v>
      </c>
      <c r="I2927" s="26" t="n">
        <v>-807526</v>
      </c>
      <c r="J2927" s="19" t="n">
        <v>-915916.1773499999</v>
      </c>
      <c r="K2927" s="37" t="n">
        <v>0.065</v>
      </c>
    </row>
    <row r="2928">
      <c r="A2928" s="34" t="inlineStr">
        <is>
          <t>AGA SPK-tilskudd</t>
        </is>
      </c>
      <c r="B2928" s="34" t="inlineStr">
        <is>
          <t>Region Øst</t>
        </is>
      </c>
      <c r="C2928" s="34" t="inlineStr">
        <is>
          <t>Innlandet barnevernsenter avdeling Kauffeldt</t>
        </is>
      </c>
      <c r="D2928" s="18" t="n"/>
      <c r="E2928" s="18" t="n"/>
      <c r="F2928" s="18" t="n"/>
      <c r="G2928" s="18" t="n">
        <v>25050</v>
      </c>
      <c r="H2928" s="18" t="n">
        <v>96882</v>
      </c>
      <c r="I2928" s="18" t="n">
        <v>126236</v>
      </c>
      <c r="J2928" s="19" t="n">
        <v>143180.0271</v>
      </c>
      <c r="K2928" s="35" t="n">
        <v>0.065</v>
      </c>
    </row>
    <row r="2929">
      <c r="A2929" s="36" t="inlineStr">
        <is>
          <t>AGA SPK-tilskudd</t>
        </is>
      </c>
      <c r="B2929" s="36" t="inlineStr">
        <is>
          <t>Region Øst</t>
        </is>
      </c>
      <c r="C2929" s="36" t="inlineStr">
        <is>
          <t>Innlandet barnevernsenter avdeling Kauffeldt</t>
        </is>
      </c>
      <c r="D2929" s="26" t="n"/>
      <c r="E2929" s="26" t="n"/>
      <c r="F2929" s="26" t="n"/>
      <c r="G2929" s="26" t="n">
        <v>33651</v>
      </c>
      <c r="H2929" s="26" t="n">
        <v>421466</v>
      </c>
      <c r="I2929" s="26" t="n">
        <v>422622</v>
      </c>
      <c r="J2929" s="19" t="n">
        <v>479348.4379499999</v>
      </c>
      <c r="K2929" s="37" t="n">
        <v>0.065</v>
      </c>
    </row>
    <row r="2930">
      <c r="A2930" s="34" t="inlineStr">
        <is>
          <t>AGA SPK-tilskudd</t>
        </is>
      </c>
      <c r="B2930" s="34" t="inlineStr">
        <is>
          <t>Region Øst</t>
        </is>
      </c>
      <c r="C2930" s="34" t="inlineStr">
        <is>
          <t>Innlandet barnevernsenter avdeling Kauffeldt</t>
        </is>
      </c>
      <c r="D2930" s="18" t="n"/>
      <c r="E2930" s="18" t="n"/>
      <c r="F2930" s="18" t="n"/>
      <c r="G2930" s="18" t="n">
        <v>2628</v>
      </c>
      <c r="H2930" s="18" t="n">
        <v>20293</v>
      </c>
      <c r="I2930" s="18" t="n">
        <v>50964</v>
      </c>
      <c r="J2930" s="19" t="n">
        <v>57804.64289999999</v>
      </c>
      <c r="K2930" s="35" t="n">
        <v>0.065</v>
      </c>
    </row>
    <row r="2931">
      <c r="A2931" s="36" t="inlineStr">
        <is>
          <t>AGA SPK-tilskudd</t>
        </is>
      </c>
      <c r="B2931" s="36" t="inlineStr">
        <is>
          <t>Region Øst</t>
        </is>
      </c>
      <c r="C2931" s="36" t="inlineStr">
        <is>
          <t>Innlandet barnevernsenter avdeling Kauffeldt</t>
        </is>
      </c>
      <c r="D2931" s="26" t="n"/>
      <c r="E2931" s="26" t="n"/>
      <c r="F2931" s="26" t="n"/>
      <c r="G2931" s="26" t="n">
        <v>6903</v>
      </c>
      <c r="H2931" s="26" t="n">
        <v>23449</v>
      </c>
      <c r="I2931" s="26" t="n">
        <v>43395</v>
      </c>
      <c r="J2931" s="19" t="n">
        <v>49219.69387499999</v>
      </c>
      <c r="K2931" s="37" t="n">
        <v>0.065</v>
      </c>
    </row>
    <row r="2932">
      <c r="A2932" s="34" t="inlineStr">
        <is>
          <t>AGA SPK-tilskudd</t>
        </is>
      </c>
      <c r="B2932" s="34" t="inlineStr">
        <is>
          <t>Region Øst</t>
        </is>
      </c>
      <c r="C2932" s="34" t="inlineStr">
        <is>
          <t>Innlandet barnevernsenter avdeling Kauffeldt</t>
        </is>
      </c>
      <c r="D2932" s="18" t="n"/>
      <c r="E2932" s="18" t="n"/>
      <c r="F2932" s="18" t="n"/>
      <c r="G2932" s="18" t="n"/>
      <c r="H2932" s="18" t="n">
        <v>1351</v>
      </c>
      <c r="I2932" s="18" t="n">
        <v>2905</v>
      </c>
      <c r="J2932" s="19" t="n">
        <v>3294.923624999999</v>
      </c>
      <c r="K2932" s="35" t="n">
        <v>0.065</v>
      </c>
    </row>
    <row r="2933">
      <c r="A2933" s="36" t="inlineStr">
        <is>
          <t>AGA SPK-tilskudd</t>
        </is>
      </c>
      <c r="B2933" s="36" t="inlineStr">
        <is>
          <t>Region Øst</t>
        </is>
      </c>
      <c r="C2933" s="36" t="inlineStr">
        <is>
          <t>Innlandet barnevernsenter avdeling Kauffeldt</t>
        </is>
      </c>
      <c r="D2933" s="26" t="n"/>
      <c r="E2933" s="26" t="n"/>
      <c r="F2933" s="26" t="n"/>
      <c r="G2933" s="26" t="n">
        <v>1078</v>
      </c>
      <c r="H2933" s="26" t="n">
        <v>3549</v>
      </c>
      <c r="I2933" s="26" t="n">
        <v>7255</v>
      </c>
      <c r="J2933" s="19" t="n">
        <v>8228.802374999999</v>
      </c>
      <c r="K2933" s="37" t="n">
        <v>0.065</v>
      </c>
    </row>
    <row r="2934">
      <c r="A2934" s="34" t="inlineStr">
        <is>
          <t>AGA SPK-tilskudd</t>
        </is>
      </c>
      <c r="B2934" s="34" t="inlineStr">
        <is>
          <t>Region Øst</t>
        </is>
      </c>
      <c r="C2934" s="34" t="inlineStr">
        <is>
          <t>Innlandet barnevernsenter avdeling Kauffeldt</t>
        </is>
      </c>
      <c r="D2934" s="18" t="n"/>
      <c r="E2934" s="18" t="n"/>
      <c r="F2934" s="18" t="n"/>
      <c r="G2934" s="18" t="n"/>
      <c r="H2934" s="18" t="n">
        <v>3125</v>
      </c>
      <c r="I2934" s="18" t="n">
        <v>520</v>
      </c>
      <c r="J2934" s="19" t="n">
        <v>589.7969999999999</v>
      </c>
      <c r="K2934" s="35" t="n">
        <v>0.065</v>
      </c>
    </row>
    <row r="2935">
      <c r="A2935" s="36" t="inlineStr">
        <is>
          <t>AGA SPK-tilskudd</t>
        </is>
      </c>
      <c r="B2935" s="36" t="inlineStr">
        <is>
          <t>Region Øst</t>
        </is>
      </c>
      <c r="C2935" s="36" t="inlineStr">
        <is>
          <t>Innlandet barnevernsenter avdeling Kauffeldt</t>
        </is>
      </c>
      <c r="D2935" s="26" t="n"/>
      <c r="E2935" s="26" t="n"/>
      <c r="F2935" s="26" t="n"/>
      <c r="G2935" s="26" t="n"/>
      <c r="H2935" s="26" t="n">
        <v>1450</v>
      </c>
      <c r="I2935" s="26" t="n">
        <v>1691</v>
      </c>
      <c r="J2935" s="19" t="n">
        <v>1917.974475</v>
      </c>
      <c r="K2935" s="37" t="n">
        <v>0.065</v>
      </c>
    </row>
    <row r="2936">
      <c r="A2936" s="34" t="inlineStr">
        <is>
          <t>AGA SPK-tilskudd</t>
        </is>
      </c>
      <c r="B2936" s="34" t="inlineStr">
        <is>
          <t>Region Øst</t>
        </is>
      </c>
      <c r="C2936" s="34" t="inlineStr">
        <is>
          <t>Innlandet barnevernsenter avdeling Kauffeldt</t>
        </is>
      </c>
      <c r="D2936" s="18" t="n"/>
      <c r="E2936" s="18" t="n"/>
      <c r="F2936" s="18" t="n"/>
      <c r="G2936" s="18" t="n">
        <v>404</v>
      </c>
      <c r="H2936" s="18" t="n">
        <v>1433</v>
      </c>
      <c r="I2936" s="18" t="n">
        <v>3853</v>
      </c>
      <c r="J2936" s="19" t="n">
        <v>4370.168924999999</v>
      </c>
      <c r="K2936" s="35" t="n">
        <v>0.065</v>
      </c>
    </row>
    <row r="2937">
      <c r="A2937" s="36" t="inlineStr">
        <is>
          <t>AGA SPK-tilskudd</t>
        </is>
      </c>
      <c r="B2937" s="36" t="inlineStr">
        <is>
          <t>Region Øst</t>
        </is>
      </c>
      <c r="C2937" s="36" t="inlineStr">
        <is>
          <t>Innlandet barnevernsenter avdeling Kauffeldt</t>
        </is>
      </c>
      <c r="D2937" s="26" t="n"/>
      <c r="E2937" s="26" t="n"/>
      <c r="F2937" s="26" t="n"/>
      <c r="G2937" s="26" t="n">
        <v>-4000</v>
      </c>
      <c r="H2937" s="26" t="n">
        <v>-12675</v>
      </c>
      <c r="I2937" s="26" t="n">
        <v>-19970</v>
      </c>
      <c r="J2937" s="19" t="n">
        <v>-22650.47325</v>
      </c>
      <c r="K2937" s="37" t="n">
        <v>0.065</v>
      </c>
    </row>
    <row r="2938">
      <c r="A2938" s="34" t="inlineStr">
        <is>
          <t>AGA SPK-tilskudd</t>
        </is>
      </c>
      <c r="B2938" s="34" t="inlineStr">
        <is>
          <t>Region Øst</t>
        </is>
      </c>
      <c r="C2938" s="34" t="inlineStr">
        <is>
          <t>Innlandet barnevernsenter avdeling Kauffeldt</t>
        </is>
      </c>
      <c r="D2938" s="18" t="n"/>
      <c r="E2938" s="18" t="n"/>
      <c r="F2938" s="18" t="n"/>
      <c r="G2938" s="18" t="n"/>
      <c r="H2938" s="18" t="n">
        <v>-58113</v>
      </c>
      <c r="I2938" s="18" t="n">
        <v>-944870</v>
      </c>
      <c r="J2938" s="19" t="n">
        <v>-1071695.17575</v>
      </c>
      <c r="K2938" s="35" t="n">
        <v>0.065</v>
      </c>
    </row>
    <row r="2939">
      <c r="A2939" s="36" t="inlineStr">
        <is>
          <t>AGA SPK-tilskudd</t>
        </is>
      </c>
      <c r="B2939" s="36" t="inlineStr">
        <is>
          <t>Region Øst</t>
        </is>
      </c>
      <c r="C2939" s="36" t="inlineStr">
        <is>
          <t>Innlandet barnevernsenter avdeling Prøysen</t>
        </is>
      </c>
      <c r="D2939" s="26" t="n">
        <v>126482</v>
      </c>
      <c r="E2939" s="26" t="n">
        <v>126314</v>
      </c>
      <c r="F2939" s="26" t="n">
        <v>95955</v>
      </c>
      <c r="G2939" s="26" t="n">
        <v>119046</v>
      </c>
      <c r="H2939" s="26" t="n">
        <v>132534</v>
      </c>
      <c r="I2939" s="26" t="n">
        <v>148851</v>
      </c>
      <c r="J2939" s="19" t="n">
        <v>158869.6612741943</v>
      </c>
      <c r="K2939" s="37" t="n">
        <v>0.03310534025081613</v>
      </c>
    </row>
    <row r="2940">
      <c r="A2940" s="34" t="inlineStr">
        <is>
          <t>AGA SPK-tilskudd</t>
        </is>
      </c>
      <c r="B2940" s="34" t="inlineStr">
        <is>
          <t>Region Øst</t>
        </is>
      </c>
      <c r="C2940" s="34" t="inlineStr">
        <is>
          <t>Innlandet barnevernsenter avdeling Prøysen</t>
        </is>
      </c>
      <c r="D2940" s="18" t="n">
        <v>71480</v>
      </c>
      <c r="E2940" s="18" t="n">
        <v>292167</v>
      </c>
      <c r="F2940" s="18" t="n">
        <v>71938</v>
      </c>
      <c r="G2940" s="18" t="n">
        <v>164766</v>
      </c>
      <c r="H2940" s="18" t="n">
        <v>251507</v>
      </c>
      <c r="I2940" s="18" t="n">
        <v>362126</v>
      </c>
      <c r="J2940" s="19" t="n">
        <v>565821.875</v>
      </c>
      <c r="K2940" s="35" t="n">
        <v>0.25</v>
      </c>
    </row>
    <row r="2941">
      <c r="A2941" s="36" t="inlineStr">
        <is>
          <t>AGA SPK-tilskudd</t>
        </is>
      </c>
      <c r="B2941" s="36" t="inlineStr">
        <is>
          <t>Region Øst</t>
        </is>
      </c>
      <c r="C2941" s="36" t="inlineStr">
        <is>
          <t>Innlandet barnevernsenter avdeling Prøysen</t>
        </is>
      </c>
      <c r="D2941" s="26" t="n">
        <v>19609</v>
      </c>
      <c r="E2941" s="26" t="n">
        <v>18775</v>
      </c>
      <c r="F2941" s="26" t="n">
        <v>84419</v>
      </c>
      <c r="G2941" s="26" t="n">
        <v>96263</v>
      </c>
      <c r="H2941" s="26" t="n">
        <v>73251</v>
      </c>
      <c r="I2941" s="26" t="n">
        <v>32747</v>
      </c>
      <c r="J2941" s="19" t="n">
        <v>40202.95253040255</v>
      </c>
      <c r="K2941" s="37" t="n">
        <v>0.1080088127765673</v>
      </c>
    </row>
    <row r="2942">
      <c r="A2942" s="34" t="inlineStr">
        <is>
          <t>AGA SPK-tilskudd</t>
        </is>
      </c>
      <c r="B2942" s="34" t="inlineStr">
        <is>
          <t>Region Øst</t>
        </is>
      </c>
      <c r="C2942" s="34" t="inlineStr">
        <is>
          <t>Innlandet barnevernsenter avdeling Prøysen</t>
        </is>
      </c>
      <c r="D2942" s="18" t="n">
        <v>35700</v>
      </c>
      <c r="E2942" s="18" t="n">
        <v>53984</v>
      </c>
      <c r="F2942" s="18" t="n">
        <v>70655</v>
      </c>
      <c r="G2942" s="18" t="n">
        <v>77924</v>
      </c>
      <c r="H2942" s="18" t="n">
        <v>65617</v>
      </c>
      <c r="I2942" s="18" t="n">
        <v>67760</v>
      </c>
      <c r="J2942" s="19" t="n">
        <v>87557.92680621971</v>
      </c>
      <c r="K2942" s="35" t="n">
        <v>0.1367397222221201</v>
      </c>
    </row>
    <row r="2943">
      <c r="A2943" s="36" t="inlineStr">
        <is>
          <t>AGA SPK-tilskudd</t>
        </is>
      </c>
      <c r="B2943" s="36" t="inlineStr">
        <is>
          <t>Region Øst</t>
        </is>
      </c>
      <c r="C2943" s="36" t="inlineStr">
        <is>
          <t>Innlandet barnevernsenter avdeling Prøysen</t>
        </is>
      </c>
      <c r="D2943" s="26" t="n"/>
      <c r="E2943" s="26" t="n"/>
      <c r="F2943" s="26" t="n"/>
      <c r="G2943" s="26" t="n">
        <v>4865</v>
      </c>
      <c r="H2943" s="26" t="n">
        <v>24840</v>
      </c>
      <c r="I2943" s="26" t="n">
        <v>20610</v>
      </c>
      <c r="J2943" s="19" t="n">
        <v>23376.37725</v>
      </c>
      <c r="K2943" s="37" t="n">
        <v>0.065</v>
      </c>
    </row>
    <row r="2944">
      <c r="A2944" s="34" t="inlineStr">
        <is>
          <t>AGA SPK-tilskudd</t>
        </is>
      </c>
      <c r="B2944" s="34" t="inlineStr">
        <is>
          <t>Region Øst</t>
        </is>
      </c>
      <c r="C2944" s="34" t="inlineStr">
        <is>
          <t>Innlandet barnevernsenter avdeling Prøysen</t>
        </is>
      </c>
      <c r="D2944" s="18" t="n">
        <v>812</v>
      </c>
      <c r="E2944" s="18" t="n">
        <v>1375</v>
      </c>
      <c r="F2944" s="18" t="n">
        <v>9475</v>
      </c>
      <c r="G2944" s="18" t="n">
        <v>3280</v>
      </c>
      <c r="H2944" s="18" t="n">
        <v>7592</v>
      </c>
      <c r="I2944" s="18" t="n">
        <v>5145</v>
      </c>
      <c r="J2944" s="19" t="n">
        <v>8039.0625</v>
      </c>
      <c r="K2944" s="35" t="n">
        <v>0.25</v>
      </c>
    </row>
    <row r="2945">
      <c r="A2945" s="36" t="inlineStr">
        <is>
          <t>AGA SPK-tilskudd</t>
        </is>
      </c>
      <c r="B2945" s="36" t="inlineStr">
        <is>
          <t>Region Øst</t>
        </is>
      </c>
      <c r="C2945" s="36" t="inlineStr">
        <is>
          <t>Innlandet barnevernsenter avdeling Prøysen</t>
        </is>
      </c>
      <c r="D2945" s="26" t="n">
        <v>1028</v>
      </c>
      <c r="E2945" s="26" t="n">
        <v>11769</v>
      </c>
      <c r="F2945" s="26" t="n">
        <v>10772</v>
      </c>
      <c r="G2945" s="26" t="n">
        <v>10183</v>
      </c>
      <c r="H2945" s="26" t="n">
        <v>12756</v>
      </c>
      <c r="I2945" s="26" t="n">
        <v>1448</v>
      </c>
      <c r="J2945" s="19" t="n">
        <v>1660.652412501569</v>
      </c>
      <c r="K2945" s="37" t="n">
        <v>0.07091521648488741</v>
      </c>
    </row>
    <row r="2946">
      <c r="A2946" s="34" t="inlineStr">
        <is>
          <t>AGA SPK-tilskudd</t>
        </is>
      </c>
      <c r="B2946" s="34" t="inlineStr">
        <is>
          <t>Region Øst</t>
        </is>
      </c>
      <c r="C2946" s="34" t="inlineStr">
        <is>
          <t>Innlandet barnevernsenter avdeling Prøysen</t>
        </is>
      </c>
      <c r="D2946" s="18" t="n">
        <v>399</v>
      </c>
      <c r="E2946" s="18" t="n"/>
      <c r="F2946" s="18" t="n">
        <v>3679</v>
      </c>
      <c r="G2946" s="18" t="n">
        <v>4973</v>
      </c>
      <c r="H2946" s="18" t="n">
        <v>6489</v>
      </c>
      <c r="I2946" s="18" t="n">
        <v>200</v>
      </c>
      <c r="J2946" s="19" t="n">
        <v>151.7234940897206</v>
      </c>
      <c r="K2946" s="35" t="n">
        <v>-0.1290135073098992</v>
      </c>
    </row>
    <row r="2947">
      <c r="A2947" s="36" t="inlineStr">
        <is>
          <t>AGA SPK-tilskudd</t>
        </is>
      </c>
      <c r="B2947" s="36" t="inlineStr">
        <is>
          <t>Region Øst</t>
        </is>
      </c>
      <c r="C2947" s="36" t="inlineStr">
        <is>
          <t>Innlandet barnevernsenter avdeling Prøysen</t>
        </is>
      </c>
      <c r="D2947" s="26" t="n">
        <v>2389</v>
      </c>
      <c r="E2947" s="26" t="n"/>
      <c r="F2947" s="26" t="n">
        <v>2085</v>
      </c>
      <c r="G2947" s="26" t="n">
        <v>1342</v>
      </c>
      <c r="H2947" s="26" t="n">
        <v>1810</v>
      </c>
      <c r="I2947" s="26" t="n">
        <v>2984</v>
      </c>
      <c r="J2947" s="19" t="n">
        <v>3261.608921850718</v>
      </c>
      <c r="K2947" s="37" t="n">
        <v>0.04548193696159819</v>
      </c>
    </row>
    <row r="2948">
      <c r="A2948" s="34" t="inlineStr">
        <is>
          <t>AGA SPK-tilskudd</t>
        </is>
      </c>
      <c r="B2948" s="34" t="inlineStr">
        <is>
          <t>Region Øst</t>
        </is>
      </c>
      <c r="C2948" s="34" t="inlineStr">
        <is>
          <t>Innlandet barnevernsenter avdeling Prøysen</t>
        </is>
      </c>
      <c r="D2948" s="18" t="n">
        <v>547</v>
      </c>
      <c r="E2948" s="18" t="n">
        <v>3625</v>
      </c>
      <c r="F2948" s="18" t="n">
        <v>3310</v>
      </c>
      <c r="G2948" s="18" t="n">
        <v>3787</v>
      </c>
      <c r="H2948" s="18" t="n">
        <v>6045</v>
      </c>
      <c r="I2948" s="18" t="n">
        <v>2229</v>
      </c>
      <c r="J2948" s="19" t="n">
        <v>3482.8125</v>
      </c>
      <c r="K2948" s="35" t="n">
        <v>0.25</v>
      </c>
    </row>
    <row r="2949">
      <c r="A2949" s="36" t="inlineStr">
        <is>
          <t>AGA SPK-tilskudd</t>
        </is>
      </c>
      <c r="B2949" s="36" t="inlineStr">
        <is>
          <t>Region Øst</t>
        </is>
      </c>
      <c r="C2949" s="36" t="inlineStr">
        <is>
          <t>Innlandet barnevernsenter avdeling Prøysen</t>
        </is>
      </c>
      <c r="D2949" s="26" t="n"/>
      <c r="E2949" s="26" t="n"/>
      <c r="F2949" s="26" t="n"/>
      <c r="G2949" s="26" t="n"/>
      <c r="H2949" s="26" t="n">
        <v>3995</v>
      </c>
      <c r="I2949" s="26" t="n"/>
      <c r="J2949" s="19" t="n">
        <v>0</v>
      </c>
      <c r="K2949" s="37" t="n">
        <v>0.065</v>
      </c>
    </row>
    <row r="2950">
      <c r="A2950" s="34" t="inlineStr">
        <is>
          <t>AGA SPK-tilskudd</t>
        </is>
      </c>
      <c r="B2950" s="34" t="inlineStr">
        <is>
          <t>Region Øst</t>
        </is>
      </c>
      <c r="C2950" s="34" t="inlineStr">
        <is>
          <t>Innlandet barnevernsenter avdeling Prøysen</t>
        </is>
      </c>
      <c r="D2950" s="18" t="n">
        <v>-900</v>
      </c>
      <c r="E2950" s="18" t="n">
        <v>-6800</v>
      </c>
      <c r="F2950" s="18" t="n">
        <v>-20606</v>
      </c>
      <c r="G2950" s="18" t="n">
        <v>-28500</v>
      </c>
      <c r="H2950" s="18" t="n">
        <v>-24407</v>
      </c>
      <c r="I2950" s="18" t="n">
        <v>-33450</v>
      </c>
      <c r="J2950" s="19" t="n">
        <v>-37939.82624999999</v>
      </c>
      <c r="K2950" s="35" t="n">
        <v>0.065</v>
      </c>
    </row>
    <row r="2951">
      <c r="A2951" s="36" t="inlineStr">
        <is>
          <t>AGA SPK-tilskudd</t>
        </is>
      </c>
      <c r="B2951" s="36" t="inlineStr">
        <is>
          <t>Region Øst</t>
        </is>
      </c>
      <c r="C2951" s="36" t="inlineStr">
        <is>
          <t>Innlandet barnevernsenter avdeling Prøysen</t>
        </is>
      </c>
      <c r="D2951" s="26" t="n">
        <v>-134775</v>
      </c>
      <c r="E2951" s="26" t="n">
        <v>-41096</v>
      </c>
      <c r="F2951" s="26" t="n">
        <v>-276988</v>
      </c>
      <c r="G2951" s="26" t="n">
        <v>-8000</v>
      </c>
      <c r="H2951" s="26" t="n">
        <v>-108870</v>
      </c>
      <c r="I2951" s="26" t="n">
        <v>-534592</v>
      </c>
      <c r="J2951" s="19" t="n">
        <v>-606347.6111999999</v>
      </c>
      <c r="K2951" s="37" t="n">
        <v>0.065</v>
      </c>
    </row>
    <row r="2952">
      <c r="A2952" s="34" t="inlineStr">
        <is>
          <t>AGA SPK-tilskudd</t>
        </is>
      </c>
      <c r="B2952" s="34" t="inlineStr">
        <is>
          <t>Region Øst</t>
        </is>
      </c>
      <c r="C2952" s="34" t="inlineStr">
        <is>
          <t>Innlandet barnevernsenter avdeling Prøysen</t>
        </is>
      </c>
      <c r="D2952" s="18" t="n">
        <v>-598663</v>
      </c>
      <c r="E2952" s="18" t="n">
        <v>-582425</v>
      </c>
      <c r="F2952" s="18" t="n">
        <v>-334294</v>
      </c>
      <c r="G2952" s="18" t="n">
        <v>-779048</v>
      </c>
      <c r="H2952" s="18" t="n">
        <v>-353599</v>
      </c>
      <c r="I2952" s="18" t="n">
        <v>-1468174</v>
      </c>
      <c r="J2952" s="19" t="n">
        <v>-1665239.65515</v>
      </c>
      <c r="K2952" s="35" t="n">
        <v>0.065</v>
      </c>
    </row>
    <row r="2953">
      <c r="A2953" s="36" t="inlineStr">
        <is>
          <t>AGA SPK-tilskudd</t>
        </is>
      </c>
      <c r="B2953" s="36" t="inlineStr">
        <is>
          <t>Region Øst</t>
        </is>
      </c>
      <c r="C2953" s="36" t="inlineStr">
        <is>
          <t>Innlandet barnevernsenter avdeling Vestly</t>
        </is>
      </c>
      <c r="D2953" s="26" t="n">
        <v>134864</v>
      </c>
      <c r="E2953" s="26" t="n">
        <v>117998</v>
      </c>
      <c r="F2953" s="26" t="n">
        <v>96304</v>
      </c>
      <c r="G2953" s="26" t="n">
        <v>128155</v>
      </c>
      <c r="H2953" s="26" t="n">
        <v>121567</v>
      </c>
      <c r="I2953" s="26" t="n">
        <v>117356</v>
      </c>
      <c r="J2953" s="19" t="n">
        <v>111006.6517092341</v>
      </c>
      <c r="K2953" s="37" t="n">
        <v>-0.02742779808672324</v>
      </c>
    </row>
    <row r="2954">
      <c r="A2954" s="34" t="inlineStr">
        <is>
          <t>AGA SPK-tilskudd</t>
        </is>
      </c>
      <c r="B2954" s="34" t="inlineStr">
        <is>
          <t>Region Øst</t>
        </is>
      </c>
      <c r="C2954" s="34" t="inlineStr">
        <is>
          <t>Innlandet barnevernsenter avdeling Vestly</t>
        </is>
      </c>
      <c r="D2954" s="18" t="n">
        <v>216220</v>
      </c>
      <c r="E2954" s="18" t="n">
        <v>119306</v>
      </c>
      <c r="F2954" s="18" t="n">
        <v>58004</v>
      </c>
      <c r="G2954" s="18" t="n">
        <v>72716</v>
      </c>
      <c r="H2954" s="18" t="n">
        <v>198500</v>
      </c>
      <c r="I2954" s="18" t="n">
        <v>208494</v>
      </c>
      <c r="J2954" s="19" t="n">
        <v>205481.4590446885</v>
      </c>
      <c r="K2954" s="35" t="n">
        <v>-0.00725081388875215</v>
      </c>
    </row>
    <row r="2955">
      <c r="A2955" s="36" t="inlineStr">
        <is>
          <t>AGA SPK-tilskudd</t>
        </is>
      </c>
      <c r="B2955" s="36" t="inlineStr">
        <is>
          <t>Region Øst</t>
        </is>
      </c>
      <c r="C2955" s="36" t="inlineStr">
        <is>
          <t>Innlandet barnevernsenter avdeling Vestly</t>
        </is>
      </c>
      <c r="D2955" s="26" t="n">
        <v>17213</v>
      </c>
      <c r="E2955" s="26" t="n">
        <v>15020</v>
      </c>
      <c r="F2955" s="26" t="n">
        <v>74125</v>
      </c>
      <c r="G2955" s="26" t="n">
        <v>51907</v>
      </c>
      <c r="H2955" s="26" t="n">
        <v>65054</v>
      </c>
      <c r="I2955" s="26" t="n">
        <v>29596</v>
      </c>
      <c r="J2955" s="19" t="n">
        <v>36760.6852673902</v>
      </c>
      <c r="K2955" s="37" t="n">
        <v>0.1144877262027952</v>
      </c>
    </row>
    <row r="2956">
      <c r="A2956" s="34" t="inlineStr">
        <is>
          <t>AGA SPK-tilskudd</t>
        </is>
      </c>
      <c r="B2956" s="34" t="inlineStr">
        <is>
          <t>Region Øst</t>
        </is>
      </c>
      <c r="C2956" s="34" t="inlineStr">
        <is>
          <t>Innlandet barnevernsenter avdeling Vestly</t>
        </is>
      </c>
      <c r="D2956" s="18" t="n">
        <v>47700</v>
      </c>
      <c r="E2956" s="18" t="n">
        <v>35894</v>
      </c>
      <c r="F2956" s="18" t="n">
        <v>32618</v>
      </c>
      <c r="G2956" s="18" t="n">
        <v>37701</v>
      </c>
      <c r="H2956" s="18" t="n">
        <v>52442</v>
      </c>
      <c r="I2956" s="18" t="n">
        <v>64732</v>
      </c>
      <c r="J2956" s="19" t="n">
        <v>73140.72889036172</v>
      </c>
      <c r="K2956" s="35" t="n">
        <v>0.06296785004296046</v>
      </c>
    </row>
    <row r="2957">
      <c r="A2957" s="36" t="inlineStr">
        <is>
          <t>AGA SPK-tilskudd</t>
        </is>
      </c>
      <c r="B2957" s="36" t="inlineStr">
        <is>
          <t>Region Øst</t>
        </is>
      </c>
      <c r="C2957" s="36" t="inlineStr">
        <is>
          <t>Innlandet barnevernsenter avdeling Vestly</t>
        </is>
      </c>
      <c r="D2957" s="26" t="n">
        <v>7311</v>
      </c>
      <c r="E2957" s="26" t="n">
        <v>10578</v>
      </c>
      <c r="F2957" s="26" t="n">
        <v>18108</v>
      </c>
      <c r="G2957" s="26" t="n">
        <v>503</v>
      </c>
      <c r="H2957" s="26" t="n"/>
      <c r="I2957" s="26" t="n">
        <v>4725</v>
      </c>
      <c r="J2957" s="19" t="n">
        <v>3968.001470449375</v>
      </c>
      <c r="K2957" s="37" t="n">
        <v>-0.08360015768520745</v>
      </c>
    </row>
    <row r="2958">
      <c r="A2958" s="34" t="inlineStr">
        <is>
          <t>AGA SPK-tilskudd</t>
        </is>
      </c>
      <c r="B2958" s="34" t="inlineStr">
        <is>
          <t>Region Øst</t>
        </is>
      </c>
      <c r="C2958" s="34" t="inlineStr">
        <is>
          <t>Innlandet barnevernsenter avdeling Vestly</t>
        </is>
      </c>
      <c r="D2958" s="18" t="n">
        <v>2250</v>
      </c>
      <c r="E2958" s="18" t="n">
        <v>873</v>
      </c>
      <c r="F2958" s="18" t="n">
        <v>5215</v>
      </c>
      <c r="G2958" s="18" t="n">
        <v>2670</v>
      </c>
      <c r="H2958" s="18" t="n">
        <v>1363</v>
      </c>
      <c r="I2958" s="18" t="n">
        <v>1125</v>
      </c>
      <c r="J2958" s="19" t="n">
        <v>852.5905686620989</v>
      </c>
      <c r="K2958" s="35" t="n">
        <v>-0.1294494367038759</v>
      </c>
    </row>
    <row r="2959">
      <c r="A2959" s="36" t="inlineStr">
        <is>
          <t>AGA SPK-tilskudd</t>
        </is>
      </c>
      <c r="B2959" s="36" t="inlineStr">
        <is>
          <t>Region Øst</t>
        </is>
      </c>
      <c r="C2959" s="36" t="inlineStr">
        <is>
          <t>Innlandet barnevernsenter avdeling Vestly</t>
        </is>
      </c>
      <c r="D2959" s="26" t="n">
        <v>4616</v>
      </c>
      <c r="E2959" s="26" t="n">
        <v>7176</v>
      </c>
      <c r="F2959" s="26" t="n">
        <v>14948</v>
      </c>
      <c r="G2959" s="26" t="n">
        <v>7473</v>
      </c>
      <c r="H2959" s="26" t="n">
        <v>9021</v>
      </c>
      <c r="I2959" s="26" t="n">
        <v>6257</v>
      </c>
      <c r="J2959" s="19" t="n">
        <v>7066.531462349248</v>
      </c>
      <c r="K2959" s="37" t="n">
        <v>0.06272297812377214</v>
      </c>
    </row>
    <row r="2960">
      <c r="A2960" s="34" t="inlineStr">
        <is>
          <t>AGA SPK-tilskudd</t>
        </is>
      </c>
      <c r="B2960" s="34" t="inlineStr">
        <is>
          <t>Region Øst</t>
        </is>
      </c>
      <c r="C2960" s="34" t="inlineStr">
        <is>
          <t>Innlandet barnevernsenter avdeling Vestly</t>
        </is>
      </c>
      <c r="D2960" s="18" t="n">
        <v>160</v>
      </c>
      <c r="E2960" s="18" t="n"/>
      <c r="F2960" s="18" t="n"/>
      <c r="G2960" s="18" t="n">
        <v>3027</v>
      </c>
      <c r="H2960" s="18" t="n">
        <v>3125</v>
      </c>
      <c r="I2960" s="18" t="n">
        <v>597</v>
      </c>
      <c r="J2960" s="19" t="n">
        <v>932.8125</v>
      </c>
      <c r="K2960" s="35" t="n">
        <v>0.25</v>
      </c>
    </row>
    <row r="2961">
      <c r="A2961" s="36" t="inlineStr">
        <is>
          <t>AGA SPK-tilskudd</t>
        </is>
      </c>
      <c r="B2961" s="36" t="inlineStr">
        <is>
          <t>Region Øst</t>
        </is>
      </c>
      <c r="C2961" s="36" t="inlineStr">
        <is>
          <t>Innlandet barnevernsenter avdeling Vestly</t>
        </is>
      </c>
      <c r="D2961" s="26" t="n">
        <v>1464</v>
      </c>
      <c r="E2961" s="26" t="n"/>
      <c r="F2961" s="26" t="n"/>
      <c r="G2961" s="26" t="n">
        <v>2255</v>
      </c>
      <c r="H2961" s="26" t="n">
        <v>2220</v>
      </c>
      <c r="I2961" s="26" t="n">
        <v>703</v>
      </c>
      <c r="J2961" s="19" t="n">
        <v>524.2289784915752</v>
      </c>
      <c r="K2961" s="37" t="n">
        <v>-0.1364592238304529</v>
      </c>
    </row>
    <row r="2962">
      <c r="A2962" s="34" t="inlineStr">
        <is>
          <t>AGA SPK-tilskudd</t>
        </is>
      </c>
      <c r="B2962" s="34" t="inlineStr">
        <is>
          <t>Region Øst</t>
        </is>
      </c>
      <c r="C2962" s="34" t="inlineStr">
        <is>
          <t>Innlandet barnevernsenter avdeling Vestly</t>
        </is>
      </c>
      <c r="D2962" s="18" t="n">
        <v>1752</v>
      </c>
      <c r="E2962" s="18" t="n">
        <v>2598</v>
      </c>
      <c r="F2962" s="18" t="n">
        <v>4421</v>
      </c>
      <c r="G2962" s="18" t="n">
        <v>2711</v>
      </c>
      <c r="H2962" s="18" t="n">
        <v>4713</v>
      </c>
      <c r="I2962" s="18" t="n">
        <v>1872</v>
      </c>
      <c r="J2962" s="19" t="n">
        <v>1922.270678411358</v>
      </c>
      <c r="K2962" s="35" t="n">
        <v>0.01333804570728625</v>
      </c>
    </row>
    <row r="2963">
      <c r="A2963" s="36" t="inlineStr">
        <is>
          <t>AGA SPK-tilskudd</t>
        </is>
      </c>
      <c r="B2963" s="36" t="inlineStr">
        <is>
          <t>Region Øst</t>
        </is>
      </c>
      <c r="C2963" s="36" t="inlineStr">
        <is>
          <t>Innlandet barnevernsenter avdeling Vestly</t>
        </is>
      </c>
      <c r="D2963" s="26" t="n"/>
      <c r="E2963" s="26" t="n"/>
      <c r="F2963" s="26" t="n"/>
      <c r="G2963" s="26" t="n"/>
      <c r="H2963" s="26" t="n">
        <v>5490</v>
      </c>
      <c r="I2963" s="26" t="n"/>
      <c r="J2963" s="19" t="n">
        <v>0</v>
      </c>
      <c r="K2963" s="37" t="n">
        <v>0.065</v>
      </c>
    </row>
    <row r="2964">
      <c r="A2964" s="34" t="inlineStr">
        <is>
          <t>AGA SPK-tilskudd</t>
        </is>
      </c>
      <c r="B2964" s="34" t="inlineStr">
        <is>
          <t>Region Øst</t>
        </is>
      </c>
      <c r="C2964" s="34" t="inlineStr">
        <is>
          <t>Innlandet barnevernsenter avdeling Vestly</t>
        </is>
      </c>
      <c r="D2964" s="18" t="n">
        <v>-170</v>
      </c>
      <c r="E2964" s="18" t="n">
        <v>-3435</v>
      </c>
      <c r="F2964" s="18" t="n">
        <v>-17552</v>
      </c>
      <c r="G2964" s="18" t="n">
        <v>-8800</v>
      </c>
      <c r="H2964" s="18" t="n">
        <v>-26756</v>
      </c>
      <c r="I2964" s="18" t="n">
        <v>-24550</v>
      </c>
      <c r="J2964" s="19" t="n">
        <v>-27845.22374999999</v>
      </c>
      <c r="K2964" s="35" t="n">
        <v>0.065</v>
      </c>
    </row>
    <row r="2965">
      <c r="A2965" s="36" t="inlineStr">
        <is>
          <t>AGA SPK-tilskudd</t>
        </is>
      </c>
      <c r="B2965" s="36" t="inlineStr">
        <is>
          <t>Region Øst</t>
        </is>
      </c>
      <c r="C2965" s="36" t="inlineStr">
        <is>
          <t>Innlandet barnevernsenter avdeling Vestly</t>
        </is>
      </c>
      <c r="D2965" s="26" t="n"/>
      <c r="E2965" s="26" t="n"/>
      <c r="F2965" s="26" t="n"/>
      <c r="G2965" s="26" t="n">
        <v>-625272</v>
      </c>
      <c r="H2965" s="26" t="n">
        <v>-445605</v>
      </c>
      <c r="I2965" s="26" t="n">
        <v>-292030</v>
      </c>
      <c r="J2965" s="19" t="n">
        <v>-331227.72675</v>
      </c>
      <c r="K2965" s="37" t="n">
        <v>0.065</v>
      </c>
    </row>
    <row r="2966">
      <c r="A2966" s="34" t="inlineStr">
        <is>
          <t>AGA SPK-tilskudd</t>
        </is>
      </c>
      <c r="B2966" s="34" t="inlineStr">
        <is>
          <t>Region Øst</t>
        </is>
      </c>
      <c r="C2966" s="34" t="inlineStr">
        <is>
          <t>Innlandet barnevernsenter avdeling Vestly</t>
        </is>
      </c>
      <c r="D2966" s="18" t="n">
        <v>-545817</v>
      </c>
      <c r="E2966" s="18" t="n">
        <v>-946098</v>
      </c>
      <c r="F2966" s="18" t="n">
        <v>-952343</v>
      </c>
      <c r="G2966" s="18" t="n">
        <v>-945742</v>
      </c>
      <c r="H2966" s="18" t="n">
        <v>-363273</v>
      </c>
      <c r="I2966" s="18" t="n">
        <v>-861276</v>
      </c>
      <c r="J2966" s="19" t="n">
        <v>-976880.7710999999</v>
      </c>
      <c r="K2966" s="35" t="n">
        <v>0.065</v>
      </c>
    </row>
    <row r="2967">
      <c r="A2967" s="36" t="inlineStr">
        <is>
          <t>AGA SPK-tilskudd</t>
        </is>
      </c>
      <c r="B2967" s="36" t="inlineStr">
        <is>
          <t>Region Øst</t>
        </is>
      </c>
      <c r="C2967" s="36" t="inlineStr">
        <is>
          <t>Jong ungdoms- og familiesenter, Administrasjon</t>
        </is>
      </c>
      <c r="D2967" s="26" t="n">
        <v>18790</v>
      </c>
      <c r="E2967" s="26" t="n">
        <v>25076</v>
      </c>
      <c r="F2967" s="26" t="n">
        <v>19284</v>
      </c>
      <c r="G2967" s="26" t="n">
        <v>16323</v>
      </c>
      <c r="H2967" s="26" t="n">
        <v>15032</v>
      </c>
      <c r="I2967" s="26" t="n">
        <v>-231</v>
      </c>
      <c r="J2967" s="19" t="n">
        <v>-262.005975</v>
      </c>
      <c r="K2967" s="37" t="n">
        <v>0.065</v>
      </c>
    </row>
    <row r="2968">
      <c r="A2968" s="34" t="inlineStr">
        <is>
          <t>AGA SPK-tilskudd</t>
        </is>
      </c>
      <c r="B2968" s="34" t="inlineStr">
        <is>
          <t>Region Øst</t>
        </is>
      </c>
      <c r="C2968" s="34" t="inlineStr">
        <is>
          <t>Jong ungdoms- og familiesenter, Administrasjon</t>
        </is>
      </c>
      <c r="D2968" s="18" t="n">
        <v>2185</v>
      </c>
      <c r="E2968" s="18" t="n">
        <v>3507</v>
      </c>
      <c r="F2968" s="18" t="n">
        <v>2579</v>
      </c>
      <c r="G2968" s="18" t="n">
        <v>8140</v>
      </c>
      <c r="H2968" s="18" t="n">
        <v>8096</v>
      </c>
      <c r="I2968" s="18" t="n">
        <v>388</v>
      </c>
      <c r="J2968" s="19" t="n">
        <v>218.25</v>
      </c>
      <c r="K2968" s="35" t="n">
        <v>-0.25</v>
      </c>
    </row>
    <row r="2969">
      <c r="A2969" s="36" t="inlineStr">
        <is>
          <t>AGA SPK-tilskudd</t>
        </is>
      </c>
      <c r="B2969" s="36" t="inlineStr">
        <is>
          <t>Region Øst</t>
        </is>
      </c>
      <c r="C2969" s="36" t="inlineStr">
        <is>
          <t>Jong ungdoms- og familiesenter, Administrasjon</t>
        </is>
      </c>
      <c r="D2969" s="26" t="n">
        <v>1660</v>
      </c>
      <c r="E2969" s="26" t="n">
        <v>3589</v>
      </c>
      <c r="F2969" s="26" t="n">
        <v>3926</v>
      </c>
      <c r="G2969" s="26" t="n">
        <v>3637</v>
      </c>
      <c r="H2969" s="26" t="n">
        <v>3663</v>
      </c>
      <c r="I2969" s="26" t="n">
        <v>-86</v>
      </c>
      <c r="J2969" s="19" t="n">
        <v>-97.54334999999999</v>
      </c>
      <c r="K2969" s="37" t="n">
        <v>0.065</v>
      </c>
    </row>
    <row r="2970">
      <c r="A2970" s="34" t="inlineStr">
        <is>
          <t>AGA SPK-tilskudd</t>
        </is>
      </c>
      <c r="B2970" s="34" t="inlineStr">
        <is>
          <t>Region Øst</t>
        </is>
      </c>
      <c r="C2970" s="34" t="inlineStr">
        <is>
          <t>Jong ungdoms- og familiesenter, Administrasjon</t>
        </is>
      </c>
      <c r="D2970" s="18" t="n"/>
      <c r="E2970" s="18" t="n"/>
      <c r="F2970" s="18" t="n"/>
      <c r="G2970" s="18" t="n"/>
      <c r="H2970" s="18" t="n">
        <v>11920</v>
      </c>
      <c r="I2970" s="18" t="n"/>
      <c r="J2970" s="19" t="n">
        <v>0</v>
      </c>
      <c r="K2970" s="35" t="n">
        <v>0.065</v>
      </c>
    </row>
    <row r="2971">
      <c r="A2971" s="36" t="inlineStr">
        <is>
          <t>AGA SPK-tilskudd</t>
        </is>
      </c>
      <c r="B2971" s="36" t="inlineStr">
        <is>
          <t>Region Øst</t>
        </is>
      </c>
      <c r="C2971" s="36" t="inlineStr">
        <is>
          <t>Jong ungdoms- og familiesenter, Administrasjon</t>
        </is>
      </c>
      <c r="D2971" s="26" t="n">
        <v>820</v>
      </c>
      <c r="E2971" s="26" t="n">
        <v>6895</v>
      </c>
      <c r="F2971" s="26" t="n">
        <v>609</v>
      </c>
      <c r="G2971" s="26" t="n"/>
      <c r="H2971" s="26" t="n">
        <v>2413</v>
      </c>
      <c r="I2971" s="26" t="n"/>
      <c r="J2971" s="19" t="n">
        <v>0</v>
      </c>
      <c r="K2971" s="37" t="n">
        <v>0.065</v>
      </c>
    </row>
    <row r="2972">
      <c r="A2972" s="34" t="inlineStr">
        <is>
          <t>AGA SPK-tilskudd</t>
        </is>
      </c>
      <c r="B2972" s="34" t="inlineStr">
        <is>
          <t>Region Øst</t>
        </is>
      </c>
      <c r="C2972" s="34" t="inlineStr">
        <is>
          <t>Jong ungdoms- og familiesenter, Administrasjon</t>
        </is>
      </c>
      <c r="D2972" s="18" t="n"/>
      <c r="E2972" s="18" t="n"/>
      <c r="F2972" s="18" t="n"/>
      <c r="G2972" s="18" t="n">
        <v>317</v>
      </c>
      <c r="H2972" s="18" t="n">
        <v>1042</v>
      </c>
      <c r="I2972" s="18" t="n"/>
      <c r="J2972" s="19" t="n">
        <v>0</v>
      </c>
      <c r="K2972" s="35" t="n">
        <v>0.065</v>
      </c>
    </row>
    <row r="2973">
      <c r="A2973" s="36" t="inlineStr">
        <is>
          <t>AGA SPK-tilskudd</t>
        </is>
      </c>
      <c r="B2973" s="36" t="inlineStr">
        <is>
          <t>Region Øst</t>
        </is>
      </c>
      <c r="C2973" s="36" t="inlineStr">
        <is>
          <t>Jong ungdoms- og familiesenter, Administrasjon</t>
        </is>
      </c>
      <c r="D2973" s="26" t="n">
        <v>2534</v>
      </c>
      <c r="E2973" s="26" t="n">
        <v>984</v>
      </c>
      <c r="F2973" s="26" t="n">
        <v>1127</v>
      </c>
      <c r="G2973" s="26" t="n">
        <v>2632</v>
      </c>
      <c r="H2973" s="26" t="n">
        <v>1028</v>
      </c>
      <c r="I2973" s="26" t="n"/>
      <c r="J2973" s="19" t="n">
        <v>0</v>
      </c>
      <c r="K2973" s="37" t="n">
        <v>0.065</v>
      </c>
    </row>
    <row r="2974">
      <c r="A2974" s="34" t="inlineStr">
        <is>
          <t>AGA SPK-tilskudd</t>
        </is>
      </c>
      <c r="B2974" s="34" t="inlineStr">
        <is>
          <t>Region Øst</t>
        </is>
      </c>
      <c r="C2974" s="34" t="inlineStr">
        <is>
          <t>Jong ungdoms- og familiesenter, Administrasjon</t>
        </is>
      </c>
      <c r="D2974" s="18" t="n">
        <v>124</v>
      </c>
      <c r="E2974" s="18" t="n">
        <v>917</v>
      </c>
      <c r="F2974" s="18" t="n">
        <v>92</v>
      </c>
      <c r="G2974" s="18" t="n">
        <v>119</v>
      </c>
      <c r="H2974" s="18" t="n">
        <v>881</v>
      </c>
      <c r="I2974" s="18" t="n"/>
      <c r="J2974" s="19" t="n">
        <v>0</v>
      </c>
      <c r="K2974" s="35" t="n">
        <v>0.065</v>
      </c>
    </row>
    <row r="2975">
      <c r="A2975" s="36" t="inlineStr">
        <is>
          <t>AGA SPK-tilskudd</t>
        </is>
      </c>
      <c r="B2975" s="36" t="inlineStr">
        <is>
          <t>Region Øst</t>
        </is>
      </c>
      <c r="C2975" s="36" t="inlineStr">
        <is>
          <t>Jong ungdoms- og familiesenter, Administrasjon</t>
        </is>
      </c>
      <c r="D2975" s="26" t="n">
        <v>-30468</v>
      </c>
      <c r="E2975" s="26" t="n">
        <v>-22849</v>
      </c>
      <c r="F2975" s="26" t="n">
        <v>-8485</v>
      </c>
      <c r="G2975" s="26" t="n">
        <v>-9082</v>
      </c>
      <c r="H2975" s="26" t="n">
        <v>-14011</v>
      </c>
      <c r="I2975" s="26" t="n">
        <v>9740</v>
      </c>
      <c r="J2975" s="19" t="n">
        <v>11047.3515</v>
      </c>
      <c r="K2975" s="37" t="n">
        <v>0.065</v>
      </c>
    </row>
    <row r="2976">
      <c r="A2976" s="34" t="inlineStr">
        <is>
          <t>AGA SPK-tilskudd</t>
        </is>
      </c>
      <c r="B2976" s="34" t="inlineStr">
        <is>
          <t>Region Øst</t>
        </is>
      </c>
      <c r="C2976" s="34" t="inlineStr">
        <is>
          <t>Jong ungdoms- og familiesenter, adm</t>
        </is>
      </c>
      <c r="D2976" s="18" t="n"/>
      <c r="E2976" s="18" t="n"/>
      <c r="F2976" s="18" t="n"/>
      <c r="G2976" s="18" t="n"/>
      <c r="H2976" s="18" t="n"/>
      <c r="I2976" s="18" t="n">
        <v>17775</v>
      </c>
      <c r="J2976" s="19" t="n">
        <v>20160.849375</v>
      </c>
      <c r="K2976" s="35" t="n">
        <v>0.065</v>
      </c>
    </row>
    <row r="2977">
      <c r="A2977" s="36" t="inlineStr">
        <is>
          <t>AGA SPK-tilskudd</t>
        </is>
      </c>
      <c r="B2977" s="36" t="inlineStr">
        <is>
          <t>Region Øst</t>
        </is>
      </c>
      <c r="C2977" s="36" t="inlineStr">
        <is>
          <t>Jong ungdoms- og familiesenter, adm</t>
        </is>
      </c>
      <c r="D2977" s="26" t="n"/>
      <c r="E2977" s="26" t="n"/>
      <c r="F2977" s="26" t="n"/>
      <c r="G2977" s="26" t="n"/>
      <c r="H2977" s="26" t="n"/>
      <c r="I2977" s="26" t="n">
        <v>3083</v>
      </c>
      <c r="J2977" s="19" t="n">
        <v>3496.815674999999</v>
      </c>
      <c r="K2977" s="37" t="n">
        <v>0.065</v>
      </c>
    </row>
    <row r="2978">
      <c r="A2978" s="34" t="inlineStr">
        <is>
          <t>AGA SPK-tilskudd</t>
        </is>
      </c>
      <c r="B2978" s="34" t="inlineStr">
        <is>
          <t>Region Øst</t>
        </is>
      </c>
      <c r="C2978" s="34" t="inlineStr">
        <is>
          <t>Jong ungdoms- og familiesenter, adm</t>
        </is>
      </c>
      <c r="D2978" s="18" t="n"/>
      <c r="E2978" s="18" t="n"/>
      <c r="F2978" s="18" t="n"/>
      <c r="G2978" s="18" t="n"/>
      <c r="H2978" s="18" t="n"/>
      <c r="I2978" s="18" t="n">
        <v>4469</v>
      </c>
      <c r="J2978" s="19" t="n">
        <v>5068.851524999999</v>
      </c>
      <c r="K2978" s="35" t="n">
        <v>0.065</v>
      </c>
    </row>
    <row r="2979">
      <c r="A2979" s="36" t="inlineStr">
        <is>
          <t>AGA SPK-tilskudd</t>
        </is>
      </c>
      <c r="B2979" s="36" t="inlineStr">
        <is>
          <t>Region Øst</t>
        </is>
      </c>
      <c r="C2979" s="36" t="inlineStr">
        <is>
          <t>Jong ungdoms- og familiesenter, adm</t>
        </is>
      </c>
      <c r="D2979" s="26" t="n"/>
      <c r="E2979" s="26" t="n"/>
      <c r="F2979" s="26" t="n"/>
      <c r="G2979" s="26" t="n"/>
      <c r="H2979" s="26" t="n"/>
      <c r="I2979" s="26" t="n">
        <v>2170</v>
      </c>
      <c r="J2979" s="19" t="n">
        <v>2461.26825</v>
      </c>
      <c r="K2979" s="37" t="n">
        <v>0.065</v>
      </c>
    </row>
    <row r="2980">
      <c r="A2980" s="34" t="inlineStr">
        <is>
          <t>AGA SPK-tilskudd</t>
        </is>
      </c>
      <c r="B2980" s="34" t="inlineStr">
        <is>
          <t>Region Øst</t>
        </is>
      </c>
      <c r="C2980" s="34" t="inlineStr">
        <is>
          <t>Jong ungdoms- og familiesenter, adm</t>
        </is>
      </c>
      <c r="D2980" s="18" t="n"/>
      <c r="E2980" s="18" t="n"/>
      <c r="F2980" s="18" t="n"/>
      <c r="G2980" s="18" t="n"/>
      <c r="H2980" s="18" t="n"/>
      <c r="I2980" s="18" t="n">
        <v>1575</v>
      </c>
      <c r="J2980" s="19" t="n">
        <v>1786.404375</v>
      </c>
      <c r="K2980" s="35" t="n">
        <v>0.065</v>
      </c>
    </row>
    <row r="2981">
      <c r="A2981" s="36" t="inlineStr">
        <is>
          <t>AGA SPK-tilskudd</t>
        </is>
      </c>
      <c r="B2981" s="36" t="inlineStr">
        <is>
          <t>Region Øst</t>
        </is>
      </c>
      <c r="C2981" s="36" t="inlineStr">
        <is>
          <t>Jong ungdoms- og familiesenter, adm</t>
        </is>
      </c>
      <c r="D2981" s="26" t="n"/>
      <c r="E2981" s="26" t="n"/>
      <c r="F2981" s="26" t="n"/>
      <c r="G2981" s="26" t="n"/>
      <c r="H2981" s="26" t="n"/>
      <c r="I2981" s="26" t="n">
        <v>600</v>
      </c>
      <c r="J2981" s="19" t="n">
        <v>680.5349999999999</v>
      </c>
      <c r="K2981" s="37" t="n">
        <v>0.065</v>
      </c>
    </row>
    <row r="2982">
      <c r="A2982" s="34" t="inlineStr">
        <is>
          <t>AGA SPK-tilskudd</t>
        </is>
      </c>
      <c r="B2982" s="34" t="inlineStr">
        <is>
          <t>Region Øst</t>
        </is>
      </c>
      <c r="C2982" s="34" t="inlineStr">
        <is>
          <t>Jong ungdoms- og familiesenter, adm</t>
        </is>
      </c>
      <c r="D2982" s="18" t="n"/>
      <c r="E2982" s="18" t="n"/>
      <c r="F2982" s="18" t="n"/>
      <c r="G2982" s="18" t="n"/>
      <c r="H2982" s="18" t="n"/>
      <c r="I2982" s="18" t="n">
        <v>633</v>
      </c>
      <c r="J2982" s="19" t="n">
        <v>717.9644249999999</v>
      </c>
      <c r="K2982" s="35" t="n">
        <v>0.065</v>
      </c>
    </row>
    <row r="2983">
      <c r="A2983" s="36" t="inlineStr">
        <is>
          <t>AGA SPK-tilskudd</t>
        </is>
      </c>
      <c r="B2983" s="36" t="inlineStr">
        <is>
          <t>Region Øst</t>
        </is>
      </c>
      <c r="C2983" s="36" t="inlineStr">
        <is>
          <t>Jong ungdoms- og familiesenter, adm</t>
        </is>
      </c>
      <c r="D2983" s="26" t="n"/>
      <c r="E2983" s="26" t="n"/>
      <c r="F2983" s="26" t="n"/>
      <c r="G2983" s="26" t="n"/>
      <c r="H2983" s="26" t="n"/>
      <c r="I2983" s="26" t="n">
        <v>-16120</v>
      </c>
      <c r="J2983" s="19" t="n">
        <v>-18283.707</v>
      </c>
      <c r="K2983" s="37" t="n">
        <v>0.065</v>
      </c>
    </row>
    <row r="2984">
      <c r="A2984" s="34" t="inlineStr">
        <is>
          <t>AGA SPK-tilskudd</t>
        </is>
      </c>
      <c r="B2984" s="34" t="inlineStr">
        <is>
          <t>Region Øst</t>
        </is>
      </c>
      <c r="C2984" s="34" t="inlineStr">
        <is>
          <t>Jong ungdoms- og familiesenter, adm</t>
        </is>
      </c>
      <c r="D2984" s="18" t="n"/>
      <c r="E2984" s="18" t="n"/>
      <c r="F2984" s="18" t="n"/>
      <c r="G2984" s="18" t="n"/>
      <c r="H2984" s="18" t="n"/>
      <c r="I2984" s="18" t="n">
        <v>-85395</v>
      </c>
      <c r="J2984" s="19" t="n">
        <v>-96857.14387499998</v>
      </c>
      <c r="K2984" s="35" t="n">
        <v>0.065</v>
      </c>
    </row>
    <row r="2985">
      <c r="A2985" s="36" t="inlineStr">
        <is>
          <t>AGA SPK-tilskudd</t>
        </is>
      </c>
      <c r="B2985" s="36" t="inlineStr">
        <is>
          <t>Region Øst</t>
        </is>
      </c>
      <c r="C2985" s="36" t="inlineStr">
        <is>
          <t>Jong ungdoms- og familiesenter, avd Åsen</t>
        </is>
      </c>
      <c r="D2985" s="26" t="n"/>
      <c r="E2985" s="26" t="n"/>
      <c r="F2985" s="26" t="n"/>
      <c r="G2985" s="26" t="n"/>
      <c r="H2985" s="26" t="n"/>
      <c r="I2985" s="26" t="n">
        <v>138947</v>
      </c>
      <c r="J2985" s="19" t="n">
        <v>157597.161075</v>
      </c>
      <c r="K2985" s="37" t="n">
        <v>0.065</v>
      </c>
    </row>
    <row r="2986">
      <c r="A2986" s="34" t="inlineStr">
        <is>
          <t>AGA SPK-tilskudd</t>
        </is>
      </c>
      <c r="B2986" s="34" t="inlineStr">
        <is>
          <t>Region Øst</t>
        </is>
      </c>
      <c r="C2986" s="34" t="inlineStr">
        <is>
          <t>Jong ungdoms- og familiesenter, avd Åsen</t>
        </is>
      </c>
      <c r="D2986" s="18" t="n"/>
      <c r="E2986" s="18" t="n"/>
      <c r="F2986" s="18" t="n"/>
      <c r="G2986" s="18" t="n"/>
      <c r="H2986" s="18" t="n"/>
      <c r="I2986" s="18" t="n">
        <v>37099</v>
      </c>
      <c r="J2986" s="19" t="n">
        <v>42078.613275</v>
      </c>
      <c r="K2986" s="35" t="n">
        <v>0.065</v>
      </c>
    </row>
    <row r="2987">
      <c r="A2987" s="36" t="inlineStr">
        <is>
          <t>AGA SPK-tilskudd</t>
        </is>
      </c>
      <c r="B2987" s="36" t="inlineStr">
        <is>
          <t>Region Øst</t>
        </is>
      </c>
      <c r="C2987" s="36" t="inlineStr">
        <is>
          <t>Jong ungdoms- og familiesenter, avd Åsen</t>
        </is>
      </c>
      <c r="D2987" s="26" t="n"/>
      <c r="E2987" s="26" t="n"/>
      <c r="F2987" s="26" t="n"/>
      <c r="G2987" s="26" t="n"/>
      <c r="H2987" s="26" t="n"/>
      <c r="I2987" s="26" t="n">
        <v>46827</v>
      </c>
      <c r="J2987" s="19" t="n">
        <v>53112.35407499999</v>
      </c>
      <c r="K2987" s="37" t="n">
        <v>0.065</v>
      </c>
    </row>
    <row r="2988">
      <c r="A2988" s="34" t="inlineStr">
        <is>
          <t>AGA SPK-tilskudd</t>
        </is>
      </c>
      <c r="B2988" s="34" t="inlineStr">
        <is>
          <t>Region Øst</t>
        </is>
      </c>
      <c r="C2988" s="34" t="inlineStr">
        <is>
          <t>Jong ungdoms- og familiesenter, avd Åsen</t>
        </is>
      </c>
      <c r="D2988" s="18" t="n"/>
      <c r="E2988" s="18" t="n"/>
      <c r="F2988" s="18" t="n"/>
      <c r="G2988" s="18" t="n"/>
      <c r="H2988" s="18" t="n"/>
      <c r="I2988" s="18" t="n">
        <v>57956</v>
      </c>
      <c r="J2988" s="19" t="n">
        <v>65735.14409999999</v>
      </c>
      <c r="K2988" s="35" t="n">
        <v>0.065</v>
      </c>
    </row>
    <row r="2989">
      <c r="A2989" s="36" t="inlineStr">
        <is>
          <t>AGA SPK-tilskudd</t>
        </is>
      </c>
      <c r="B2989" s="36" t="inlineStr">
        <is>
          <t>Region Øst</t>
        </is>
      </c>
      <c r="C2989" s="36" t="inlineStr">
        <is>
          <t>Jong ungdoms- og familiesenter, avd Åsen</t>
        </is>
      </c>
      <c r="D2989" s="26" t="n"/>
      <c r="E2989" s="26" t="n"/>
      <c r="F2989" s="26" t="n"/>
      <c r="G2989" s="26" t="n"/>
      <c r="H2989" s="26" t="n"/>
      <c r="I2989" s="26" t="n">
        <v>23592</v>
      </c>
      <c r="J2989" s="19" t="n">
        <v>26758.6362</v>
      </c>
      <c r="K2989" s="37" t="n">
        <v>0.065</v>
      </c>
    </row>
    <row r="2990">
      <c r="A2990" s="34" t="inlineStr">
        <is>
          <t>AGA SPK-tilskudd</t>
        </is>
      </c>
      <c r="B2990" s="34" t="inlineStr">
        <is>
          <t>Region Øst</t>
        </is>
      </c>
      <c r="C2990" s="34" t="inlineStr">
        <is>
          <t>Jong ungdoms- og familiesenter, avd Åsen</t>
        </is>
      </c>
      <c r="D2990" s="18" t="n"/>
      <c r="E2990" s="18" t="n"/>
      <c r="F2990" s="18" t="n"/>
      <c r="G2990" s="18" t="n"/>
      <c r="H2990" s="18" t="n"/>
      <c r="I2990" s="18" t="n">
        <v>13089</v>
      </c>
      <c r="J2990" s="19" t="n">
        <v>14845.871025</v>
      </c>
      <c r="K2990" s="35" t="n">
        <v>0.065</v>
      </c>
    </row>
    <row r="2991">
      <c r="A2991" s="36" t="inlineStr">
        <is>
          <t>AGA SPK-tilskudd</t>
        </is>
      </c>
      <c r="B2991" s="36" t="inlineStr">
        <is>
          <t>Region Øst</t>
        </is>
      </c>
      <c r="C2991" s="36" t="inlineStr">
        <is>
          <t>Jong ungdoms- og familiesenter, avd Åsen</t>
        </is>
      </c>
      <c r="D2991" s="26" t="n"/>
      <c r="E2991" s="26" t="n"/>
      <c r="F2991" s="26" t="n"/>
      <c r="G2991" s="26" t="n"/>
      <c r="H2991" s="26" t="n"/>
      <c r="I2991" s="26" t="n">
        <v>950</v>
      </c>
      <c r="J2991" s="19" t="n">
        <v>1077.51375</v>
      </c>
      <c r="K2991" s="37" t="n">
        <v>0.065</v>
      </c>
    </row>
    <row r="2992">
      <c r="A2992" s="34" t="inlineStr">
        <is>
          <t>AGA SPK-tilskudd</t>
        </is>
      </c>
      <c r="B2992" s="34" t="inlineStr">
        <is>
          <t>Region Øst</t>
        </is>
      </c>
      <c r="C2992" s="34" t="inlineStr">
        <is>
          <t>Jong ungdoms- og familiesenter, avd Åsen</t>
        </is>
      </c>
      <c r="D2992" s="18" t="n"/>
      <c r="E2992" s="18" t="n"/>
      <c r="F2992" s="18" t="n"/>
      <c r="G2992" s="18" t="n"/>
      <c r="H2992" s="18" t="n"/>
      <c r="I2992" s="18" t="n">
        <v>7408</v>
      </c>
      <c r="J2992" s="19" t="n">
        <v>8402.3388</v>
      </c>
      <c r="K2992" s="35" t="n">
        <v>0.065</v>
      </c>
    </row>
    <row r="2993">
      <c r="A2993" s="36" t="inlineStr">
        <is>
          <t>AGA SPK-tilskudd</t>
        </is>
      </c>
      <c r="B2993" s="36" t="inlineStr">
        <is>
          <t>Region Øst</t>
        </is>
      </c>
      <c r="C2993" s="36" t="inlineStr">
        <is>
          <t>Jong ungdoms- og familiesenter, avd Åsen</t>
        </is>
      </c>
      <c r="D2993" s="26" t="n"/>
      <c r="E2993" s="26" t="n"/>
      <c r="F2993" s="26" t="n"/>
      <c r="G2993" s="26" t="n"/>
      <c r="H2993" s="26" t="n"/>
      <c r="I2993" s="26" t="n">
        <v>6033</v>
      </c>
      <c r="J2993" s="19" t="n">
        <v>6842.779424999999</v>
      </c>
      <c r="K2993" s="37" t="n">
        <v>0.065</v>
      </c>
    </row>
    <row r="2994">
      <c r="A2994" s="34" t="inlineStr">
        <is>
          <t>AGA SPK-tilskudd</t>
        </is>
      </c>
      <c r="B2994" s="34" t="inlineStr">
        <is>
          <t>Region Øst</t>
        </is>
      </c>
      <c r="C2994" s="34" t="inlineStr">
        <is>
          <t>Jong ungdoms- og familiesenter, avd Åsen</t>
        </is>
      </c>
      <c r="D2994" s="18" t="n"/>
      <c r="E2994" s="18" t="n"/>
      <c r="F2994" s="18" t="n"/>
      <c r="G2994" s="18" t="n"/>
      <c r="H2994" s="18" t="n"/>
      <c r="I2994" s="18" t="n">
        <v>711</v>
      </c>
      <c r="J2994" s="19" t="n">
        <v>806.4339749999999</v>
      </c>
      <c r="K2994" s="35" t="n">
        <v>0.065</v>
      </c>
    </row>
    <row r="2995">
      <c r="A2995" s="36" t="inlineStr">
        <is>
          <t>AGA SPK-tilskudd</t>
        </is>
      </c>
      <c r="B2995" s="36" t="inlineStr">
        <is>
          <t>Region Øst</t>
        </is>
      </c>
      <c r="C2995" s="36" t="inlineStr">
        <is>
          <t>Jong ungdoms- og familiesenter, avd Åsen</t>
        </is>
      </c>
      <c r="D2995" s="26" t="n"/>
      <c r="E2995" s="26" t="n"/>
      <c r="F2995" s="26" t="n"/>
      <c r="G2995" s="26" t="n"/>
      <c r="H2995" s="26" t="n"/>
      <c r="I2995" s="26" t="n">
        <v>-239955</v>
      </c>
      <c r="J2995" s="19" t="n">
        <v>-272162.9598749999</v>
      </c>
      <c r="K2995" s="37" t="n">
        <v>0.065</v>
      </c>
    </row>
    <row r="2996">
      <c r="A2996" s="34" t="inlineStr">
        <is>
          <t>AGA SPK-tilskudd</t>
        </is>
      </c>
      <c r="B2996" s="34" t="inlineStr">
        <is>
          <t>Region Øst</t>
        </is>
      </c>
      <c r="C2996" s="34" t="inlineStr">
        <is>
          <t>Jong ungdoms- og familiesenter, avd Åsen</t>
        </is>
      </c>
      <c r="D2996" s="18" t="n"/>
      <c r="E2996" s="18" t="n"/>
      <c r="F2996" s="18" t="n"/>
      <c r="G2996" s="18" t="n"/>
      <c r="H2996" s="18" t="n"/>
      <c r="I2996" s="18" t="n">
        <v>-206145</v>
      </c>
      <c r="J2996" s="19" t="n">
        <v>-233814.812625</v>
      </c>
      <c r="K2996" s="35" t="n">
        <v>0.065</v>
      </c>
    </row>
    <row r="2997">
      <c r="A2997" s="36" t="inlineStr">
        <is>
          <t>AGA SPK-tilskudd</t>
        </is>
      </c>
      <c r="B2997" s="36" t="inlineStr">
        <is>
          <t>Region Øst</t>
        </is>
      </c>
      <c r="C2997" s="36" t="inlineStr">
        <is>
          <t>Jong ungdoms- og familiesenter, avd. Kollen</t>
        </is>
      </c>
      <c r="D2997" s="26" t="n"/>
      <c r="E2997" s="26" t="n"/>
      <c r="F2997" s="26" t="n"/>
      <c r="G2997" s="26" t="n"/>
      <c r="H2997" s="26" t="n"/>
      <c r="I2997" s="26" t="n">
        <v>124971</v>
      </c>
      <c r="J2997" s="19" t="n">
        <v>141745.232475</v>
      </c>
      <c r="K2997" s="37" t="n">
        <v>0.065</v>
      </c>
    </row>
    <row r="2998">
      <c r="A2998" s="34" t="inlineStr">
        <is>
          <t>AGA SPK-tilskudd</t>
        </is>
      </c>
      <c r="B2998" s="34" t="inlineStr">
        <is>
          <t>Region Øst</t>
        </is>
      </c>
      <c r="C2998" s="34" t="inlineStr">
        <is>
          <t>Jong ungdoms- og familiesenter, avd. Kollen</t>
        </is>
      </c>
      <c r="D2998" s="18" t="n"/>
      <c r="E2998" s="18" t="n"/>
      <c r="F2998" s="18" t="n"/>
      <c r="G2998" s="18" t="n"/>
      <c r="H2998" s="18" t="n"/>
      <c r="I2998" s="18" t="n">
        <v>85386</v>
      </c>
      <c r="J2998" s="19" t="n">
        <v>96846.93584999998</v>
      </c>
      <c r="K2998" s="35" t="n">
        <v>0.065</v>
      </c>
    </row>
    <row r="2999">
      <c r="A2999" s="36" t="inlineStr">
        <is>
          <t>AGA SPK-tilskudd</t>
        </is>
      </c>
      <c r="B2999" s="36" t="inlineStr">
        <is>
          <t>Region Øst</t>
        </is>
      </c>
      <c r="C2999" s="36" t="inlineStr">
        <is>
          <t>Jong ungdoms- og familiesenter, avd. Kollen</t>
        </is>
      </c>
      <c r="D2999" s="26" t="n"/>
      <c r="E2999" s="26" t="n"/>
      <c r="F2999" s="26" t="n"/>
      <c r="G2999" s="26" t="n"/>
      <c r="H2999" s="26" t="n"/>
      <c r="I2999" s="26" t="n">
        <v>29923</v>
      </c>
      <c r="J2999" s="19" t="n">
        <v>33939.41467499999</v>
      </c>
      <c r="K2999" s="37" t="n">
        <v>0.065</v>
      </c>
    </row>
    <row r="3000">
      <c r="A3000" s="34" t="inlineStr">
        <is>
          <t>AGA SPK-tilskudd</t>
        </is>
      </c>
      <c r="B3000" s="34" t="inlineStr">
        <is>
          <t>Region Øst</t>
        </is>
      </c>
      <c r="C3000" s="34" t="inlineStr">
        <is>
          <t>Jong ungdoms- og familiesenter, avd. Kollen</t>
        </is>
      </c>
      <c r="D3000" s="18" t="n"/>
      <c r="E3000" s="18" t="n"/>
      <c r="F3000" s="18" t="n"/>
      <c r="G3000" s="18" t="n"/>
      <c r="H3000" s="18" t="n"/>
      <c r="I3000" s="18" t="n">
        <v>39358</v>
      </c>
      <c r="J3000" s="19" t="n">
        <v>44640.82754999999</v>
      </c>
      <c r="K3000" s="35" t="n">
        <v>0.065</v>
      </c>
    </row>
    <row r="3001">
      <c r="A3001" s="36" t="inlineStr">
        <is>
          <t>AGA SPK-tilskudd</t>
        </is>
      </c>
      <c r="B3001" s="36" t="inlineStr">
        <is>
          <t>Region Øst</t>
        </is>
      </c>
      <c r="C3001" s="36" t="inlineStr">
        <is>
          <t>Jong ungdoms- og familiesenter, avd. Kollen</t>
        </is>
      </c>
      <c r="D3001" s="26" t="n"/>
      <c r="E3001" s="26" t="n"/>
      <c r="F3001" s="26" t="n"/>
      <c r="G3001" s="26" t="n"/>
      <c r="H3001" s="26" t="n"/>
      <c r="I3001" s="26" t="n">
        <v>2442</v>
      </c>
      <c r="J3001" s="19" t="n">
        <v>2769.77745</v>
      </c>
      <c r="K3001" s="37" t="n">
        <v>0.065</v>
      </c>
    </row>
    <row r="3002">
      <c r="A3002" s="34" t="inlineStr">
        <is>
          <t>AGA SPK-tilskudd</t>
        </is>
      </c>
      <c r="B3002" s="34" t="inlineStr">
        <is>
          <t>Region Øst</t>
        </is>
      </c>
      <c r="C3002" s="34" t="inlineStr">
        <is>
          <t>Jong ungdoms- og familiesenter, avd. Kollen</t>
        </is>
      </c>
      <c r="D3002" s="18" t="n"/>
      <c r="E3002" s="18" t="n"/>
      <c r="F3002" s="18" t="n"/>
      <c r="G3002" s="18" t="n"/>
      <c r="H3002" s="18" t="n"/>
      <c r="I3002" s="18" t="n">
        <v>3775</v>
      </c>
      <c r="J3002" s="19" t="n">
        <v>4281.699374999999</v>
      </c>
      <c r="K3002" s="35" t="n">
        <v>0.065</v>
      </c>
    </row>
    <row r="3003">
      <c r="A3003" s="36" t="inlineStr">
        <is>
          <t>AGA SPK-tilskudd</t>
        </is>
      </c>
      <c r="B3003" s="36" t="inlineStr">
        <is>
          <t>Region Øst</t>
        </is>
      </c>
      <c r="C3003" s="36" t="inlineStr">
        <is>
          <t>Jong ungdoms- og familiesenter, avd. Kollen</t>
        </is>
      </c>
      <c r="D3003" s="26" t="n"/>
      <c r="E3003" s="26" t="n"/>
      <c r="F3003" s="26" t="n"/>
      <c r="G3003" s="26" t="n"/>
      <c r="H3003" s="26" t="n"/>
      <c r="I3003" s="26" t="n">
        <v>4626</v>
      </c>
      <c r="J3003" s="19" t="n">
        <v>5246.924849999999</v>
      </c>
      <c r="K3003" s="37" t="n">
        <v>0.065</v>
      </c>
    </row>
    <row r="3004">
      <c r="A3004" s="34" t="inlineStr">
        <is>
          <t>AGA SPK-tilskudd</t>
        </is>
      </c>
      <c r="B3004" s="34" t="inlineStr">
        <is>
          <t>Region Øst</t>
        </is>
      </c>
      <c r="C3004" s="34" t="inlineStr">
        <is>
          <t>Jong ungdoms- og familiesenter, avd. Kollen</t>
        </is>
      </c>
      <c r="D3004" s="18" t="n"/>
      <c r="E3004" s="18" t="n"/>
      <c r="F3004" s="18" t="n"/>
      <c r="G3004" s="18" t="n"/>
      <c r="H3004" s="18" t="n"/>
      <c r="I3004" s="18" t="n">
        <v>9712</v>
      </c>
      <c r="J3004" s="19" t="n">
        <v>11015.5932</v>
      </c>
      <c r="K3004" s="35" t="n">
        <v>0.065</v>
      </c>
    </row>
    <row r="3005">
      <c r="A3005" s="36" t="inlineStr">
        <is>
          <t>AGA SPK-tilskudd</t>
        </is>
      </c>
      <c r="B3005" s="36" t="inlineStr">
        <is>
          <t>Region Øst</t>
        </is>
      </c>
      <c r="C3005" s="36" t="inlineStr">
        <is>
          <t>Jong ungdoms- og familiesenter, avd. Kollen</t>
        </is>
      </c>
      <c r="D3005" s="26" t="n"/>
      <c r="E3005" s="26" t="n"/>
      <c r="F3005" s="26" t="n"/>
      <c r="G3005" s="26" t="n"/>
      <c r="H3005" s="26" t="n"/>
      <c r="I3005" s="26" t="n">
        <v>1541</v>
      </c>
      <c r="J3005" s="19" t="n">
        <v>1747.840725</v>
      </c>
      <c r="K3005" s="37" t="n">
        <v>0.065</v>
      </c>
    </row>
    <row r="3006">
      <c r="A3006" s="34" t="inlineStr">
        <is>
          <t>AGA SPK-tilskudd</t>
        </is>
      </c>
      <c r="B3006" s="34" t="inlineStr">
        <is>
          <t>Region Øst</t>
        </is>
      </c>
      <c r="C3006" s="34" t="inlineStr">
        <is>
          <t>Jong ungdoms- og familiesenter, avd. Kollen</t>
        </is>
      </c>
      <c r="D3006" s="18" t="n"/>
      <c r="E3006" s="18" t="n"/>
      <c r="F3006" s="18" t="n"/>
      <c r="G3006" s="18" t="n"/>
      <c r="H3006" s="18" t="n"/>
      <c r="I3006" s="18" t="n">
        <v>194</v>
      </c>
      <c r="J3006" s="19" t="n">
        <v>220.03965</v>
      </c>
      <c r="K3006" s="35" t="n">
        <v>0.065</v>
      </c>
    </row>
    <row r="3007">
      <c r="A3007" s="36" t="inlineStr">
        <is>
          <t>AGA SPK-tilskudd</t>
        </is>
      </c>
      <c r="B3007" s="36" t="inlineStr">
        <is>
          <t>Region Øst</t>
        </is>
      </c>
      <c r="C3007" s="36" t="inlineStr">
        <is>
          <t>Jong ungdoms- og familiesenter, avd. Kollen</t>
        </is>
      </c>
      <c r="D3007" s="26" t="n"/>
      <c r="E3007" s="26" t="n"/>
      <c r="F3007" s="26" t="n"/>
      <c r="G3007" s="26" t="n"/>
      <c r="H3007" s="26" t="n"/>
      <c r="I3007" s="26" t="n">
        <v>738</v>
      </c>
      <c r="J3007" s="19" t="n">
        <v>837.0580499999999</v>
      </c>
      <c r="K3007" s="37" t="n">
        <v>0.065</v>
      </c>
    </row>
    <row r="3008">
      <c r="A3008" s="34" t="inlineStr">
        <is>
          <t>AGA SPK-tilskudd</t>
        </is>
      </c>
      <c r="B3008" s="34" t="inlineStr">
        <is>
          <t>Region Øst</t>
        </is>
      </c>
      <c r="C3008" s="34" t="inlineStr">
        <is>
          <t>Jong ungdoms- og familiesenter, avd. Kollen</t>
        </is>
      </c>
      <c r="D3008" s="18" t="n"/>
      <c r="E3008" s="18" t="n"/>
      <c r="F3008" s="18" t="n"/>
      <c r="G3008" s="18" t="n"/>
      <c r="H3008" s="18" t="n"/>
      <c r="I3008" s="18" t="n">
        <v>-167625</v>
      </c>
      <c r="J3008" s="19" t="n">
        <v>-190124.465625</v>
      </c>
      <c r="K3008" s="35" t="n">
        <v>0.065</v>
      </c>
    </row>
    <row r="3009">
      <c r="A3009" s="36" t="inlineStr">
        <is>
          <t>AGA SPK-tilskudd</t>
        </is>
      </c>
      <c r="B3009" s="36" t="inlineStr">
        <is>
          <t>Region Øst</t>
        </is>
      </c>
      <c r="C3009" s="36" t="inlineStr">
        <is>
          <t>Jong ungdoms- og familiesenter, avd. Kollen</t>
        </is>
      </c>
      <c r="D3009" s="26" t="n"/>
      <c r="E3009" s="26" t="n"/>
      <c r="F3009" s="26" t="n"/>
      <c r="G3009" s="26" t="n"/>
      <c r="H3009" s="26" t="n"/>
      <c r="I3009" s="26" t="n">
        <v>-56947</v>
      </c>
      <c r="J3009" s="19" t="n">
        <v>-64590.71107499999</v>
      </c>
      <c r="K3009" s="37" t="n">
        <v>0.065</v>
      </c>
    </row>
    <row r="3010">
      <c r="A3010" s="34" t="inlineStr">
        <is>
          <t>AGA SPK-tilskudd</t>
        </is>
      </c>
      <c r="B3010" s="34" t="inlineStr">
        <is>
          <t>Region Øst</t>
        </is>
      </c>
      <c r="C3010" s="34" t="inlineStr">
        <is>
          <t>Jong ungdoms- og familiesenter, avdeling Kollen</t>
        </is>
      </c>
      <c r="D3010" s="18" t="n">
        <v>1060</v>
      </c>
      <c r="E3010" s="18" t="n">
        <v>2609</v>
      </c>
      <c r="F3010" s="18" t="n">
        <v>5658</v>
      </c>
      <c r="G3010" s="18" t="n">
        <v>4845</v>
      </c>
      <c r="H3010" s="18" t="n">
        <v>50033</v>
      </c>
      <c r="I3010" s="18" t="n">
        <v>711</v>
      </c>
      <c r="J3010" s="19" t="n">
        <v>606.0313557437221</v>
      </c>
      <c r="K3010" s="35" t="n">
        <v>-0.07676396516878692</v>
      </c>
    </row>
    <row r="3011">
      <c r="A3011" s="36" t="inlineStr">
        <is>
          <t>AGA SPK-tilskudd</t>
        </is>
      </c>
      <c r="B3011" s="36" t="inlineStr">
        <is>
          <t>Region Øst</t>
        </is>
      </c>
      <c r="C3011" s="36" t="inlineStr">
        <is>
          <t>Jong ungdoms- og familiesenter, avdeling Kollen</t>
        </is>
      </c>
      <c r="D3011" s="26" t="n"/>
      <c r="E3011" s="26" t="n"/>
      <c r="F3011" s="26" t="n"/>
      <c r="G3011" s="26" t="n"/>
      <c r="H3011" s="26" t="n">
        <v>13537</v>
      </c>
      <c r="I3011" s="26" t="n"/>
      <c r="J3011" s="19" t="n">
        <v>0</v>
      </c>
      <c r="K3011" s="37" t="n">
        <v>0.065</v>
      </c>
    </row>
    <row r="3012">
      <c r="A3012" s="34" t="inlineStr">
        <is>
          <t>AGA SPK-tilskudd</t>
        </is>
      </c>
      <c r="B3012" s="34" t="inlineStr">
        <is>
          <t>Region Øst</t>
        </is>
      </c>
      <c r="C3012" s="34" t="inlineStr">
        <is>
          <t>Jong ungdoms- og familiesenter, avdeling Kollen</t>
        </is>
      </c>
      <c r="D3012" s="18" t="n">
        <v>366</v>
      </c>
      <c r="E3012" s="18" t="n"/>
      <c r="F3012" s="18" t="n">
        <v>4213</v>
      </c>
      <c r="G3012" s="18" t="n">
        <v>2720</v>
      </c>
      <c r="H3012" s="18" t="n">
        <v>24746</v>
      </c>
      <c r="I3012" s="18" t="n"/>
      <c r="J3012" s="19" t="n">
        <v>0</v>
      </c>
      <c r="K3012" s="35" t="n">
        <v>0.065</v>
      </c>
    </row>
    <row r="3013">
      <c r="A3013" s="36" t="inlineStr">
        <is>
          <t>AGA SPK-tilskudd</t>
        </is>
      </c>
      <c r="B3013" s="36" t="inlineStr">
        <is>
          <t>Region Øst</t>
        </is>
      </c>
      <c r="C3013" s="36" t="inlineStr">
        <is>
          <t>Jong ungdoms- og familiesenter, avdeling Kollen</t>
        </is>
      </c>
      <c r="D3013" s="26" t="n">
        <v>120</v>
      </c>
      <c r="E3013" s="26" t="n">
        <v>337</v>
      </c>
      <c r="F3013" s="26" t="n">
        <v>1023</v>
      </c>
      <c r="G3013" s="26" t="n">
        <v>929</v>
      </c>
      <c r="H3013" s="26" t="n">
        <v>13112</v>
      </c>
      <c r="I3013" s="26" t="n"/>
      <c r="J3013" s="19" t="n">
        <v>0</v>
      </c>
      <c r="K3013" s="37" t="n">
        <v>0.065</v>
      </c>
    </row>
    <row r="3014">
      <c r="A3014" s="34" t="inlineStr">
        <is>
          <t>AGA SPK-tilskudd</t>
        </is>
      </c>
      <c r="B3014" s="34" t="inlineStr">
        <is>
          <t>Region Øst</t>
        </is>
      </c>
      <c r="C3014" s="34" t="inlineStr">
        <is>
          <t>Jong ungdoms- og familiesenter, avdeling Kollen</t>
        </is>
      </c>
      <c r="D3014" s="18" t="n">
        <v>410</v>
      </c>
      <c r="E3014" s="18" t="n"/>
      <c r="F3014" s="18" t="n"/>
      <c r="G3014" s="18" t="n"/>
      <c r="H3014" s="18" t="n">
        <v>4470</v>
      </c>
      <c r="I3014" s="18" t="n"/>
      <c r="J3014" s="19" t="n">
        <v>0</v>
      </c>
      <c r="K3014" s="35" t="n">
        <v>0.065</v>
      </c>
    </row>
    <row r="3015">
      <c r="A3015" s="36" t="inlineStr">
        <is>
          <t>AGA SPK-tilskudd</t>
        </is>
      </c>
      <c r="B3015" s="36" t="inlineStr">
        <is>
          <t>Region Øst</t>
        </is>
      </c>
      <c r="C3015" s="36" t="inlineStr">
        <is>
          <t>Jong ungdoms- og familiesenter, avdeling Kollen</t>
        </is>
      </c>
      <c r="D3015" s="26" t="n"/>
      <c r="E3015" s="26" t="n"/>
      <c r="F3015" s="26" t="n"/>
      <c r="G3015" s="26" t="n">
        <v>317</v>
      </c>
      <c r="H3015" s="26" t="n">
        <v>1987</v>
      </c>
      <c r="I3015" s="26" t="n"/>
      <c r="J3015" s="19" t="n">
        <v>0</v>
      </c>
      <c r="K3015" s="37" t="n">
        <v>0.065</v>
      </c>
    </row>
    <row r="3016">
      <c r="A3016" s="34" t="inlineStr">
        <is>
          <t>AGA SPK-tilskudd</t>
        </is>
      </c>
      <c r="B3016" s="34" t="inlineStr">
        <is>
          <t>Region Øst</t>
        </is>
      </c>
      <c r="C3016" s="34" t="inlineStr">
        <is>
          <t>Jong ungdoms- og familiesenter, avdeling Kollen</t>
        </is>
      </c>
      <c r="D3016" s="18" t="n"/>
      <c r="E3016" s="18" t="n"/>
      <c r="F3016" s="18" t="n"/>
      <c r="G3016" s="18" t="n">
        <v>810</v>
      </c>
      <c r="H3016" s="18" t="n">
        <v>607</v>
      </c>
      <c r="I3016" s="18" t="n"/>
      <c r="J3016" s="19" t="n">
        <v>0</v>
      </c>
      <c r="K3016" s="35" t="n">
        <v>0.065</v>
      </c>
    </row>
    <row r="3017">
      <c r="A3017" s="36" t="inlineStr">
        <is>
          <t>AGA SPK-tilskudd</t>
        </is>
      </c>
      <c r="B3017" s="36" t="inlineStr">
        <is>
          <t>Region Øst</t>
        </is>
      </c>
      <c r="C3017" s="36" t="inlineStr">
        <is>
          <t>Jong ungdoms- og familiesenter, avdeling Kollen</t>
        </is>
      </c>
      <c r="D3017" s="26" t="n">
        <v>62</v>
      </c>
      <c r="E3017" s="26" t="n"/>
      <c r="F3017" s="26" t="n"/>
      <c r="G3017" s="26" t="n">
        <v>119</v>
      </c>
      <c r="H3017" s="26" t="n">
        <v>2878</v>
      </c>
      <c r="I3017" s="26" t="n"/>
      <c r="J3017" s="19" t="n">
        <v>0</v>
      </c>
      <c r="K3017" s="37" t="n">
        <v>0.065</v>
      </c>
    </row>
    <row r="3018">
      <c r="A3018" s="34" t="inlineStr">
        <is>
          <t>AGA SPK-tilskudd</t>
        </is>
      </c>
      <c r="B3018" s="34" t="inlineStr">
        <is>
          <t>Region Øst</t>
        </is>
      </c>
      <c r="C3018" s="34" t="inlineStr">
        <is>
          <t>Jong ungdoms- og familiesenter, avdeling Kollen</t>
        </is>
      </c>
      <c r="D3018" s="18" t="n"/>
      <c r="E3018" s="18" t="n"/>
      <c r="F3018" s="18" t="n"/>
      <c r="G3018" s="18" t="n"/>
      <c r="H3018" s="18" t="n">
        <v>-1628</v>
      </c>
      <c r="I3018" s="18" t="n"/>
      <c r="J3018" s="19" t="n">
        <v>0</v>
      </c>
      <c r="K3018" s="35" t="n">
        <v>0.065</v>
      </c>
    </row>
    <row r="3019">
      <c r="A3019" s="36" t="inlineStr">
        <is>
          <t>AGA SPK-tilskudd</t>
        </is>
      </c>
      <c r="B3019" s="36" t="inlineStr">
        <is>
          <t>Region Øst</t>
        </is>
      </c>
      <c r="C3019" s="36" t="inlineStr">
        <is>
          <t>Jong ungdoms- og familiesenter, avdeling Kollen</t>
        </is>
      </c>
      <c r="D3019" s="26" t="n"/>
      <c r="E3019" s="26" t="n"/>
      <c r="F3019" s="26" t="n"/>
      <c r="G3019" s="26" t="n"/>
      <c r="H3019" s="26" t="n">
        <v>-2738</v>
      </c>
      <c r="I3019" s="26" t="n"/>
      <c r="J3019" s="19" t="n">
        <v>0</v>
      </c>
      <c r="K3019" s="37" t="n">
        <v>0.065</v>
      </c>
    </row>
    <row r="3020">
      <c r="A3020" s="34" t="inlineStr">
        <is>
          <t>AGA SPK-tilskudd</t>
        </is>
      </c>
      <c r="B3020" s="34" t="inlineStr">
        <is>
          <t>Region Øst</t>
        </is>
      </c>
      <c r="C3020" s="34" t="inlineStr">
        <is>
          <t>Jong ungdoms- og familiesenter, avdeling Åsen</t>
        </is>
      </c>
      <c r="D3020" s="18" t="n">
        <v>171986</v>
      </c>
      <c r="E3020" s="18" t="n">
        <v>142378</v>
      </c>
      <c r="F3020" s="18" t="n">
        <v>105932</v>
      </c>
      <c r="G3020" s="18" t="n">
        <v>128617</v>
      </c>
      <c r="H3020" s="18" t="n">
        <v>132217</v>
      </c>
      <c r="I3020" s="18" t="n"/>
      <c r="J3020" s="19" t="n">
        <v>0</v>
      </c>
      <c r="K3020" s="35" t="n">
        <v>0.065</v>
      </c>
    </row>
    <row r="3021">
      <c r="A3021" s="36" t="inlineStr">
        <is>
          <t>AGA SPK-tilskudd</t>
        </is>
      </c>
      <c r="B3021" s="36" t="inlineStr">
        <is>
          <t>Region Øst</t>
        </is>
      </c>
      <c r="C3021" s="36" t="inlineStr">
        <is>
          <t>Jong ungdoms- og familiesenter, avdeling Åsen</t>
        </is>
      </c>
      <c r="D3021" s="26" t="n">
        <v>238920</v>
      </c>
      <c r="E3021" s="26" t="n">
        <v>6447</v>
      </c>
      <c r="F3021" s="26" t="n">
        <v>125380</v>
      </c>
      <c r="G3021" s="26" t="n">
        <v>195799</v>
      </c>
      <c r="H3021" s="26" t="n">
        <v>129424</v>
      </c>
      <c r="I3021" s="26" t="n"/>
      <c r="J3021" s="19" t="n">
        <v>0</v>
      </c>
      <c r="K3021" s="37" t="n">
        <v>0.065</v>
      </c>
    </row>
    <row r="3022">
      <c r="A3022" s="34" t="inlineStr">
        <is>
          <t>AGA SPK-tilskudd</t>
        </is>
      </c>
      <c r="B3022" s="34" t="inlineStr">
        <is>
          <t>Region Øst</t>
        </is>
      </c>
      <c r="C3022" s="34" t="inlineStr">
        <is>
          <t>Jong ungdoms- og familiesenter, avdeling Åsen</t>
        </is>
      </c>
      <c r="D3022" s="18" t="n">
        <v>10499</v>
      </c>
      <c r="E3022" s="18" t="n">
        <v>25782</v>
      </c>
      <c r="F3022" s="18" t="n">
        <v>45828</v>
      </c>
      <c r="G3022" s="18" t="n">
        <v>47095</v>
      </c>
      <c r="H3022" s="18" t="n">
        <v>48062</v>
      </c>
      <c r="I3022" s="18" t="n"/>
      <c r="J3022" s="19" t="n">
        <v>0</v>
      </c>
      <c r="K3022" s="35" t="n">
        <v>0.065</v>
      </c>
    </row>
    <row r="3023">
      <c r="A3023" s="36" t="inlineStr">
        <is>
          <t>AGA SPK-tilskudd</t>
        </is>
      </c>
      <c r="B3023" s="36" t="inlineStr">
        <is>
          <t>Region Øst</t>
        </is>
      </c>
      <c r="C3023" s="36" t="inlineStr">
        <is>
          <t>Jong ungdoms- og familiesenter, avdeling Åsen</t>
        </is>
      </c>
      <c r="D3023" s="26" t="n">
        <v>39640</v>
      </c>
      <c r="E3023" s="26" t="n">
        <v>47821</v>
      </c>
      <c r="F3023" s="26" t="n">
        <v>48569</v>
      </c>
      <c r="G3023" s="26" t="n">
        <v>56153</v>
      </c>
      <c r="H3023" s="26" t="n">
        <v>61530</v>
      </c>
      <c r="I3023" s="26" t="n"/>
      <c r="J3023" s="19" t="n">
        <v>0</v>
      </c>
      <c r="K3023" s="37" t="n">
        <v>0.065</v>
      </c>
    </row>
    <row r="3024">
      <c r="A3024" s="34" t="inlineStr">
        <is>
          <t>AGA SPK-tilskudd</t>
        </is>
      </c>
      <c r="B3024" s="34" t="inlineStr">
        <is>
          <t>Region Øst</t>
        </is>
      </c>
      <c r="C3024" s="34" t="inlineStr">
        <is>
          <t>Jong ungdoms- og familiesenter, avdeling Åsen</t>
        </is>
      </c>
      <c r="D3024" s="18" t="n">
        <v>1267</v>
      </c>
      <c r="E3024" s="18" t="n"/>
      <c r="F3024" s="18" t="n"/>
      <c r="G3024" s="18" t="n">
        <v>2825</v>
      </c>
      <c r="H3024" s="18" t="n">
        <v>2875</v>
      </c>
      <c r="I3024" s="18" t="n"/>
      <c r="J3024" s="19" t="n">
        <v>0</v>
      </c>
      <c r="K3024" s="35" t="n">
        <v>0.065</v>
      </c>
    </row>
    <row r="3025">
      <c r="A3025" s="36" t="inlineStr">
        <is>
          <t>AGA SPK-tilskudd</t>
        </is>
      </c>
      <c r="B3025" s="36" t="inlineStr">
        <is>
          <t>Region Øst</t>
        </is>
      </c>
      <c r="C3025" s="36" t="inlineStr">
        <is>
          <t>Jong ungdoms- og familiesenter, avdeling Åsen</t>
        </is>
      </c>
      <c r="D3025" s="26" t="n">
        <v>3086</v>
      </c>
      <c r="E3025" s="26" t="n"/>
      <c r="F3025" s="26" t="n">
        <v>5032</v>
      </c>
      <c r="G3025" s="26" t="n">
        <v>1766</v>
      </c>
      <c r="H3025" s="26" t="n">
        <v>4275</v>
      </c>
      <c r="I3025" s="26" t="n"/>
      <c r="J3025" s="19" t="n">
        <v>0</v>
      </c>
      <c r="K3025" s="37" t="n">
        <v>0.065</v>
      </c>
    </row>
    <row r="3026">
      <c r="A3026" s="34" t="inlineStr">
        <is>
          <t>AGA SPK-tilskudd</t>
        </is>
      </c>
      <c r="B3026" s="34" t="inlineStr">
        <is>
          <t>Region Øst</t>
        </is>
      </c>
      <c r="C3026" s="34" t="inlineStr">
        <is>
          <t>Jong ungdoms- og familiesenter, avdeling Åsen</t>
        </is>
      </c>
      <c r="D3026" s="18" t="n"/>
      <c r="E3026" s="18" t="n"/>
      <c r="F3026" s="18" t="n">
        <v>324</v>
      </c>
      <c r="G3026" s="18" t="n">
        <v>227</v>
      </c>
      <c r="H3026" s="18" t="n"/>
      <c r="I3026" s="18" t="n"/>
      <c r="J3026" s="19" t="n">
        <v>0</v>
      </c>
      <c r="K3026" s="35" t="n">
        <v>0.065</v>
      </c>
    </row>
    <row r="3027">
      <c r="A3027" s="36" t="inlineStr">
        <is>
          <t>AGA SPK-tilskudd</t>
        </is>
      </c>
      <c r="B3027" s="36" t="inlineStr">
        <is>
          <t>Region Øst</t>
        </is>
      </c>
      <c r="C3027" s="36" t="inlineStr">
        <is>
          <t>Jong ungdoms- og familiesenter, avdeling Åsen</t>
        </is>
      </c>
      <c r="D3027" s="26" t="n">
        <v>3300</v>
      </c>
      <c r="E3027" s="26" t="n"/>
      <c r="F3027" s="26" t="n">
        <v>3300</v>
      </c>
      <c r="G3027" s="26" t="n"/>
      <c r="H3027" s="26" t="n">
        <v>115</v>
      </c>
      <c r="I3027" s="26" t="n"/>
      <c r="J3027" s="19" t="n">
        <v>0</v>
      </c>
      <c r="K3027" s="37" t="n">
        <v>0.065</v>
      </c>
    </row>
    <row r="3028">
      <c r="A3028" s="34" t="inlineStr">
        <is>
          <t>AGA SPK-tilskudd</t>
        </is>
      </c>
      <c r="B3028" s="34" t="inlineStr">
        <is>
          <t>Region Øst</t>
        </is>
      </c>
      <c r="C3028" s="34" t="inlineStr">
        <is>
          <t>Jong ungdoms- og familiesenter, avdeling Åsen</t>
        </is>
      </c>
      <c r="D3028" s="18" t="n">
        <v>11946</v>
      </c>
      <c r="E3028" s="18" t="n">
        <v>5271</v>
      </c>
      <c r="F3028" s="18" t="n">
        <v>13034</v>
      </c>
      <c r="G3028" s="18" t="n">
        <v>7310</v>
      </c>
      <c r="H3028" s="18" t="n">
        <v>5283</v>
      </c>
      <c r="I3028" s="18" t="n"/>
      <c r="J3028" s="19" t="n">
        <v>0</v>
      </c>
      <c r="K3028" s="35" t="n">
        <v>0.065</v>
      </c>
    </row>
    <row r="3029">
      <c r="A3029" s="36" t="inlineStr">
        <is>
          <t>AGA SPK-tilskudd</t>
        </is>
      </c>
      <c r="B3029" s="36" t="inlineStr">
        <is>
          <t>Region Øst</t>
        </is>
      </c>
      <c r="C3029" s="36" t="inlineStr">
        <is>
          <t>Jong ungdoms- og familiesenter, avdeling Åsen</t>
        </is>
      </c>
      <c r="D3029" s="26" t="n">
        <v>1348</v>
      </c>
      <c r="E3029" s="26" t="n"/>
      <c r="F3029" s="26" t="n">
        <v>1784</v>
      </c>
      <c r="G3029" s="26" t="n">
        <v>1144</v>
      </c>
      <c r="H3029" s="26" t="n">
        <v>1550</v>
      </c>
      <c r="I3029" s="26" t="n"/>
      <c r="J3029" s="19" t="n">
        <v>0</v>
      </c>
      <c r="K3029" s="37" t="n">
        <v>0.065</v>
      </c>
    </row>
    <row r="3030">
      <c r="A3030" s="34" t="inlineStr">
        <is>
          <t>AGA SPK-tilskudd</t>
        </is>
      </c>
      <c r="B3030" s="34" t="inlineStr">
        <is>
          <t>Region Øst</t>
        </is>
      </c>
      <c r="C3030" s="34" t="inlineStr">
        <is>
          <t>Jong ungdoms- og familiesenter, avdeling Åsen</t>
        </is>
      </c>
      <c r="D3030" s="18" t="n"/>
      <c r="E3030" s="18" t="n"/>
      <c r="F3030" s="18" t="n"/>
      <c r="G3030" s="18" t="n">
        <v>3280</v>
      </c>
      <c r="H3030" s="18" t="n"/>
      <c r="I3030" s="18" t="n"/>
      <c r="J3030" s="19" t="n">
        <v>0</v>
      </c>
      <c r="K3030" s="35" t="n">
        <v>0.065</v>
      </c>
    </row>
    <row r="3031">
      <c r="A3031" s="36" t="inlineStr">
        <is>
          <t>AGA SPK-tilskudd</t>
        </is>
      </c>
      <c r="B3031" s="36" t="inlineStr">
        <is>
          <t>Region Øst</t>
        </is>
      </c>
      <c r="C3031" s="36" t="inlineStr">
        <is>
          <t>Jong ungdoms- og familiesenter, avdeling Åsen</t>
        </is>
      </c>
      <c r="D3031" s="26" t="n"/>
      <c r="E3031" s="26" t="n"/>
      <c r="F3031" s="26" t="n">
        <v>50</v>
      </c>
      <c r="G3031" s="26" t="n">
        <v>60</v>
      </c>
      <c r="H3031" s="26" t="n"/>
      <c r="I3031" s="26" t="n"/>
      <c r="J3031" s="19" t="n">
        <v>0</v>
      </c>
      <c r="K3031" s="37" t="n">
        <v>0.065</v>
      </c>
    </row>
    <row r="3032">
      <c r="A3032" s="34" t="inlineStr">
        <is>
          <t>AGA SPK-tilskudd</t>
        </is>
      </c>
      <c r="B3032" s="34" t="inlineStr">
        <is>
          <t>Region Øst</t>
        </is>
      </c>
      <c r="C3032" s="34" t="inlineStr">
        <is>
          <t>Jong ungdoms- og familiesenter, avdeling Åsen</t>
        </is>
      </c>
      <c r="D3032" s="18" t="n">
        <v>23442</v>
      </c>
      <c r="E3032" s="18" t="n">
        <v>16649</v>
      </c>
      <c r="F3032" s="18" t="n">
        <v>6082</v>
      </c>
      <c r="G3032" s="18" t="n"/>
      <c r="H3032" s="18" t="n">
        <v>1000</v>
      </c>
      <c r="I3032" s="18" t="n"/>
      <c r="J3032" s="19" t="n">
        <v>0</v>
      </c>
      <c r="K3032" s="35" t="n">
        <v>0.065</v>
      </c>
    </row>
    <row r="3033">
      <c r="A3033" s="36" t="inlineStr">
        <is>
          <t>AGA SPK-tilskudd</t>
        </is>
      </c>
      <c r="B3033" s="36" t="inlineStr">
        <is>
          <t>Region Øst</t>
        </is>
      </c>
      <c r="C3033" s="36" t="inlineStr">
        <is>
          <t>Jong ungdoms- og familiesenter, avdeling Åsen</t>
        </is>
      </c>
      <c r="D3033" s="26" t="n">
        <v>-241388</v>
      </c>
      <c r="E3033" s="26" t="n">
        <v>-97850</v>
      </c>
      <c r="F3033" s="26" t="n">
        <v>-142800</v>
      </c>
      <c r="G3033" s="26" t="n">
        <v>-72735</v>
      </c>
      <c r="H3033" s="26" t="n">
        <v>-534443</v>
      </c>
      <c r="I3033" s="26" t="n"/>
      <c r="J3033" s="19" t="n">
        <v>0</v>
      </c>
      <c r="K3033" s="37" t="n">
        <v>0.065</v>
      </c>
    </row>
    <row r="3034">
      <c r="A3034" s="34" t="inlineStr">
        <is>
          <t>AGA SPK-tilskudd</t>
        </is>
      </c>
      <c r="B3034" s="34" t="inlineStr">
        <is>
          <t>Region Øst</t>
        </is>
      </c>
      <c r="C3034" s="34" t="inlineStr">
        <is>
          <t>Jong ungdoms- og familiesenter, avdeling Åsen</t>
        </is>
      </c>
      <c r="D3034" s="18" t="n">
        <v>-406267</v>
      </c>
      <c r="E3034" s="18" t="n">
        <v>-336954</v>
      </c>
      <c r="F3034" s="18" t="n">
        <v>-306236</v>
      </c>
      <c r="G3034" s="18" t="n">
        <v>-1100722</v>
      </c>
      <c r="H3034" s="18" t="n">
        <v>-457169</v>
      </c>
      <c r="I3034" s="18" t="n">
        <v>-8949</v>
      </c>
      <c r="J3034" s="19" t="n">
        <v>-10150.179525</v>
      </c>
      <c r="K3034" s="35" t="n">
        <v>0.065</v>
      </c>
    </row>
    <row r="3035">
      <c r="A3035" s="36" t="inlineStr">
        <is>
          <t>AGA SPK-tilskudd</t>
        </is>
      </c>
      <c r="B3035" s="36" t="inlineStr">
        <is>
          <t>Region Øst</t>
        </is>
      </c>
      <c r="C3035" s="36" t="inlineStr">
        <is>
          <t>Kirkenær barnever- og omsorgssenter Avdeling Frigg</t>
        </is>
      </c>
      <c r="D3035" s="26" t="n"/>
      <c r="E3035" s="26" t="n">
        <v>62972</v>
      </c>
      <c r="F3035" s="26" t="n">
        <v>55112</v>
      </c>
      <c r="G3035" s="26" t="n">
        <v>76680</v>
      </c>
      <c r="H3035" s="26" t="n">
        <v>91389</v>
      </c>
      <c r="I3035" s="26" t="n">
        <v>83580</v>
      </c>
      <c r="J3035" s="19" t="n">
        <v>96289.69405839131</v>
      </c>
      <c r="K3035" s="37" t="n">
        <v>0.07334347378230754</v>
      </c>
    </row>
    <row r="3036">
      <c r="A3036" s="34" t="inlineStr">
        <is>
          <t>AGA SPK-tilskudd</t>
        </is>
      </c>
      <c r="B3036" s="34" t="inlineStr">
        <is>
          <t>Region Øst</t>
        </is>
      </c>
      <c r="C3036" s="34" t="inlineStr">
        <is>
          <t>Kirkenær barnever- og omsorgssenter Avdeling Frigg</t>
        </is>
      </c>
      <c r="D3036" s="18" t="n"/>
      <c r="E3036" s="18" t="n">
        <v>69660</v>
      </c>
      <c r="F3036" s="18" t="n">
        <v>18332</v>
      </c>
      <c r="G3036" s="18" t="n">
        <v>80422</v>
      </c>
      <c r="H3036" s="18" t="n">
        <v>46102</v>
      </c>
      <c r="I3036" s="18" t="n">
        <v>250482</v>
      </c>
      <c r="J3036" s="19" t="n">
        <v>391378.125</v>
      </c>
      <c r="K3036" s="35" t="n">
        <v>0.25</v>
      </c>
    </row>
    <row r="3037">
      <c r="A3037" s="36" t="inlineStr">
        <is>
          <t>AGA SPK-tilskudd</t>
        </is>
      </c>
      <c r="B3037" s="36" t="inlineStr">
        <is>
          <t>Region Øst</t>
        </is>
      </c>
      <c r="C3037" s="36" t="inlineStr">
        <is>
          <t>Kirkenær barnever- og omsorgssenter Avdeling Frigg</t>
        </is>
      </c>
      <c r="D3037" s="26" t="n"/>
      <c r="E3037" s="26" t="n">
        <v>6481</v>
      </c>
      <c r="F3037" s="26" t="n">
        <v>31839</v>
      </c>
      <c r="G3037" s="26" t="n">
        <v>37770</v>
      </c>
      <c r="H3037" s="26" t="n">
        <v>53506</v>
      </c>
      <c r="I3037" s="26" t="n">
        <v>20021</v>
      </c>
      <c r="J3037" s="19" t="n">
        <v>31282.8125</v>
      </c>
      <c r="K3037" s="37" t="n">
        <v>0.25</v>
      </c>
    </row>
    <row r="3038">
      <c r="A3038" s="34" t="inlineStr">
        <is>
          <t>AGA SPK-tilskudd</t>
        </is>
      </c>
      <c r="B3038" s="34" t="inlineStr">
        <is>
          <t>Region Øst</t>
        </is>
      </c>
      <c r="C3038" s="34" t="inlineStr">
        <is>
          <t>Kirkenær barnever- og omsorgssenter Avdeling Frigg</t>
        </is>
      </c>
      <c r="D3038" s="18" t="n"/>
      <c r="E3038" s="18" t="n">
        <v>18661</v>
      </c>
      <c r="F3038" s="18" t="n">
        <v>25972</v>
      </c>
      <c r="G3038" s="18" t="n">
        <v>35801</v>
      </c>
      <c r="H3038" s="18" t="n">
        <v>49534</v>
      </c>
      <c r="I3038" s="18" t="n">
        <v>44549</v>
      </c>
      <c r="J3038" s="19" t="n">
        <v>68831.85649249688</v>
      </c>
      <c r="K3038" s="35" t="n">
        <v>0.2430132604911088</v>
      </c>
    </row>
    <row r="3039">
      <c r="A3039" s="36" t="inlineStr">
        <is>
          <t>AGA SPK-tilskudd</t>
        </is>
      </c>
      <c r="B3039" s="36" t="inlineStr">
        <is>
          <t>Region Øst</t>
        </is>
      </c>
      <c r="C3039" s="36" t="inlineStr">
        <is>
          <t>Kirkenær barnever- og omsorgssenter Avdeling Frigg</t>
        </is>
      </c>
      <c r="D3039" s="26" t="n"/>
      <c r="E3039" s="26" t="n"/>
      <c r="F3039" s="26" t="n"/>
      <c r="G3039" s="26" t="n"/>
      <c r="H3039" s="26" t="n"/>
      <c r="I3039" s="26" t="n">
        <v>3150</v>
      </c>
      <c r="J3039" s="19" t="n">
        <v>3572.808749999999</v>
      </c>
      <c r="K3039" s="37" t="n">
        <v>0.065</v>
      </c>
    </row>
    <row r="3040">
      <c r="A3040" s="34" t="inlineStr">
        <is>
          <t>AGA SPK-tilskudd</t>
        </is>
      </c>
      <c r="B3040" s="34" t="inlineStr">
        <is>
          <t>Region Øst</t>
        </is>
      </c>
      <c r="C3040" s="34" t="inlineStr">
        <is>
          <t>Kirkenær barnever- og omsorgssenter Avdeling Frigg</t>
        </is>
      </c>
      <c r="D3040" s="18" t="n"/>
      <c r="E3040" s="18" t="n">
        <v>1645</v>
      </c>
      <c r="F3040" s="18" t="n">
        <v>6466</v>
      </c>
      <c r="G3040" s="18" t="n">
        <v>5089</v>
      </c>
      <c r="H3040" s="18" t="n">
        <v>6133</v>
      </c>
      <c r="I3040" s="18" t="n">
        <v>1141</v>
      </c>
      <c r="J3040" s="19" t="n">
        <v>950.2667106010794</v>
      </c>
      <c r="K3040" s="35" t="n">
        <v>-0.08740111140513962</v>
      </c>
    </row>
    <row r="3041">
      <c r="A3041" s="36" t="inlineStr">
        <is>
          <t>AGA SPK-tilskudd</t>
        </is>
      </c>
      <c r="B3041" s="36" t="inlineStr">
        <is>
          <t>Region Øst</t>
        </is>
      </c>
      <c r="C3041" s="36" t="inlineStr">
        <is>
          <t>Kirkenær barnever- og omsorgssenter Avdeling Frigg</t>
        </is>
      </c>
      <c r="D3041" s="26" t="n"/>
      <c r="E3041" s="26" t="n">
        <v>608</v>
      </c>
      <c r="F3041" s="26" t="n">
        <v>536</v>
      </c>
      <c r="G3041" s="26" t="n">
        <v>3027</v>
      </c>
      <c r="H3041" s="26" t="n">
        <v>12591</v>
      </c>
      <c r="I3041" s="26" t="n">
        <v>4263</v>
      </c>
      <c r="J3041" s="19" t="n">
        <v>6660.9375</v>
      </c>
      <c r="K3041" s="37" t="n">
        <v>0.25</v>
      </c>
    </row>
    <row r="3042">
      <c r="A3042" s="34" t="inlineStr">
        <is>
          <t>AGA SPK-tilskudd</t>
        </is>
      </c>
      <c r="B3042" s="34" t="inlineStr">
        <is>
          <t>Region Øst</t>
        </is>
      </c>
      <c r="C3042" s="34" t="inlineStr">
        <is>
          <t>Kirkenær barnever- og omsorgssenter Avdeling Frigg</t>
        </is>
      </c>
      <c r="D3042" s="18" t="n"/>
      <c r="E3042" s="18" t="n"/>
      <c r="F3042" s="18" t="n">
        <v>7797</v>
      </c>
      <c r="G3042" s="18" t="n">
        <v>14230</v>
      </c>
      <c r="H3042" s="18" t="n">
        <v>9365</v>
      </c>
      <c r="I3042" s="18" t="n">
        <v>900</v>
      </c>
      <c r="J3042" s="19" t="n">
        <v>1020.8025</v>
      </c>
      <c r="K3042" s="35" t="n">
        <v>0.065</v>
      </c>
    </row>
    <row r="3043">
      <c r="A3043" s="36" t="inlineStr">
        <is>
          <t>AGA SPK-tilskudd</t>
        </is>
      </c>
      <c r="B3043" s="36" t="inlineStr">
        <is>
          <t>Region Øst</t>
        </is>
      </c>
      <c r="C3043" s="36" t="inlineStr">
        <is>
          <t>Kirkenær barnever- og omsorgssenter Avdeling Frigg</t>
        </is>
      </c>
      <c r="D3043" s="26" t="n"/>
      <c r="E3043" s="26" t="n">
        <v>8313</v>
      </c>
      <c r="F3043" s="26" t="n">
        <v>5003</v>
      </c>
      <c r="G3043" s="26" t="n">
        <v>2882</v>
      </c>
      <c r="H3043" s="26" t="n">
        <v>13902</v>
      </c>
      <c r="I3043" s="26" t="n">
        <v>3368</v>
      </c>
      <c r="J3043" s="19" t="n">
        <v>2143.775157833189</v>
      </c>
      <c r="K3043" s="37" t="n">
        <v>-0.2021824681774106</v>
      </c>
    </row>
    <row r="3044">
      <c r="A3044" s="34" t="inlineStr">
        <is>
          <t>AGA SPK-tilskudd</t>
        </is>
      </c>
      <c r="B3044" s="34" t="inlineStr">
        <is>
          <t>Region Øst</t>
        </is>
      </c>
      <c r="C3044" s="34" t="inlineStr">
        <is>
          <t>Kirkenær barnever- og omsorgssenter Avdeling Frigg</t>
        </is>
      </c>
      <c r="D3044" s="18" t="n"/>
      <c r="E3044" s="18" t="n">
        <v>443</v>
      </c>
      <c r="F3044" s="18" t="n">
        <v>900</v>
      </c>
      <c r="G3044" s="18" t="n">
        <v>3459</v>
      </c>
      <c r="H3044" s="18" t="n">
        <v>6824</v>
      </c>
      <c r="I3044" s="18" t="n">
        <v>1765</v>
      </c>
      <c r="J3044" s="19" t="n">
        <v>2757.8125</v>
      </c>
      <c r="K3044" s="35" t="n">
        <v>0.25</v>
      </c>
    </row>
    <row r="3045">
      <c r="A3045" s="36" t="inlineStr">
        <is>
          <t>AGA SPK-tilskudd</t>
        </is>
      </c>
      <c r="B3045" s="36" t="inlineStr">
        <is>
          <t>Region Øst</t>
        </is>
      </c>
      <c r="C3045" s="36" t="inlineStr">
        <is>
          <t>Kirkenær barnever- og omsorgssenter Avdeling Frigg</t>
        </is>
      </c>
      <c r="D3045" s="26" t="n"/>
      <c r="E3045" s="26" t="n">
        <v>4080</v>
      </c>
      <c r="F3045" s="26" t="n">
        <v>1040</v>
      </c>
      <c r="G3045" s="26" t="n"/>
      <c r="H3045" s="26" t="n">
        <v>1395</v>
      </c>
      <c r="I3045" s="26" t="n"/>
      <c r="J3045" s="19" t="n">
        <v>0</v>
      </c>
      <c r="K3045" s="37" t="n">
        <v>0.065</v>
      </c>
    </row>
    <row r="3046">
      <c r="A3046" s="34" t="inlineStr">
        <is>
          <t>AGA SPK-tilskudd</t>
        </is>
      </c>
      <c r="B3046" s="34" t="inlineStr">
        <is>
          <t>Region Øst</t>
        </is>
      </c>
      <c r="C3046" s="34" t="inlineStr">
        <is>
          <t>Kirkenær barnever- og omsorgssenter Avdeling Frigg</t>
        </is>
      </c>
      <c r="D3046" s="18" t="n"/>
      <c r="E3046" s="18" t="n">
        <v>-14853</v>
      </c>
      <c r="F3046" s="18" t="n">
        <v>-15746</v>
      </c>
      <c r="G3046" s="18" t="n">
        <v>-22519</v>
      </c>
      <c r="H3046" s="18" t="n">
        <v>-7035</v>
      </c>
      <c r="I3046" s="18" t="n">
        <v>-10775</v>
      </c>
      <c r="J3046" s="19" t="n">
        <v>-12221.274375</v>
      </c>
      <c r="K3046" s="35" t="n">
        <v>0.065</v>
      </c>
    </row>
    <row r="3047">
      <c r="A3047" s="36" t="inlineStr">
        <is>
          <t>AGA SPK-tilskudd</t>
        </is>
      </c>
      <c r="B3047" s="36" t="inlineStr">
        <is>
          <t>Region Øst</t>
        </is>
      </c>
      <c r="C3047" s="36" t="inlineStr">
        <is>
          <t>Kirkenær barnever- og omsorgssenter Avdeling Frigg</t>
        </is>
      </c>
      <c r="D3047" s="26" t="n"/>
      <c r="E3047" s="26" t="n"/>
      <c r="F3047" s="26" t="n">
        <v>-206163</v>
      </c>
      <c r="G3047" s="26" t="n">
        <v>-233195</v>
      </c>
      <c r="H3047" s="26" t="n">
        <v>-10763</v>
      </c>
      <c r="I3047" s="26" t="n">
        <v>-340054</v>
      </c>
      <c r="J3047" s="19" t="n">
        <v>-385697.7481499999</v>
      </c>
      <c r="K3047" s="37" t="n">
        <v>0.065</v>
      </c>
    </row>
    <row r="3048">
      <c r="A3048" s="34" t="inlineStr">
        <is>
          <t>AGA SPK-tilskudd</t>
        </is>
      </c>
      <c r="B3048" s="34" t="inlineStr">
        <is>
          <t>Region Øst</t>
        </is>
      </c>
      <c r="C3048" s="34" t="inlineStr">
        <is>
          <t>Kirkenær barnever- og omsorgssenter Avdeling Frigg</t>
        </is>
      </c>
      <c r="D3048" s="18" t="n"/>
      <c r="E3048" s="18" t="n">
        <v>-219455</v>
      </c>
      <c r="F3048" s="18" t="n">
        <v>-750551</v>
      </c>
      <c r="G3048" s="18" t="n">
        <v>-301419</v>
      </c>
      <c r="H3048" s="18" t="n">
        <v>-404224</v>
      </c>
      <c r="I3048" s="18" t="n">
        <v>-1531982</v>
      </c>
      <c r="J3048" s="19" t="n">
        <v>-1737612.28395</v>
      </c>
      <c r="K3048" s="35" t="n">
        <v>0.065</v>
      </c>
    </row>
    <row r="3049">
      <c r="A3049" s="36" t="inlineStr">
        <is>
          <t>AGA SPK-tilskudd</t>
        </is>
      </c>
      <c r="B3049" s="36" t="inlineStr">
        <is>
          <t>Region Øst</t>
        </is>
      </c>
      <c r="C3049" s="36" t="inlineStr">
        <is>
          <t>Kirkenær barnevern- og omsorgssenter  Administrasjon</t>
        </is>
      </c>
      <c r="D3049" s="26" t="n">
        <v>26200</v>
      </c>
      <c r="E3049" s="26" t="n">
        <v>20789</v>
      </c>
      <c r="F3049" s="26" t="n">
        <v>17328</v>
      </c>
      <c r="G3049" s="26" t="n">
        <v>21086</v>
      </c>
      <c r="H3049" s="26" t="n">
        <v>18783</v>
      </c>
      <c r="I3049" s="26" t="n">
        <v>19232</v>
      </c>
      <c r="J3049" s="19" t="n">
        <v>16994.70827039597</v>
      </c>
      <c r="K3049" s="37" t="n">
        <v>-0.05996368405738084</v>
      </c>
    </row>
    <row r="3050">
      <c r="A3050" s="34" t="inlineStr">
        <is>
          <t>AGA SPK-tilskudd</t>
        </is>
      </c>
      <c r="B3050" s="34" t="inlineStr">
        <is>
          <t>Region Øst</t>
        </is>
      </c>
      <c r="C3050" s="34" t="inlineStr">
        <is>
          <t>Kirkenær barnevern- og omsorgssenter  Administrasjon</t>
        </is>
      </c>
      <c r="D3050" s="18" t="n">
        <v>2383</v>
      </c>
      <c r="E3050" s="18" t="n">
        <v>12517</v>
      </c>
      <c r="F3050" s="18" t="n">
        <v>41765</v>
      </c>
      <c r="G3050" s="18" t="n">
        <v>16164</v>
      </c>
      <c r="H3050" s="18" t="n">
        <v>29875</v>
      </c>
      <c r="I3050" s="18" t="n">
        <v>9229</v>
      </c>
      <c r="J3050" s="19" t="n">
        <v>14420.3125</v>
      </c>
      <c r="K3050" s="35" t="n">
        <v>0.25</v>
      </c>
    </row>
    <row r="3051">
      <c r="A3051" s="36" t="inlineStr">
        <is>
          <t>AGA SPK-tilskudd</t>
        </is>
      </c>
      <c r="B3051" s="36" t="inlineStr">
        <is>
          <t>Region Øst</t>
        </is>
      </c>
      <c r="C3051" s="36" t="inlineStr">
        <is>
          <t>Kirkenær barnevern- og omsorgssenter  Administrasjon</t>
        </is>
      </c>
      <c r="D3051" s="26" t="n">
        <v>3600</v>
      </c>
      <c r="E3051" s="26" t="n">
        <v>3681</v>
      </c>
      <c r="F3051" s="26" t="n">
        <v>3477</v>
      </c>
      <c r="G3051" s="26" t="n">
        <v>5044</v>
      </c>
      <c r="H3051" s="26" t="n">
        <v>4232</v>
      </c>
      <c r="I3051" s="26" t="n">
        <v>4325</v>
      </c>
      <c r="J3051" s="19" t="n">
        <v>4654.355548801432</v>
      </c>
      <c r="K3051" s="37" t="n">
        <v>0.03737725634274902</v>
      </c>
    </row>
    <row r="3052">
      <c r="A3052" s="34" t="inlineStr">
        <is>
          <t>AGA SPK-tilskudd</t>
        </is>
      </c>
      <c r="B3052" s="34" t="inlineStr">
        <is>
          <t>Region Øst</t>
        </is>
      </c>
      <c r="C3052" s="34" t="inlineStr">
        <is>
          <t>Kirkenær barnevern- og omsorgssenter  Administrasjon</t>
        </is>
      </c>
      <c r="D3052" s="18" t="n"/>
      <c r="E3052" s="18" t="n"/>
      <c r="F3052" s="18" t="n"/>
      <c r="G3052" s="18" t="n"/>
      <c r="H3052" s="18" t="n">
        <v>6007</v>
      </c>
      <c r="I3052" s="18" t="n"/>
      <c r="J3052" s="19" t="n">
        <v>0</v>
      </c>
      <c r="K3052" s="35" t="n">
        <v>0.065</v>
      </c>
    </row>
    <row r="3053">
      <c r="A3053" s="36" t="inlineStr">
        <is>
          <t>AGA SPK-tilskudd</t>
        </is>
      </c>
      <c r="B3053" s="36" t="inlineStr">
        <is>
          <t>Region Øst</t>
        </is>
      </c>
      <c r="C3053" s="36" t="inlineStr">
        <is>
          <t>Kirkenær barnevern- og omsorgssenter  Administrasjon</t>
        </is>
      </c>
      <c r="D3053" s="26" t="n"/>
      <c r="E3053" s="26" t="n">
        <v>3659</v>
      </c>
      <c r="F3053" s="26" t="n">
        <v>3715</v>
      </c>
      <c r="G3053" s="26" t="n">
        <v>2308</v>
      </c>
      <c r="H3053" s="26" t="n">
        <v>6176</v>
      </c>
      <c r="I3053" s="26" t="n">
        <v>1914</v>
      </c>
      <c r="J3053" s="19" t="n">
        <v>1384.304706373367</v>
      </c>
      <c r="K3053" s="37" t="n">
        <v>-0.1495576458764328</v>
      </c>
    </row>
    <row r="3054">
      <c r="A3054" s="34" t="inlineStr">
        <is>
          <t>AGA SPK-tilskudd</t>
        </is>
      </c>
      <c r="B3054" s="34" t="inlineStr">
        <is>
          <t>Region Øst</t>
        </is>
      </c>
      <c r="C3054" s="34" t="inlineStr">
        <is>
          <t>Kirkenær barnevern- og omsorgssenter  Administrasjon</t>
        </is>
      </c>
      <c r="D3054" s="18" t="n">
        <v>478</v>
      </c>
      <c r="E3054" s="18" t="n">
        <v>1250</v>
      </c>
      <c r="F3054" s="18" t="n">
        <v>2299</v>
      </c>
      <c r="G3054" s="18" t="n">
        <v>1872</v>
      </c>
      <c r="H3054" s="18" t="n">
        <v>4765</v>
      </c>
      <c r="I3054" s="18" t="n">
        <v>270</v>
      </c>
      <c r="J3054" s="19" t="n">
        <v>214.8513620201399</v>
      </c>
      <c r="K3054" s="35" t="n">
        <v>-0.1079541574225138</v>
      </c>
    </row>
    <row r="3055">
      <c r="A3055" s="36" t="inlineStr">
        <is>
          <t>AGA SPK-tilskudd</t>
        </is>
      </c>
      <c r="B3055" s="36" t="inlineStr">
        <is>
          <t>Region Øst</t>
        </is>
      </c>
      <c r="C3055" s="36" t="inlineStr">
        <is>
          <t>Kirkenær barnevern- og omsorgssenter  Administrasjon</t>
        </is>
      </c>
      <c r="D3055" s="26" t="n">
        <v>4570</v>
      </c>
      <c r="E3055" s="26" t="n">
        <v>35000</v>
      </c>
      <c r="F3055" s="26" t="n">
        <v>3899</v>
      </c>
      <c r="G3055" s="26" t="n">
        <v>14452</v>
      </c>
      <c r="H3055" s="26" t="n">
        <v>64651</v>
      </c>
      <c r="I3055" s="26" t="n">
        <v>22369</v>
      </c>
      <c r="J3055" s="19" t="n">
        <v>34951.5625</v>
      </c>
      <c r="K3055" s="37" t="n">
        <v>0.25</v>
      </c>
    </row>
    <row r="3056">
      <c r="A3056" s="34" t="inlineStr">
        <is>
          <t>AGA SPK-tilskudd</t>
        </is>
      </c>
      <c r="B3056" s="34" t="inlineStr">
        <is>
          <t>Region Øst</t>
        </is>
      </c>
      <c r="C3056" s="34" t="inlineStr">
        <is>
          <t>Kirkenær barnevern- og omsorgssenter  Administrasjon</t>
        </is>
      </c>
      <c r="D3056" s="18" t="n">
        <v>12388</v>
      </c>
      <c r="E3056" s="18" t="n">
        <v>20487</v>
      </c>
      <c r="F3056" s="18" t="n">
        <v>29000</v>
      </c>
      <c r="G3056" s="18" t="n">
        <v>9685</v>
      </c>
      <c r="H3056" s="18" t="n">
        <v>17206</v>
      </c>
      <c r="I3056" s="18" t="n">
        <v>26779</v>
      </c>
      <c r="J3056" s="19" t="n">
        <v>36451.18224845383</v>
      </c>
      <c r="K3056" s="35" t="n">
        <v>0.1666984790715083</v>
      </c>
    </row>
    <row r="3057">
      <c r="A3057" s="36" t="inlineStr">
        <is>
          <t>AGA SPK-tilskudd</t>
        </is>
      </c>
      <c r="B3057" s="36" t="inlineStr">
        <is>
          <t>Region Øst</t>
        </is>
      </c>
      <c r="C3057" s="36" t="inlineStr">
        <is>
          <t>Kirkenær barnevern- og omsorgssenter  Administrasjon</t>
        </is>
      </c>
      <c r="D3057" s="26" t="n">
        <v>154</v>
      </c>
      <c r="E3057" s="26" t="n">
        <v>965</v>
      </c>
      <c r="F3057" s="26" t="n">
        <v>1259</v>
      </c>
      <c r="G3057" s="26" t="n">
        <v>1445</v>
      </c>
      <c r="H3057" s="26" t="n">
        <v>7907</v>
      </c>
      <c r="I3057" s="26" t="n">
        <v>949</v>
      </c>
      <c r="J3057" s="19" t="n">
        <v>1482.8125</v>
      </c>
      <c r="K3057" s="37" t="n">
        <v>0.25</v>
      </c>
    </row>
    <row r="3058">
      <c r="A3058" s="34" t="inlineStr">
        <is>
          <t>AGA SPK-tilskudd</t>
        </is>
      </c>
      <c r="B3058" s="34" t="inlineStr">
        <is>
          <t>Region Øst</t>
        </is>
      </c>
      <c r="C3058" s="34" t="inlineStr">
        <is>
          <t>Kirkenær barnevern- og omsorgssenter  Administrasjon</t>
        </is>
      </c>
      <c r="D3058" s="18" t="n"/>
      <c r="E3058" s="18" t="n">
        <v>10760</v>
      </c>
      <c r="F3058" s="18" t="n">
        <v>1890</v>
      </c>
      <c r="G3058" s="18" t="n"/>
      <c r="H3058" s="18" t="n">
        <v>2490</v>
      </c>
      <c r="I3058" s="18" t="n">
        <v>6917</v>
      </c>
      <c r="J3058" s="19" t="n">
        <v>5545.880761545684</v>
      </c>
      <c r="K3058" s="35" t="n">
        <v>-0.1045808544452136</v>
      </c>
    </row>
    <row r="3059">
      <c r="A3059" s="36" t="inlineStr">
        <is>
          <t>AGA SPK-tilskudd</t>
        </is>
      </c>
      <c r="B3059" s="36" t="inlineStr">
        <is>
          <t>Region Øst</t>
        </is>
      </c>
      <c r="C3059" s="36" t="inlineStr">
        <is>
          <t>Kirkenær barnevern- og omsorgssenter  Administrasjon</t>
        </is>
      </c>
      <c r="D3059" s="26" t="n">
        <v>1290</v>
      </c>
      <c r="E3059" s="26" t="n">
        <v>6286</v>
      </c>
      <c r="F3059" s="26" t="n">
        <v>14559</v>
      </c>
      <c r="G3059" s="26" t="n">
        <v>23586</v>
      </c>
      <c r="H3059" s="26" t="n">
        <v>42881</v>
      </c>
      <c r="I3059" s="26" t="n">
        <v>30856</v>
      </c>
      <c r="J3059" s="19" t="n">
        <v>48212.5</v>
      </c>
      <c r="K3059" s="37" t="n">
        <v>0.25</v>
      </c>
    </row>
    <row r="3060">
      <c r="A3060" s="34" t="inlineStr">
        <is>
          <t>AGA SPK-tilskudd</t>
        </is>
      </c>
      <c r="B3060" s="34" t="inlineStr">
        <is>
          <t>Region Øst</t>
        </is>
      </c>
      <c r="C3060" s="34" t="inlineStr">
        <is>
          <t>Kirkenær barnevern- og omsorgssenter  Administrasjon</t>
        </is>
      </c>
      <c r="D3060" s="18" t="n"/>
      <c r="E3060" s="18" t="n"/>
      <c r="F3060" s="18" t="n"/>
      <c r="G3060" s="18" t="n"/>
      <c r="H3060" s="18" t="n"/>
      <c r="I3060" s="18" t="n">
        <v>-26400</v>
      </c>
      <c r="J3060" s="19" t="n">
        <v>-29943.53999999999</v>
      </c>
      <c r="K3060" s="35" t="n">
        <v>0.065</v>
      </c>
    </row>
    <row r="3061">
      <c r="A3061" s="36" t="inlineStr">
        <is>
          <t>AGA SPK-tilskudd</t>
        </is>
      </c>
      <c r="B3061" s="36" t="inlineStr">
        <is>
          <t>Region Øst</t>
        </is>
      </c>
      <c r="C3061" s="36" t="inlineStr">
        <is>
          <t>Kirkenær barnevern- og omsorgssenter  Administrasjon</t>
        </is>
      </c>
      <c r="D3061" s="26" t="n"/>
      <c r="E3061" s="26" t="n">
        <v>-116606</v>
      </c>
      <c r="F3061" s="26" t="n">
        <v>-34867</v>
      </c>
      <c r="G3061" s="26" t="n"/>
      <c r="H3061" s="26" t="n"/>
      <c r="I3061" s="26" t="n"/>
      <c r="J3061" s="19" t="n">
        <v>0</v>
      </c>
      <c r="K3061" s="37" t="n">
        <v>0.065</v>
      </c>
    </row>
    <row r="3062">
      <c r="A3062" s="34" t="inlineStr">
        <is>
          <t>AGA SPK-tilskudd</t>
        </is>
      </c>
      <c r="B3062" s="34" t="inlineStr">
        <is>
          <t>Region Øst</t>
        </is>
      </c>
      <c r="C3062" s="34" t="inlineStr">
        <is>
          <t>Kirkenær barnevern- og omsorgssenter  Administrasjon</t>
        </is>
      </c>
      <c r="D3062" s="18" t="n"/>
      <c r="E3062" s="18" t="n">
        <v>-66095</v>
      </c>
      <c r="F3062" s="18" t="n">
        <v>-111956</v>
      </c>
      <c r="G3062" s="18" t="n">
        <v>-250592</v>
      </c>
      <c r="H3062" s="18" t="n">
        <v>-44632</v>
      </c>
      <c r="I3062" s="18" t="n">
        <v>-82711</v>
      </c>
      <c r="J3062" s="19" t="n">
        <v>-93812.88397499999</v>
      </c>
      <c r="K3062" s="35" t="n">
        <v>0.065</v>
      </c>
    </row>
    <row r="3063">
      <c r="A3063" s="36" t="inlineStr">
        <is>
          <t>AGA SPK-tilskudd</t>
        </is>
      </c>
      <c r="B3063" s="36" t="inlineStr">
        <is>
          <t>Region Øst</t>
        </is>
      </c>
      <c r="C3063" s="36" t="inlineStr">
        <is>
          <t>Kirkenær barnevern- og omsorgssenter  Avdeling Frydenlund</t>
        </is>
      </c>
      <c r="D3063" s="26" t="n">
        <v>96</v>
      </c>
      <c r="E3063" s="26" t="n">
        <v>2853</v>
      </c>
      <c r="F3063" s="26" t="n"/>
      <c r="G3063" s="26" t="n"/>
      <c r="H3063" s="26" t="n"/>
      <c r="I3063" s="26" t="n"/>
      <c r="J3063" s="19" t="n">
        <v>0</v>
      </c>
      <c r="K3063" s="37" t="n">
        <v>0.065</v>
      </c>
    </row>
    <row r="3064">
      <c r="A3064" s="34" t="inlineStr">
        <is>
          <t>AGA SPK-tilskudd</t>
        </is>
      </c>
      <c r="B3064" s="34" t="inlineStr">
        <is>
          <t>Region Øst</t>
        </is>
      </c>
      <c r="C3064" s="34" t="inlineStr">
        <is>
          <t>Kirkenær barnevern- og omsorgssenter  Avdeling Frydenlund</t>
        </is>
      </c>
      <c r="D3064" s="18" t="n"/>
      <c r="E3064" s="18" t="n">
        <v>2770</v>
      </c>
      <c r="F3064" s="18" t="n"/>
      <c r="G3064" s="18" t="n"/>
      <c r="H3064" s="18" t="n"/>
      <c r="I3064" s="18" t="n"/>
      <c r="J3064" s="19" t="n">
        <v>0</v>
      </c>
      <c r="K3064" s="35" t="n">
        <v>0.065</v>
      </c>
    </row>
    <row r="3065">
      <c r="A3065" s="36" t="inlineStr">
        <is>
          <t>AGA SPK-tilskudd</t>
        </is>
      </c>
      <c r="B3065" s="36" t="inlineStr">
        <is>
          <t>Region Øst</t>
        </is>
      </c>
      <c r="C3065" s="36" t="inlineStr">
        <is>
          <t>Kirkenær barnevern- og omsorgssenter  Avdeling Frydenlund</t>
        </is>
      </c>
      <c r="D3065" s="26" t="n"/>
      <c r="E3065" s="26" t="n">
        <v>716</v>
      </c>
      <c r="F3065" s="26" t="n"/>
      <c r="G3065" s="26" t="n"/>
      <c r="H3065" s="26" t="n"/>
      <c r="I3065" s="26" t="n"/>
      <c r="J3065" s="19" t="n">
        <v>0</v>
      </c>
      <c r="K3065" s="37" t="n">
        <v>0.065</v>
      </c>
    </row>
    <row r="3066">
      <c r="A3066" s="34" t="inlineStr">
        <is>
          <t>AGA SPK-tilskudd</t>
        </is>
      </c>
      <c r="B3066" s="34" t="inlineStr">
        <is>
          <t>Region Øst</t>
        </is>
      </c>
      <c r="C3066" s="34" t="inlineStr">
        <is>
          <t>Kirkenær barnevern- og omsorgssenter  Avdeling Furubo</t>
        </is>
      </c>
      <c r="D3066" s="18" t="n">
        <v>2063</v>
      </c>
      <c r="E3066" s="18" t="n">
        <v>7582</v>
      </c>
      <c r="F3066" s="18" t="n"/>
      <c r="G3066" s="18" t="n"/>
      <c r="H3066" s="18" t="n"/>
      <c r="I3066" s="18" t="n"/>
      <c r="J3066" s="19" t="n">
        <v>0</v>
      </c>
      <c r="K3066" s="35" t="n">
        <v>0.065</v>
      </c>
    </row>
    <row r="3067">
      <c r="A3067" s="36" t="inlineStr">
        <is>
          <t>AGA SPK-tilskudd</t>
        </is>
      </c>
      <c r="B3067" s="36" t="inlineStr">
        <is>
          <t>Region Øst</t>
        </is>
      </c>
      <c r="C3067" s="36" t="inlineStr">
        <is>
          <t>Kirkenær barnevern- og omsorgssenter  Avdeling Furubo</t>
        </is>
      </c>
      <c r="D3067" s="26" t="n">
        <v>295</v>
      </c>
      <c r="E3067" s="26" t="n">
        <v>178</v>
      </c>
      <c r="F3067" s="26" t="n"/>
      <c r="G3067" s="26" t="n"/>
      <c r="H3067" s="26" t="n"/>
      <c r="I3067" s="26" t="n"/>
      <c r="J3067" s="19" t="n">
        <v>0</v>
      </c>
      <c r="K3067" s="37" t="n">
        <v>0.065</v>
      </c>
    </row>
    <row r="3068">
      <c r="A3068" s="34" t="inlineStr">
        <is>
          <t>AGA SPK-tilskudd</t>
        </is>
      </c>
      <c r="B3068" s="34" t="inlineStr">
        <is>
          <t>Region Øst</t>
        </is>
      </c>
      <c r="C3068" s="34" t="inlineStr">
        <is>
          <t>Kirkenær barnevern- og omsorgssenter  Avdeling Furubo</t>
        </is>
      </c>
      <c r="D3068" s="18" t="n">
        <v>300</v>
      </c>
      <c r="E3068" s="18" t="n">
        <v>1329</v>
      </c>
      <c r="F3068" s="18" t="n"/>
      <c r="G3068" s="18" t="n"/>
      <c r="H3068" s="18" t="n"/>
      <c r="I3068" s="18" t="n"/>
      <c r="J3068" s="19" t="n">
        <v>0</v>
      </c>
      <c r="K3068" s="35" t="n">
        <v>0.065</v>
      </c>
    </row>
    <row r="3069">
      <c r="A3069" s="36" t="inlineStr">
        <is>
          <t>AGA SPK-tilskudd</t>
        </is>
      </c>
      <c r="B3069" s="36" t="inlineStr">
        <is>
          <t>Region Øst</t>
        </is>
      </c>
      <c r="C3069" s="36" t="inlineStr">
        <is>
          <t>Kirkenær barnevern- og omsorgssenter  Avdeling Furubo</t>
        </is>
      </c>
      <c r="D3069" s="26" t="n">
        <v>-600</v>
      </c>
      <c r="E3069" s="26" t="n">
        <v>-2400</v>
      </c>
      <c r="F3069" s="26" t="n"/>
      <c r="G3069" s="26" t="n"/>
      <c r="H3069" s="26" t="n"/>
      <c r="I3069" s="26" t="n"/>
      <c r="J3069" s="19" t="n">
        <v>0</v>
      </c>
      <c r="K3069" s="37" t="n">
        <v>0.065</v>
      </c>
    </row>
    <row r="3070">
      <c r="A3070" s="34" t="inlineStr">
        <is>
          <t>AGA SPK-tilskudd</t>
        </is>
      </c>
      <c r="B3070" s="34" t="inlineStr">
        <is>
          <t>Region Øst</t>
        </is>
      </c>
      <c r="C3070" s="34" t="inlineStr">
        <is>
          <t>Kirkenær barnevern- og omsorgssenter  Avdeling Kirkenærtunet</t>
        </is>
      </c>
      <c r="D3070" s="18" t="n">
        <v>35</v>
      </c>
      <c r="E3070" s="18" t="n"/>
      <c r="F3070" s="18" t="n"/>
      <c r="G3070" s="18" t="n">
        <v>1365</v>
      </c>
      <c r="H3070" s="18" t="n">
        <v>1367</v>
      </c>
      <c r="I3070" s="18" t="n"/>
      <c r="J3070" s="19" t="n">
        <v>0</v>
      </c>
      <c r="K3070" s="35" t="n">
        <v>0.065</v>
      </c>
    </row>
    <row r="3071">
      <c r="A3071" s="36" t="inlineStr">
        <is>
          <t>AGA SPK-tilskudd</t>
        </is>
      </c>
      <c r="B3071" s="36" t="inlineStr">
        <is>
          <t>Region Øst</t>
        </is>
      </c>
      <c r="C3071" s="36" t="inlineStr">
        <is>
          <t>Kirkenær barnevern- og omsorgssenter  Avdeling Kirkenærtunet</t>
        </is>
      </c>
      <c r="D3071" s="26" t="n"/>
      <c r="E3071" s="26" t="n"/>
      <c r="F3071" s="26" t="n">
        <v>325</v>
      </c>
      <c r="G3071" s="26" t="n"/>
      <c r="H3071" s="26" t="n"/>
      <c r="I3071" s="26" t="n"/>
      <c r="J3071" s="19" t="n">
        <v>0</v>
      </c>
      <c r="K3071" s="37" t="n">
        <v>0.065</v>
      </c>
    </row>
    <row r="3072">
      <c r="A3072" s="34" t="inlineStr">
        <is>
          <t>AGA SPK-tilskudd</t>
        </is>
      </c>
      <c r="B3072" s="34" t="inlineStr">
        <is>
          <t>Region Øst</t>
        </is>
      </c>
      <c r="C3072" s="34" t="inlineStr">
        <is>
          <t>Kirkenær barnevern- og omsorgssenter  Avdeling Kirkenærtunet</t>
        </is>
      </c>
      <c r="D3072" s="18" t="n"/>
      <c r="E3072" s="18" t="n"/>
      <c r="F3072" s="18" t="n"/>
      <c r="G3072" s="18" t="n">
        <v>664</v>
      </c>
      <c r="H3072" s="18" t="n">
        <v>416</v>
      </c>
      <c r="I3072" s="18" t="n"/>
      <c r="J3072" s="19" t="n">
        <v>0</v>
      </c>
      <c r="K3072" s="35" t="n">
        <v>0.065</v>
      </c>
    </row>
    <row r="3073">
      <c r="A3073" s="36" t="inlineStr">
        <is>
          <t>AGA SPK-tilskudd</t>
        </is>
      </c>
      <c r="B3073" s="36" t="inlineStr">
        <is>
          <t>Region Øst</t>
        </is>
      </c>
      <c r="C3073" s="36" t="inlineStr">
        <is>
          <t>Kirkenær barnevern- og omsorgssenter  Edda ungdomshjem</t>
        </is>
      </c>
      <c r="D3073" s="26" t="n">
        <v>92735</v>
      </c>
      <c r="E3073" s="26" t="n">
        <v>81141</v>
      </c>
      <c r="F3073" s="26" t="n">
        <v>70865</v>
      </c>
      <c r="G3073" s="26" t="n">
        <v>93797</v>
      </c>
      <c r="H3073" s="26" t="n">
        <v>111447</v>
      </c>
      <c r="I3073" s="26" t="n">
        <v>107081</v>
      </c>
      <c r="J3073" s="19" t="n">
        <v>113422.6826944794</v>
      </c>
      <c r="K3073" s="37" t="n">
        <v>0.02918571211740484</v>
      </c>
    </row>
    <row r="3074">
      <c r="A3074" s="34" t="inlineStr">
        <is>
          <t>AGA SPK-tilskudd</t>
        </is>
      </c>
      <c r="B3074" s="34" t="inlineStr">
        <is>
          <t>Region Øst</t>
        </is>
      </c>
      <c r="C3074" s="34" t="inlineStr">
        <is>
          <t>Kirkenær barnevern- og omsorgssenter  Edda ungdomshjem</t>
        </is>
      </c>
      <c r="D3074" s="18" t="n">
        <v>66447</v>
      </c>
      <c r="E3074" s="18" t="n">
        <v>56296</v>
      </c>
      <c r="F3074" s="18" t="n">
        <v>27505</v>
      </c>
      <c r="G3074" s="18" t="n"/>
      <c r="H3074" s="18" t="n">
        <v>342387</v>
      </c>
      <c r="I3074" s="18" t="n">
        <v>302033</v>
      </c>
      <c r="J3074" s="19" t="n">
        <v>471926.5625</v>
      </c>
      <c r="K3074" s="35" t="n">
        <v>0.25</v>
      </c>
    </row>
    <row r="3075">
      <c r="A3075" s="36" t="inlineStr">
        <is>
          <t>AGA SPK-tilskudd</t>
        </is>
      </c>
      <c r="B3075" s="36" t="inlineStr">
        <is>
          <t>Region Øst</t>
        </is>
      </c>
      <c r="C3075" s="36" t="inlineStr">
        <is>
          <t>Kirkenær barnevern- og omsorgssenter  Edda ungdomshjem</t>
        </is>
      </c>
      <c r="D3075" s="26" t="n">
        <v>12312</v>
      </c>
      <c r="E3075" s="26" t="n">
        <v>26919</v>
      </c>
      <c r="F3075" s="26" t="n">
        <v>62403</v>
      </c>
      <c r="G3075" s="26" t="n">
        <v>28863</v>
      </c>
      <c r="H3075" s="26" t="n">
        <v>70784</v>
      </c>
      <c r="I3075" s="26" t="n">
        <v>51364</v>
      </c>
      <c r="J3075" s="19" t="n">
        <v>80256.25</v>
      </c>
      <c r="K3075" s="37" t="n">
        <v>0.25</v>
      </c>
    </row>
    <row r="3076">
      <c r="A3076" s="34" t="inlineStr">
        <is>
          <t>AGA SPK-tilskudd</t>
        </is>
      </c>
      <c r="B3076" s="34" t="inlineStr">
        <is>
          <t>Region Øst</t>
        </is>
      </c>
      <c r="C3076" s="34" t="inlineStr">
        <is>
          <t>Kirkenær barnevern- og omsorgssenter  Edda ungdomshjem</t>
        </is>
      </c>
      <c r="D3076" s="18" t="n">
        <v>24500</v>
      </c>
      <c r="E3076" s="18" t="n">
        <v>28010</v>
      </c>
      <c r="F3076" s="18" t="n">
        <v>36197</v>
      </c>
      <c r="G3076" s="18" t="n">
        <v>44676</v>
      </c>
      <c r="H3076" s="18" t="n">
        <v>53003</v>
      </c>
      <c r="I3076" s="18" t="n">
        <v>68913</v>
      </c>
      <c r="J3076" s="19" t="n">
        <v>104220.9878802932</v>
      </c>
      <c r="K3076" s="35" t="n">
        <v>0.229778835134826</v>
      </c>
    </row>
    <row r="3077">
      <c r="A3077" s="36" t="inlineStr">
        <is>
          <t>AGA SPK-tilskudd</t>
        </is>
      </c>
      <c r="B3077" s="36" t="inlineStr">
        <is>
          <t>Region Øst</t>
        </is>
      </c>
      <c r="C3077" s="36" t="inlineStr">
        <is>
          <t>Kirkenær barnevern- og omsorgssenter  Edda ungdomshjem</t>
        </is>
      </c>
      <c r="D3077" s="26" t="n">
        <v>5088</v>
      </c>
      <c r="E3077" s="26" t="n">
        <v>13318</v>
      </c>
      <c r="F3077" s="26" t="n">
        <v>4683</v>
      </c>
      <c r="G3077" s="26" t="n">
        <v>448</v>
      </c>
      <c r="H3077" s="26" t="n">
        <v>5966</v>
      </c>
      <c r="I3077" s="26" t="n">
        <v>6629</v>
      </c>
      <c r="J3077" s="19" t="n">
        <v>7368.997099289264</v>
      </c>
      <c r="K3077" s="37" t="n">
        <v>0.05433878613684762</v>
      </c>
    </row>
    <row r="3078">
      <c r="A3078" s="34" t="inlineStr">
        <is>
          <t>AGA SPK-tilskudd</t>
        </is>
      </c>
      <c r="B3078" s="34" t="inlineStr">
        <is>
          <t>Region Øst</t>
        </is>
      </c>
      <c r="C3078" s="34" t="inlineStr">
        <is>
          <t>Kirkenær barnevern- og omsorgssenter  Edda ungdomshjem</t>
        </is>
      </c>
      <c r="D3078" s="18" t="n">
        <v>5316</v>
      </c>
      <c r="E3078" s="18" t="n">
        <v>4987</v>
      </c>
      <c r="F3078" s="18" t="n">
        <v>6999</v>
      </c>
      <c r="G3078" s="18" t="n">
        <v>4702</v>
      </c>
      <c r="H3078" s="18" t="n">
        <v>9866</v>
      </c>
      <c r="I3078" s="18" t="n">
        <v>2443</v>
      </c>
      <c r="J3078" s="19" t="n">
        <v>1790.024045218578</v>
      </c>
      <c r="K3078" s="35" t="n">
        <v>-0.1440119555612386</v>
      </c>
    </row>
    <row r="3079">
      <c r="A3079" s="36" t="inlineStr">
        <is>
          <t>AGA SPK-tilskudd</t>
        </is>
      </c>
      <c r="B3079" s="36" t="inlineStr">
        <is>
          <t>Region Øst</t>
        </is>
      </c>
      <c r="C3079" s="36" t="inlineStr">
        <is>
          <t>Kirkenær barnevern- og omsorgssenter  Edda ungdomshjem</t>
        </is>
      </c>
      <c r="D3079" s="26" t="n">
        <v>3990</v>
      </c>
      <c r="E3079" s="26" t="n"/>
      <c r="F3079" s="26" t="n">
        <v>7797</v>
      </c>
      <c r="G3079" s="26" t="n">
        <v>14672</v>
      </c>
      <c r="H3079" s="26" t="n"/>
      <c r="I3079" s="26" t="n">
        <v>5724</v>
      </c>
      <c r="J3079" s="19" t="n">
        <v>6612.87505065269</v>
      </c>
      <c r="K3079" s="37" t="n">
        <v>0.07484377577500667</v>
      </c>
    </row>
    <row r="3080">
      <c r="A3080" s="34" t="inlineStr">
        <is>
          <t>AGA SPK-tilskudd</t>
        </is>
      </c>
      <c r="B3080" s="34" t="inlineStr">
        <is>
          <t>Region Øst</t>
        </is>
      </c>
      <c r="C3080" s="34" t="inlineStr">
        <is>
          <t>Kirkenær barnevern- og omsorgssenter  Edda ungdomshjem</t>
        </is>
      </c>
      <c r="D3080" s="18" t="n">
        <v>2968</v>
      </c>
      <c r="E3080" s="18" t="n">
        <v>12566</v>
      </c>
      <c r="F3080" s="18" t="n">
        <v>1285</v>
      </c>
      <c r="G3080" s="18" t="n">
        <v>3193</v>
      </c>
      <c r="H3080" s="18" t="n">
        <v>9248</v>
      </c>
      <c r="I3080" s="18" t="n">
        <v>4460</v>
      </c>
      <c r="J3080" s="19" t="n">
        <v>5249.080625535015</v>
      </c>
      <c r="K3080" s="35" t="n">
        <v>0.08486123862484418</v>
      </c>
    </row>
    <row r="3081">
      <c r="A3081" s="36" t="inlineStr">
        <is>
          <t>AGA SPK-tilskudd</t>
        </is>
      </c>
      <c r="B3081" s="36" t="inlineStr">
        <is>
          <t>Region Øst</t>
        </is>
      </c>
      <c r="C3081" s="36" t="inlineStr">
        <is>
          <t>Kirkenær barnevern- og omsorgssenter  Edda ungdomshjem</t>
        </is>
      </c>
      <c r="D3081" s="26" t="n">
        <v>2522</v>
      </c>
      <c r="E3081" s="26" t="n">
        <v>3181</v>
      </c>
      <c r="F3081" s="26" t="n">
        <v>3450</v>
      </c>
      <c r="G3081" s="26" t="n">
        <v>1788</v>
      </c>
      <c r="H3081" s="26" t="n">
        <v>9730</v>
      </c>
      <c r="I3081" s="26" t="n">
        <v>3990</v>
      </c>
      <c r="J3081" s="19" t="n">
        <v>4793.624607264223</v>
      </c>
      <c r="K3081" s="37" t="n">
        <v>0.09608835228099699</v>
      </c>
    </row>
    <row r="3082">
      <c r="A3082" s="34" t="inlineStr">
        <is>
          <t>AGA SPK-tilskudd</t>
        </is>
      </c>
      <c r="B3082" s="34" t="inlineStr">
        <is>
          <t>Region Øst</t>
        </is>
      </c>
      <c r="C3082" s="34" t="inlineStr">
        <is>
          <t>Kirkenær barnevern- og omsorgssenter  Edda ungdomshjem</t>
        </is>
      </c>
      <c r="D3082" s="18" t="n">
        <v>-23220</v>
      </c>
      <c r="E3082" s="18" t="n">
        <v>7087</v>
      </c>
      <c r="F3082" s="18" t="n">
        <v>-17283</v>
      </c>
      <c r="G3082" s="18" t="n">
        <v>-13448</v>
      </c>
      <c r="H3082" s="18" t="n">
        <v>-11948</v>
      </c>
      <c r="I3082" s="18" t="n">
        <v>-27079</v>
      </c>
      <c r="J3082" s="19" t="n">
        <v>-30713.678775</v>
      </c>
      <c r="K3082" s="35" t="n">
        <v>0.065</v>
      </c>
    </row>
    <row r="3083">
      <c r="A3083" s="36" t="inlineStr">
        <is>
          <t>AGA SPK-tilskudd</t>
        </is>
      </c>
      <c r="B3083" s="36" t="inlineStr">
        <is>
          <t>Region Øst</t>
        </is>
      </c>
      <c r="C3083" s="36" t="inlineStr">
        <is>
          <t>Kirkenær barnevern- og omsorgssenter  Edda ungdomshjem</t>
        </is>
      </c>
      <c r="D3083" s="26" t="n"/>
      <c r="E3083" s="26" t="n"/>
      <c r="F3083" s="26" t="n">
        <v>-231601</v>
      </c>
      <c r="G3083" s="26" t="n">
        <v>-238765</v>
      </c>
      <c r="H3083" s="26" t="n">
        <v>-71483</v>
      </c>
      <c r="I3083" s="26" t="n">
        <v>-1</v>
      </c>
      <c r="J3083" s="19" t="n">
        <v>-1.134225</v>
      </c>
      <c r="K3083" s="37" t="n">
        <v>0.065</v>
      </c>
    </row>
    <row r="3084">
      <c r="A3084" s="34" t="inlineStr">
        <is>
          <t>AGA SPK-tilskudd</t>
        </is>
      </c>
      <c r="B3084" s="34" t="inlineStr">
        <is>
          <t>Region Øst</t>
        </is>
      </c>
      <c r="C3084" s="34" t="inlineStr">
        <is>
          <t>Kirkenær barnevern- og omsorgssenter  Edda ungdomshjem</t>
        </is>
      </c>
      <c r="D3084" s="18" t="n">
        <v>-487268</v>
      </c>
      <c r="E3084" s="18" t="n">
        <v>-719331</v>
      </c>
      <c r="F3084" s="18" t="n">
        <v>-1041152</v>
      </c>
      <c r="G3084" s="18" t="n">
        <v>-719922</v>
      </c>
      <c r="H3084" s="18" t="n">
        <v>-1430377</v>
      </c>
      <c r="I3084" s="18" t="n">
        <v>-1263630</v>
      </c>
      <c r="J3084" s="19" t="n">
        <v>-1433240.73675</v>
      </c>
      <c r="K3084" s="35" t="n">
        <v>0.065</v>
      </c>
    </row>
    <row r="3085">
      <c r="A3085" s="36" t="inlineStr">
        <is>
          <t>AGA SPK-tilskudd</t>
        </is>
      </c>
      <c r="B3085" s="36" t="inlineStr">
        <is>
          <t>Region Øst</t>
        </is>
      </c>
      <c r="C3085" s="36" t="inlineStr">
        <is>
          <t>Kirkenær barnevern- og omsorgssenter  Snorre ungdomshjem</t>
        </is>
      </c>
      <c r="D3085" s="26" t="n">
        <v>107585</v>
      </c>
      <c r="E3085" s="26" t="n">
        <v>99152</v>
      </c>
      <c r="F3085" s="26" t="n">
        <v>68825</v>
      </c>
      <c r="G3085" s="26" t="n">
        <v>95649</v>
      </c>
      <c r="H3085" s="26" t="n">
        <v>98489</v>
      </c>
      <c r="I3085" s="26" t="n">
        <v>107682</v>
      </c>
      <c r="J3085" s="19" t="n">
        <v>107720.8244833863</v>
      </c>
      <c r="K3085" s="37" t="n">
        <v>0.000180257538394013</v>
      </c>
    </row>
    <row r="3086">
      <c r="A3086" s="34" t="inlineStr">
        <is>
          <t>AGA SPK-tilskudd</t>
        </is>
      </c>
      <c r="B3086" s="34" t="inlineStr">
        <is>
          <t>Region Øst</t>
        </is>
      </c>
      <c r="C3086" s="34" t="inlineStr">
        <is>
          <t>Kirkenær barnevern- og omsorgssenter  Snorre ungdomshjem</t>
        </is>
      </c>
      <c r="D3086" s="18" t="n">
        <v>7675</v>
      </c>
      <c r="E3086" s="18" t="n">
        <v>11470</v>
      </c>
      <c r="F3086" s="18" t="n">
        <v>125776</v>
      </c>
      <c r="G3086" s="18" t="n">
        <v>232925</v>
      </c>
      <c r="H3086" s="18" t="n">
        <v>207142</v>
      </c>
      <c r="I3086" s="18" t="n">
        <v>108124</v>
      </c>
      <c r="J3086" s="19" t="n">
        <v>168943.75</v>
      </c>
      <c r="K3086" s="35" t="n">
        <v>0.25</v>
      </c>
    </row>
    <row r="3087">
      <c r="A3087" s="36" t="inlineStr">
        <is>
          <t>AGA SPK-tilskudd</t>
        </is>
      </c>
      <c r="B3087" s="36" t="inlineStr">
        <is>
          <t>Region Øst</t>
        </is>
      </c>
      <c r="C3087" s="36" t="inlineStr">
        <is>
          <t>Kirkenær barnevern- og omsorgssenter  Snorre ungdomshjem</t>
        </is>
      </c>
      <c r="D3087" s="26" t="n">
        <v>8794</v>
      </c>
      <c r="E3087" s="26" t="n">
        <v>40094</v>
      </c>
      <c r="F3087" s="26" t="n">
        <v>69436</v>
      </c>
      <c r="G3087" s="26" t="n">
        <v>49672</v>
      </c>
      <c r="H3087" s="26" t="n">
        <v>96496</v>
      </c>
      <c r="I3087" s="26" t="n">
        <v>82775</v>
      </c>
      <c r="J3087" s="19" t="n">
        <v>129335.9375</v>
      </c>
      <c r="K3087" s="37" t="n">
        <v>0.25</v>
      </c>
    </row>
    <row r="3088">
      <c r="A3088" s="34" t="inlineStr">
        <is>
          <t>AGA SPK-tilskudd</t>
        </is>
      </c>
      <c r="B3088" s="34" t="inlineStr">
        <is>
          <t>Region Øst</t>
        </is>
      </c>
      <c r="C3088" s="34" t="inlineStr">
        <is>
          <t>Kirkenær barnevern- og omsorgssenter  Snorre ungdomshjem</t>
        </is>
      </c>
      <c r="D3088" s="18" t="n">
        <v>27900</v>
      </c>
      <c r="E3088" s="18" t="n">
        <v>30173</v>
      </c>
      <c r="F3088" s="18" t="n">
        <v>35787</v>
      </c>
      <c r="G3088" s="18" t="n">
        <v>37599</v>
      </c>
      <c r="H3088" s="18" t="n">
        <v>47175</v>
      </c>
      <c r="I3088" s="18" t="n">
        <v>60407</v>
      </c>
      <c r="J3088" s="19" t="n">
        <v>82277.3875573252</v>
      </c>
      <c r="K3088" s="35" t="n">
        <v>0.1670692137685932</v>
      </c>
    </row>
    <row r="3089">
      <c r="A3089" s="36" t="inlineStr">
        <is>
          <t>AGA SPK-tilskudd</t>
        </is>
      </c>
      <c r="B3089" s="36" t="inlineStr">
        <is>
          <t>Region Øst</t>
        </is>
      </c>
      <c r="C3089" s="36" t="inlineStr">
        <is>
          <t>Kirkenær barnevern- og omsorgssenter  Snorre ungdomshjem</t>
        </is>
      </c>
      <c r="D3089" s="26" t="n">
        <v>4761</v>
      </c>
      <c r="E3089" s="26" t="n">
        <v>1045</v>
      </c>
      <c r="F3089" s="26" t="n">
        <v>4222</v>
      </c>
      <c r="G3089" s="26" t="n">
        <v>5197</v>
      </c>
      <c r="H3089" s="26" t="n">
        <v>7140</v>
      </c>
      <c r="I3089" s="26" t="n">
        <v>4549</v>
      </c>
      <c r="J3089" s="19" t="n">
        <v>4466.867178267311</v>
      </c>
      <c r="K3089" s="37" t="n">
        <v>-0.009068689451043777</v>
      </c>
    </row>
    <row r="3090">
      <c r="A3090" s="34" t="inlineStr">
        <is>
          <t>AGA SPK-tilskudd</t>
        </is>
      </c>
      <c r="B3090" s="34" t="inlineStr">
        <is>
          <t>Region Øst</t>
        </is>
      </c>
      <c r="C3090" s="34" t="inlineStr">
        <is>
          <t>Kirkenær barnevern- og omsorgssenter  Snorre ungdomshjem</t>
        </is>
      </c>
      <c r="D3090" s="18" t="n">
        <v>5639</v>
      </c>
      <c r="E3090" s="18" t="n">
        <v>912</v>
      </c>
      <c r="F3090" s="18" t="n">
        <v>8195</v>
      </c>
      <c r="G3090" s="18" t="n">
        <v>5076</v>
      </c>
      <c r="H3090" s="18" t="n">
        <v>14085</v>
      </c>
      <c r="I3090" s="18" t="n">
        <v>11228</v>
      </c>
      <c r="J3090" s="19" t="n">
        <v>14789.12663556718</v>
      </c>
      <c r="K3090" s="35" t="n">
        <v>0.1476780137566231</v>
      </c>
    </row>
    <row r="3091">
      <c r="A3091" s="36" t="inlineStr">
        <is>
          <t>AGA SPK-tilskudd</t>
        </is>
      </c>
      <c r="B3091" s="36" t="inlineStr">
        <is>
          <t>Region Øst</t>
        </is>
      </c>
      <c r="C3091" s="36" t="inlineStr">
        <is>
          <t>Kirkenær barnevern- og omsorgssenter  Snorre ungdomshjem</t>
        </is>
      </c>
      <c r="D3091" s="26" t="n">
        <v>4750</v>
      </c>
      <c r="E3091" s="26" t="n"/>
      <c r="F3091" s="26" t="n">
        <v>7960</v>
      </c>
      <c r="G3091" s="26" t="n">
        <v>14672</v>
      </c>
      <c r="H3091" s="26" t="n">
        <v>2743</v>
      </c>
      <c r="I3091" s="26" t="n">
        <v>825</v>
      </c>
      <c r="J3091" s="19" t="n">
        <v>464.0625</v>
      </c>
      <c r="K3091" s="37" t="n">
        <v>-0.25</v>
      </c>
    </row>
    <row r="3092">
      <c r="A3092" s="34" t="inlineStr">
        <is>
          <t>AGA SPK-tilskudd</t>
        </is>
      </c>
      <c r="B3092" s="34" t="inlineStr">
        <is>
          <t>Region Øst</t>
        </is>
      </c>
      <c r="C3092" s="34" t="inlineStr">
        <is>
          <t>Kirkenær barnevern- og omsorgssenter  Snorre ungdomshjem</t>
        </is>
      </c>
      <c r="D3092" s="18" t="n">
        <v>7018</v>
      </c>
      <c r="E3092" s="18" t="n">
        <v>10441</v>
      </c>
      <c r="F3092" s="18" t="n">
        <v>8696</v>
      </c>
      <c r="G3092" s="18" t="n">
        <v>3064</v>
      </c>
      <c r="H3092" s="18" t="n">
        <v>8895</v>
      </c>
      <c r="I3092" s="18" t="n">
        <v>3442</v>
      </c>
      <c r="J3092" s="19" t="n">
        <v>2588.510117640175</v>
      </c>
      <c r="K3092" s="35" t="n">
        <v>-0.1327995382831544</v>
      </c>
    </row>
    <row r="3093">
      <c r="A3093" s="36" t="inlineStr">
        <is>
          <t>AGA SPK-tilskudd</t>
        </is>
      </c>
      <c r="B3093" s="36" t="inlineStr">
        <is>
          <t>Region Øst</t>
        </is>
      </c>
      <c r="C3093" s="36" t="inlineStr">
        <is>
          <t>Kirkenær barnevern- og omsorgssenter  Snorre ungdomshjem</t>
        </is>
      </c>
      <c r="D3093" s="26" t="n">
        <v>2415</v>
      </c>
      <c r="E3093" s="26" t="n">
        <v>427</v>
      </c>
      <c r="F3093" s="26" t="n">
        <v>3537</v>
      </c>
      <c r="G3093" s="26" t="n">
        <v>3491</v>
      </c>
      <c r="H3093" s="26" t="n">
        <v>8860</v>
      </c>
      <c r="I3093" s="26" t="n">
        <v>5695</v>
      </c>
      <c r="J3093" s="19" t="n">
        <v>8026.465914574193</v>
      </c>
      <c r="K3093" s="37" t="n">
        <v>0.1871765750274792</v>
      </c>
    </row>
    <row r="3094">
      <c r="A3094" s="34" t="inlineStr">
        <is>
          <t>AGA SPK-tilskudd</t>
        </is>
      </c>
      <c r="B3094" s="34" t="inlineStr">
        <is>
          <t>Region Øst</t>
        </is>
      </c>
      <c r="C3094" s="34" t="inlineStr">
        <is>
          <t>Kirkenær barnevern- og omsorgssenter  Snorre ungdomshjem</t>
        </is>
      </c>
      <c r="D3094" s="18" t="n">
        <v>-28713</v>
      </c>
      <c r="E3094" s="18" t="n">
        <v>6532</v>
      </c>
      <c r="F3094" s="18" t="n">
        <v>-19037</v>
      </c>
      <c r="G3094" s="18" t="n">
        <v>-10390</v>
      </c>
      <c r="H3094" s="18" t="n">
        <v>112</v>
      </c>
      <c r="I3094" s="18" t="n">
        <v>-22624</v>
      </c>
      <c r="J3094" s="19" t="n">
        <v>-25660.7064</v>
      </c>
      <c r="K3094" s="35" t="n">
        <v>0.065</v>
      </c>
    </row>
    <row r="3095">
      <c r="A3095" s="36" t="inlineStr">
        <is>
          <t>AGA SPK-tilskudd</t>
        </is>
      </c>
      <c r="B3095" s="36" t="inlineStr">
        <is>
          <t>Region Øst</t>
        </is>
      </c>
      <c r="C3095" s="36" t="inlineStr">
        <is>
          <t>Kirkenær barnevern- og omsorgssenter  Snorre ungdomshjem</t>
        </is>
      </c>
      <c r="D3095" s="26" t="n">
        <v>-41675</v>
      </c>
      <c r="E3095" s="26" t="n">
        <v>-4251</v>
      </c>
      <c r="F3095" s="26" t="n"/>
      <c r="G3095" s="26" t="n">
        <v>-370222</v>
      </c>
      <c r="H3095" s="26" t="n">
        <v>-388625</v>
      </c>
      <c r="I3095" s="26" t="n">
        <v>-223395</v>
      </c>
      <c r="J3095" s="19" t="n">
        <v>-253380.193875</v>
      </c>
      <c r="K3095" s="37" t="n">
        <v>0.065</v>
      </c>
    </row>
    <row r="3096">
      <c r="A3096" s="34" t="inlineStr">
        <is>
          <t>AGA SPK-tilskudd</t>
        </is>
      </c>
      <c r="B3096" s="34" t="inlineStr">
        <is>
          <t>Region Øst</t>
        </is>
      </c>
      <c r="C3096" s="34" t="inlineStr">
        <is>
          <t>Kirkenær barnevern- og omsorgssenter  Snorre ungdomshjem</t>
        </is>
      </c>
      <c r="D3096" s="18" t="n">
        <v>-243395</v>
      </c>
      <c r="E3096" s="18" t="n">
        <v>-81005</v>
      </c>
      <c r="F3096" s="18" t="n">
        <v>-265106</v>
      </c>
      <c r="G3096" s="18" t="n">
        <v>-536186</v>
      </c>
      <c r="H3096" s="18" t="n">
        <v>-152338</v>
      </c>
      <c r="I3096" s="18" t="n">
        <v>-651123</v>
      </c>
      <c r="J3096" s="19" t="n">
        <v>-738519.9846749998</v>
      </c>
      <c r="K3096" s="35" t="n">
        <v>0.065</v>
      </c>
    </row>
    <row r="3097">
      <c r="A3097" s="36" t="inlineStr">
        <is>
          <t>AGA SPK-tilskudd</t>
        </is>
      </c>
      <c r="B3097" s="36" t="inlineStr">
        <is>
          <t>Region Øst</t>
        </is>
      </c>
      <c r="C3097" s="36" t="inlineStr">
        <is>
          <t>Kirkenær barnevern- og omsorgssenter Avdeling Balder</t>
        </is>
      </c>
      <c r="D3097" s="26" t="n">
        <v>66894</v>
      </c>
      <c r="E3097" s="26" t="n">
        <v>99513</v>
      </c>
      <c r="F3097" s="26" t="n">
        <v>63107</v>
      </c>
      <c r="G3097" s="26" t="n">
        <v>74006</v>
      </c>
      <c r="H3097" s="26" t="n">
        <v>91114</v>
      </c>
      <c r="I3097" s="26" t="n">
        <v>90398</v>
      </c>
      <c r="J3097" s="19" t="n">
        <v>101968.8413604143</v>
      </c>
      <c r="K3097" s="37" t="n">
        <v>0.06207290925869735</v>
      </c>
    </row>
    <row r="3098">
      <c r="A3098" s="34" t="inlineStr">
        <is>
          <t>AGA SPK-tilskudd</t>
        </is>
      </c>
      <c r="B3098" s="34" t="inlineStr">
        <is>
          <t>Region Øst</t>
        </is>
      </c>
      <c r="C3098" s="34" t="inlineStr">
        <is>
          <t>Kirkenær barnevern- og omsorgssenter Avdeling Balder</t>
        </is>
      </c>
      <c r="D3098" s="18" t="n">
        <v>153901</v>
      </c>
      <c r="E3098" s="18" t="n">
        <v>289249</v>
      </c>
      <c r="F3098" s="18" t="n">
        <v>123295</v>
      </c>
      <c r="G3098" s="18" t="n">
        <v>193798</v>
      </c>
      <c r="H3098" s="18" t="n">
        <v>233490</v>
      </c>
      <c r="I3098" s="18" t="n">
        <v>46308</v>
      </c>
      <c r="J3098" s="19" t="n">
        <v>28643.22125803379</v>
      </c>
      <c r="K3098" s="35" t="n">
        <v>-0.2135286318205271</v>
      </c>
    </row>
    <row r="3099">
      <c r="A3099" s="36" t="inlineStr">
        <is>
          <t>AGA SPK-tilskudd</t>
        </is>
      </c>
      <c r="B3099" s="36" t="inlineStr">
        <is>
          <t>Region Øst</t>
        </is>
      </c>
      <c r="C3099" s="36" t="inlineStr">
        <is>
          <t>Kirkenær barnevern- og omsorgssenter Avdeling Balder</t>
        </is>
      </c>
      <c r="D3099" s="26" t="n">
        <v>3571</v>
      </c>
      <c r="E3099" s="26" t="n">
        <v>6936</v>
      </c>
      <c r="F3099" s="26" t="n">
        <v>17105</v>
      </c>
      <c r="G3099" s="26" t="n">
        <v>41237</v>
      </c>
      <c r="H3099" s="26" t="n">
        <v>39601</v>
      </c>
      <c r="I3099" s="26" t="n">
        <v>2194</v>
      </c>
      <c r="J3099" s="19" t="n">
        <v>1805.574166794174</v>
      </c>
      <c r="K3099" s="37" t="n">
        <v>-0.09282859026883727</v>
      </c>
    </row>
    <row r="3100">
      <c r="A3100" s="34" t="inlineStr">
        <is>
          <t>AGA SPK-tilskudd</t>
        </is>
      </c>
      <c r="B3100" s="34" t="inlineStr">
        <is>
          <t>Region Øst</t>
        </is>
      </c>
      <c r="C3100" s="34" t="inlineStr">
        <is>
          <t>Kirkenær barnevern- og omsorgssenter Avdeling Balder</t>
        </is>
      </c>
      <c r="D3100" s="18" t="n">
        <v>14200</v>
      </c>
      <c r="E3100" s="18" t="n">
        <v>30568</v>
      </c>
      <c r="F3100" s="18" t="n">
        <v>30368</v>
      </c>
      <c r="G3100" s="18" t="n">
        <v>37875</v>
      </c>
      <c r="H3100" s="18" t="n">
        <v>50505</v>
      </c>
      <c r="I3100" s="18" t="n">
        <v>61993</v>
      </c>
      <c r="J3100" s="19" t="n">
        <v>96864.0625</v>
      </c>
      <c r="K3100" s="35" t="n">
        <v>0.25</v>
      </c>
    </row>
    <row r="3101">
      <c r="A3101" s="36" t="inlineStr">
        <is>
          <t>AGA SPK-tilskudd</t>
        </is>
      </c>
      <c r="B3101" s="36" t="inlineStr">
        <is>
          <t>Region Øst</t>
        </is>
      </c>
      <c r="C3101" s="36" t="inlineStr">
        <is>
          <t>Kirkenær barnevern- og omsorgssenter Avdeling Balder</t>
        </is>
      </c>
      <c r="D3101" s="26" t="n">
        <v>324</v>
      </c>
      <c r="E3101" s="26" t="n">
        <v>2478</v>
      </c>
      <c r="F3101" s="26" t="n">
        <v>4508</v>
      </c>
      <c r="G3101" s="26" t="n">
        <v>4382</v>
      </c>
      <c r="H3101" s="26" t="n">
        <v>8197</v>
      </c>
      <c r="I3101" s="26" t="n">
        <v>2576</v>
      </c>
      <c r="J3101" s="19" t="n">
        <v>4025</v>
      </c>
      <c r="K3101" s="37" t="n">
        <v>0.25</v>
      </c>
    </row>
    <row r="3102">
      <c r="A3102" s="34" t="inlineStr">
        <is>
          <t>AGA SPK-tilskudd</t>
        </is>
      </c>
      <c r="B3102" s="34" t="inlineStr">
        <is>
          <t>Region Øst</t>
        </is>
      </c>
      <c r="C3102" s="34" t="inlineStr">
        <is>
          <t>Kirkenær barnevern- og omsorgssenter Avdeling Balder</t>
        </is>
      </c>
      <c r="D3102" s="18" t="n"/>
      <c r="E3102" s="18" t="n"/>
      <c r="F3102" s="18" t="n">
        <v>3630</v>
      </c>
      <c r="G3102" s="18" t="n">
        <v>556</v>
      </c>
      <c r="H3102" s="18" t="n">
        <v>10564</v>
      </c>
      <c r="I3102" s="18" t="n">
        <v>2581</v>
      </c>
      <c r="J3102" s="19" t="n">
        <v>2927.434725</v>
      </c>
      <c r="K3102" s="35" t="n">
        <v>0.065</v>
      </c>
    </row>
    <row r="3103">
      <c r="A3103" s="36" t="inlineStr">
        <is>
          <t>AGA SPK-tilskudd</t>
        </is>
      </c>
      <c r="B3103" s="36" t="inlineStr">
        <is>
          <t>Region Øst</t>
        </is>
      </c>
      <c r="C3103" s="36" t="inlineStr">
        <is>
          <t>Kirkenær barnevern- og omsorgssenter Avdeling Balder</t>
        </is>
      </c>
      <c r="D3103" s="26" t="n"/>
      <c r="E3103" s="26" t="n"/>
      <c r="F3103" s="26" t="n">
        <v>7797</v>
      </c>
      <c r="G3103" s="26" t="n">
        <v>10062</v>
      </c>
      <c r="H3103" s="26" t="n"/>
      <c r="I3103" s="26" t="n">
        <v>290</v>
      </c>
      <c r="J3103" s="19" t="n">
        <v>328.9252499999999</v>
      </c>
      <c r="K3103" s="37" t="n">
        <v>0.065</v>
      </c>
    </row>
    <row r="3104">
      <c r="A3104" s="34" t="inlineStr">
        <is>
          <t>AGA SPK-tilskudd</t>
        </is>
      </c>
      <c r="B3104" s="34" t="inlineStr">
        <is>
          <t>Region Øst</t>
        </is>
      </c>
      <c r="C3104" s="34" t="inlineStr">
        <is>
          <t>Kirkenær barnevern- og omsorgssenter Avdeling Balder</t>
        </is>
      </c>
      <c r="D3104" s="18" t="n"/>
      <c r="E3104" s="18" t="n">
        <v>11518</v>
      </c>
      <c r="F3104" s="18" t="n">
        <v>4792</v>
      </c>
      <c r="G3104" s="18" t="n">
        <v>5724</v>
      </c>
      <c r="H3104" s="18" t="n">
        <v>7422</v>
      </c>
      <c r="I3104" s="18" t="n">
        <v>1457</v>
      </c>
      <c r="J3104" s="19" t="n">
        <v>819.5625</v>
      </c>
      <c r="K3104" s="35" t="n">
        <v>-0.25</v>
      </c>
    </row>
    <row r="3105">
      <c r="A3105" s="36" t="inlineStr">
        <is>
          <t>AGA SPK-tilskudd</t>
        </is>
      </c>
      <c r="B3105" s="36" t="inlineStr">
        <is>
          <t>Region Øst</t>
        </is>
      </c>
      <c r="C3105" s="36" t="inlineStr">
        <is>
          <t>Kirkenær barnevern- og omsorgssenter Avdeling Balder</t>
        </is>
      </c>
      <c r="D3105" s="26" t="n">
        <v>38</v>
      </c>
      <c r="E3105" s="26" t="n">
        <v>375</v>
      </c>
      <c r="F3105" s="26" t="n">
        <v>2101</v>
      </c>
      <c r="G3105" s="26" t="n">
        <v>1637</v>
      </c>
      <c r="H3105" s="26" t="n">
        <v>7750</v>
      </c>
      <c r="I3105" s="26" t="n">
        <v>2424</v>
      </c>
      <c r="J3105" s="19" t="n">
        <v>3787.5</v>
      </c>
      <c r="K3105" s="37" t="n">
        <v>0.25</v>
      </c>
    </row>
    <row r="3106">
      <c r="A3106" s="34" t="inlineStr">
        <is>
          <t>AGA SPK-tilskudd</t>
        </is>
      </c>
      <c r="B3106" s="34" t="inlineStr">
        <is>
          <t>Region Øst</t>
        </is>
      </c>
      <c r="C3106" s="34" t="inlineStr">
        <is>
          <t>Kirkenær barnevern- og omsorgssenter Avdeling Balder</t>
        </is>
      </c>
      <c r="D3106" s="18" t="n">
        <v>-1217</v>
      </c>
      <c r="E3106" s="18" t="n"/>
      <c r="F3106" s="18" t="n"/>
      <c r="G3106" s="18" t="n"/>
      <c r="H3106" s="18" t="n"/>
      <c r="I3106" s="18" t="n"/>
      <c r="J3106" s="19" t="n">
        <v>0</v>
      </c>
      <c r="K3106" s="35" t="n">
        <v>0.065</v>
      </c>
    </row>
    <row r="3107">
      <c r="A3107" s="36" t="inlineStr">
        <is>
          <t>AGA SPK-tilskudd</t>
        </is>
      </c>
      <c r="B3107" s="36" t="inlineStr">
        <is>
          <t>Region Øst</t>
        </is>
      </c>
      <c r="C3107" s="36" t="inlineStr">
        <is>
          <t>Kirkenær barnevern- og omsorgssenter Avdeling Balder</t>
        </is>
      </c>
      <c r="D3107" s="26" t="n">
        <v>-11448</v>
      </c>
      <c r="E3107" s="26" t="n">
        <v>32241</v>
      </c>
      <c r="F3107" s="26" t="n">
        <v>-12376</v>
      </c>
      <c r="G3107" s="26" t="n">
        <v>-13462</v>
      </c>
      <c r="H3107" s="26" t="n">
        <v>-16085</v>
      </c>
      <c r="I3107" s="26" t="n">
        <v>-12083</v>
      </c>
      <c r="J3107" s="19" t="n">
        <v>-13704.840675</v>
      </c>
      <c r="K3107" s="37" t="n">
        <v>0.065</v>
      </c>
    </row>
    <row r="3108">
      <c r="A3108" s="34" t="inlineStr">
        <is>
          <t>AGA SPK-tilskudd</t>
        </is>
      </c>
      <c r="B3108" s="34" t="inlineStr">
        <is>
          <t>Region Øst</t>
        </is>
      </c>
      <c r="C3108" s="34" t="inlineStr">
        <is>
          <t>Kirkenær barnevern- og omsorgssenter Avdeling Balder</t>
        </is>
      </c>
      <c r="D3108" s="18" t="n"/>
      <c r="E3108" s="18" t="n"/>
      <c r="F3108" s="18" t="n"/>
      <c r="G3108" s="18" t="n"/>
      <c r="H3108" s="18" t="n"/>
      <c r="I3108" s="18" t="n">
        <v>-52631</v>
      </c>
      <c r="J3108" s="19" t="n">
        <v>-59695.39597499999</v>
      </c>
      <c r="K3108" s="35" t="n">
        <v>0.065</v>
      </c>
    </row>
    <row r="3109">
      <c r="A3109" s="36" t="inlineStr">
        <is>
          <t>AGA SPK-tilskudd</t>
        </is>
      </c>
      <c r="B3109" s="36" t="inlineStr">
        <is>
          <t>Region Øst</t>
        </is>
      </c>
      <c r="C3109" s="36" t="inlineStr">
        <is>
          <t>Kirkenær barnevern- og omsorgssenter Avdeling Balder</t>
        </is>
      </c>
      <c r="D3109" s="26" t="n"/>
      <c r="E3109" s="26" t="n">
        <v>-135395</v>
      </c>
      <c r="F3109" s="26" t="n">
        <v>-123228</v>
      </c>
      <c r="G3109" s="26" t="n">
        <v>-327753</v>
      </c>
      <c r="H3109" s="26" t="n">
        <v>-170473</v>
      </c>
      <c r="I3109" s="26" t="n">
        <v>-615481</v>
      </c>
      <c r="J3109" s="19" t="n">
        <v>-698093.9372249999</v>
      </c>
      <c r="K3109" s="37" t="n">
        <v>0.065</v>
      </c>
    </row>
    <row r="3110">
      <c r="A3110" s="34" t="inlineStr">
        <is>
          <t>AGA SPK-tilskudd</t>
        </is>
      </c>
      <c r="B3110" s="34" t="inlineStr">
        <is>
          <t>Region Øst</t>
        </is>
      </c>
      <c r="C3110" s="34" t="inlineStr">
        <is>
          <t>Kirkenær barnevern- og omsorgssenter Avdeling Balder</t>
        </is>
      </c>
      <c r="D3110" s="18" t="n">
        <v>-149454</v>
      </c>
      <c r="E3110" s="18" t="n">
        <v>-704311</v>
      </c>
      <c r="F3110" s="18" t="n">
        <v>-518042</v>
      </c>
      <c r="G3110" s="18" t="n">
        <v>-232849</v>
      </c>
      <c r="H3110" s="18" t="n">
        <v>-149170</v>
      </c>
      <c r="I3110" s="18" t="n">
        <v>-1393482</v>
      </c>
      <c r="J3110" s="19" t="n">
        <v>-1580522.12145</v>
      </c>
      <c r="K3110" s="35" t="n">
        <v>0.065</v>
      </c>
    </row>
    <row r="3111">
      <c r="A3111" s="36" t="inlineStr">
        <is>
          <t>AGA SPK-tilskudd</t>
        </is>
      </c>
      <c r="B3111" s="36" t="inlineStr">
        <is>
          <t>Region Øst</t>
        </is>
      </c>
      <c r="C3111" s="36" t="inlineStr">
        <is>
          <t>Kirkenær barnevern- og omsorgssenter avdeling for spesialiserte fosterhjem</t>
        </is>
      </c>
      <c r="D3111" s="26" t="n">
        <v>21981</v>
      </c>
      <c r="E3111" s="26" t="n">
        <v>18750</v>
      </c>
      <c r="F3111" s="26" t="n">
        <v>-10494</v>
      </c>
      <c r="G3111" s="26" t="n"/>
      <c r="H3111" s="26" t="n"/>
      <c r="I3111" s="26" t="n"/>
      <c r="J3111" s="19" t="n">
        <v>0</v>
      </c>
      <c r="K3111" s="37" t="n">
        <v>0.065</v>
      </c>
    </row>
    <row r="3112">
      <c r="A3112" s="34" t="inlineStr">
        <is>
          <t>AGA SPK-tilskudd</t>
        </is>
      </c>
      <c r="B3112" s="34" t="inlineStr">
        <is>
          <t>Region Øst</t>
        </is>
      </c>
      <c r="C3112" s="34" t="inlineStr">
        <is>
          <t>Kirkenær barnevern- og omsorgssenter avdeling for spesialiserte fosterhjem</t>
        </is>
      </c>
      <c r="D3112" s="18" t="n">
        <v>4702</v>
      </c>
      <c r="E3112" s="18" t="n">
        <v>1638</v>
      </c>
      <c r="F3112" s="18" t="n"/>
      <c r="G3112" s="18" t="n"/>
      <c r="H3112" s="18" t="n">
        <v>3909</v>
      </c>
      <c r="I3112" s="18" t="n"/>
      <c r="J3112" s="19" t="n">
        <v>0</v>
      </c>
      <c r="K3112" s="35" t="n">
        <v>0.065</v>
      </c>
    </row>
    <row r="3113">
      <c r="A3113" s="36" t="inlineStr">
        <is>
          <t>AGA SPK-tilskudd</t>
        </is>
      </c>
      <c r="B3113" s="36" t="inlineStr">
        <is>
          <t>Region Øst</t>
        </is>
      </c>
      <c r="C3113" s="36" t="inlineStr">
        <is>
          <t>Kirkenær barnevern- og omsorgssenter avdeling for spesialiserte fosterhjem</t>
        </is>
      </c>
      <c r="D3113" s="26" t="n">
        <v>2400</v>
      </c>
      <c r="E3113" s="26" t="n">
        <v>2454</v>
      </c>
      <c r="F3113" s="26" t="n"/>
      <c r="G3113" s="26" t="n"/>
      <c r="H3113" s="26" t="n"/>
      <c r="I3113" s="26" t="n"/>
      <c r="J3113" s="19" t="n">
        <v>0</v>
      </c>
      <c r="K3113" s="37" t="n">
        <v>0.065</v>
      </c>
    </row>
    <row r="3114">
      <c r="A3114" s="34" t="inlineStr">
        <is>
          <t>AGA SPK-tilskudd</t>
        </is>
      </c>
      <c r="B3114" s="34" t="inlineStr">
        <is>
          <t>Region Øst</t>
        </is>
      </c>
      <c r="C3114" s="34" t="inlineStr">
        <is>
          <t>Kirkenær barnevern- og omsorgssenter avdeling for spesialiserte fosterhjem</t>
        </is>
      </c>
      <c r="D3114" s="18" t="n">
        <v>54990</v>
      </c>
      <c r="E3114" s="18" t="n">
        <v>5845</v>
      </c>
      <c r="F3114" s="18" t="n"/>
      <c r="G3114" s="18" t="n">
        <v>13150</v>
      </c>
      <c r="H3114" s="18" t="n">
        <v>88308</v>
      </c>
      <c r="I3114" s="18" t="n">
        <v>4104</v>
      </c>
      <c r="J3114" s="19" t="n">
        <v>2308.5</v>
      </c>
      <c r="K3114" s="35" t="n">
        <v>-0.25</v>
      </c>
    </row>
    <row r="3115">
      <c r="A3115" s="36" t="inlineStr">
        <is>
          <t>AGA SPK-tilskudd</t>
        </is>
      </c>
      <c r="B3115" s="36" t="inlineStr">
        <is>
          <t>Region Øst</t>
        </is>
      </c>
      <c r="C3115" s="36" t="inlineStr">
        <is>
          <t>Kirkenær barnevern- og omsorgssenter avdeling for spesialiserte fosterhjem</t>
        </is>
      </c>
      <c r="D3115" s="26" t="n">
        <v>549340</v>
      </c>
      <c r="E3115" s="26" t="n">
        <v>571612</v>
      </c>
      <c r="F3115" s="26" t="n">
        <v>79656</v>
      </c>
      <c r="G3115" s="26" t="n"/>
      <c r="H3115" s="26" t="n"/>
      <c r="I3115" s="26" t="n"/>
      <c r="J3115" s="19" t="n">
        <v>0</v>
      </c>
      <c r="K3115" s="37" t="n">
        <v>0.065</v>
      </c>
    </row>
    <row r="3116">
      <c r="A3116" s="34" t="inlineStr">
        <is>
          <t>AGA SPK-tilskudd</t>
        </is>
      </c>
      <c r="B3116" s="34" t="inlineStr">
        <is>
          <t>Region Øst</t>
        </is>
      </c>
      <c r="C3116" s="34" t="inlineStr">
        <is>
          <t>Kirkenær barnevern- og omsorgssenter avdeling for spesialiserte fosterhjem</t>
        </is>
      </c>
      <c r="D3116" s="18" t="n">
        <v>17662</v>
      </c>
      <c r="E3116" s="18" t="n">
        <v>854</v>
      </c>
      <c r="F3116" s="18" t="n">
        <v>364</v>
      </c>
      <c r="G3116" s="18" t="n">
        <v>624</v>
      </c>
      <c r="H3116" s="18" t="n">
        <v>396</v>
      </c>
      <c r="I3116" s="18" t="n"/>
      <c r="J3116" s="19" t="n">
        <v>0</v>
      </c>
      <c r="K3116" s="35" t="n">
        <v>0.065</v>
      </c>
    </row>
    <row r="3117">
      <c r="A3117" s="36" t="inlineStr">
        <is>
          <t>AGA SPK-tilskudd</t>
        </is>
      </c>
      <c r="B3117" s="36" t="inlineStr">
        <is>
          <t>Region Øst</t>
        </is>
      </c>
      <c r="C3117" s="36" t="inlineStr">
        <is>
          <t>Kirkenær barnevern- og omsorgssenter avdeling for spesialiserte fosterhjem</t>
        </is>
      </c>
      <c r="D3117" s="26" t="n">
        <v>6600</v>
      </c>
      <c r="E3117" s="26" t="n">
        <v>4287</v>
      </c>
      <c r="F3117" s="26" t="n">
        <v>200</v>
      </c>
      <c r="G3117" s="26" t="n"/>
      <c r="H3117" s="26" t="n">
        <v>1560</v>
      </c>
      <c r="I3117" s="26" t="n"/>
      <c r="J3117" s="19" t="n">
        <v>0</v>
      </c>
      <c r="K3117" s="37" t="n">
        <v>0.065</v>
      </c>
    </row>
    <row r="3118">
      <c r="A3118" s="34" t="inlineStr">
        <is>
          <t>AGA SPK-tilskudd</t>
        </is>
      </c>
      <c r="B3118" s="34" t="inlineStr">
        <is>
          <t>Region Øst</t>
        </is>
      </c>
      <c r="C3118" s="34" t="inlineStr">
        <is>
          <t>Kirkenær barnevern- og omsorgssenter avdeling for spesialiserte fosterhjem</t>
        </is>
      </c>
      <c r="D3118" s="18" t="n"/>
      <c r="E3118" s="18" t="n">
        <v>378</v>
      </c>
      <c r="F3118" s="18" t="n"/>
      <c r="G3118" s="18" t="n"/>
      <c r="H3118" s="18" t="n"/>
      <c r="I3118" s="18" t="n"/>
      <c r="J3118" s="19" t="n">
        <v>0</v>
      </c>
      <c r="K3118" s="35" t="n">
        <v>0.065</v>
      </c>
    </row>
    <row r="3119">
      <c r="A3119" s="36" t="inlineStr">
        <is>
          <t>AGA SPK-tilskudd</t>
        </is>
      </c>
      <c r="B3119" s="36" t="inlineStr">
        <is>
          <t>Region Øst</t>
        </is>
      </c>
      <c r="C3119" s="36" t="inlineStr">
        <is>
          <t>Kirkenær barnevern- og omsorgssenter avdeling for spesialiserte fosterhjem</t>
        </is>
      </c>
      <c r="D3119" s="26" t="n"/>
      <c r="E3119" s="26" t="n">
        <v>386</v>
      </c>
      <c r="F3119" s="26" t="n"/>
      <c r="G3119" s="26" t="n"/>
      <c r="H3119" s="26" t="n"/>
      <c r="I3119" s="26" t="n"/>
      <c r="J3119" s="19" t="n">
        <v>0</v>
      </c>
      <c r="K3119" s="37" t="n">
        <v>0.065</v>
      </c>
    </row>
    <row r="3120">
      <c r="A3120" s="34" t="inlineStr">
        <is>
          <t>AGA SPK-tilskudd</t>
        </is>
      </c>
      <c r="B3120" s="34" t="inlineStr">
        <is>
          <t>Region Øst</t>
        </is>
      </c>
      <c r="C3120" s="34" t="inlineStr">
        <is>
          <t>Kirkenær barnevern- og omsorgssenter avdeling for spesialiserte fosterhjem</t>
        </is>
      </c>
      <c r="D3120" s="18" t="n">
        <v>6511</v>
      </c>
      <c r="E3120" s="18" t="n">
        <v>2468</v>
      </c>
      <c r="F3120" s="18" t="n">
        <v>170</v>
      </c>
      <c r="G3120" s="18" t="n">
        <v>153</v>
      </c>
      <c r="H3120" s="18" t="n">
        <v>1420</v>
      </c>
      <c r="I3120" s="18" t="n"/>
      <c r="J3120" s="19" t="n">
        <v>0</v>
      </c>
      <c r="K3120" s="35" t="n">
        <v>0.065</v>
      </c>
    </row>
    <row r="3121">
      <c r="A3121" s="36" t="inlineStr">
        <is>
          <t>AGA SPK-tilskudd</t>
        </is>
      </c>
      <c r="B3121" s="36" t="inlineStr">
        <is>
          <t>Region Øst</t>
        </is>
      </c>
      <c r="C3121" s="36" t="inlineStr">
        <is>
          <t>Kirkenær barnevern- og omsorgssenter avdeling for spesialiserte fosterhjem</t>
        </is>
      </c>
      <c r="D3121" s="26" t="n">
        <v>67882</v>
      </c>
      <c r="E3121" s="26" t="n">
        <v>17087</v>
      </c>
      <c r="F3121" s="26" t="n"/>
      <c r="G3121" s="26" t="n">
        <v>5680</v>
      </c>
      <c r="H3121" s="26" t="n">
        <v>38192</v>
      </c>
      <c r="I3121" s="26" t="n">
        <v>1776</v>
      </c>
      <c r="J3121" s="19" t="n">
        <v>999</v>
      </c>
      <c r="K3121" s="37" t="n">
        <v>-0.25</v>
      </c>
    </row>
    <row r="3122">
      <c r="A3122" s="34" t="inlineStr">
        <is>
          <t>AGA SPK-tilskudd</t>
        </is>
      </c>
      <c r="B3122" s="34" t="inlineStr">
        <is>
          <t>Region Øst</t>
        </is>
      </c>
      <c r="C3122" s="34" t="inlineStr">
        <is>
          <t>Kirkenær barnevern- og omsorgssenter avdeling for spesialiserte fosterhjem</t>
        </is>
      </c>
      <c r="D3122" s="18" t="n">
        <v>-204</v>
      </c>
      <c r="E3122" s="18" t="n">
        <v>-1200</v>
      </c>
      <c r="F3122" s="18" t="n"/>
      <c r="G3122" s="18" t="n"/>
      <c r="H3122" s="18" t="n">
        <v>972</v>
      </c>
      <c r="I3122" s="18" t="n"/>
      <c r="J3122" s="19" t="n">
        <v>0</v>
      </c>
      <c r="K3122" s="35" t="n">
        <v>0.065</v>
      </c>
    </row>
    <row r="3123">
      <c r="A3123" s="36" t="inlineStr">
        <is>
          <t>AGA SPK-tilskudd</t>
        </is>
      </c>
      <c r="B3123" s="36" t="inlineStr">
        <is>
          <t>Region Øst</t>
        </is>
      </c>
      <c r="C3123" s="36" t="inlineStr">
        <is>
          <t>Kirkenær barnevern- og omsorgssenter avdeling for spesialiserte fosterhjem</t>
        </is>
      </c>
      <c r="D3123" s="26" t="n">
        <v>-5489</v>
      </c>
      <c r="E3123" s="26" t="n"/>
      <c r="F3123" s="26" t="n"/>
      <c r="G3123" s="26" t="n"/>
      <c r="H3123" s="26" t="n"/>
      <c r="I3123" s="26" t="n"/>
      <c r="J3123" s="19" t="n">
        <v>0</v>
      </c>
      <c r="K3123" s="37" t="n">
        <v>0.065</v>
      </c>
    </row>
    <row r="3124">
      <c r="A3124" s="34" t="inlineStr">
        <is>
          <t>AGA SPK-tilskudd</t>
        </is>
      </c>
      <c r="B3124" s="34" t="inlineStr">
        <is>
          <t>Region Øst</t>
        </is>
      </c>
      <c r="C3124" s="34" t="inlineStr">
        <is>
          <t>Lierfoss ungdoms- og familiesenter - avdeling Skogtun</t>
        </is>
      </c>
      <c r="D3124" s="18" t="n"/>
      <c r="E3124" s="18" t="n"/>
      <c r="F3124" s="18" t="n"/>
      <c r="G3124" s="18" t="n">
        <v>8157</v>
      </c>
      <c r="H3124" s="18" t="n">
        <v>160638</v>
      </c>
      <c r="I3124" s="18" t="n">
        <v>178181</v>
      </c>
      <c r="J3124" s="19" t="n">
        <v>202097.344725</v>
      </c>
      <c r="K3124" s="35" t="n">
        <v>0.065</v>
      </c>
    </row>
    <row r="3125">
      <c r="A3125" s="36" t="inlineStr">
        <is>
          <t>AGA SPK-tilskudd</t>
        </is>
      </c>
      <c r="B3125" s="36" t="inlineStr">
        <is>
          <t>Region Øst</t>
        </is>
      </c>
      <c r="C3125" s="36" t="inlineStr">
        <is>
          <t>Lierfoss ungdoms- og familiesenter - avdeling Skogtun</t>
        </is>
      </c>
      <c r="D3125" s="26" t="n"/>
      <c r="E3125" s="26" t="n"/>
      <c r="F3125" s="26" t="n"/>
      <c r="G3125" s="26" t="n"/>
      <c r="H3125" s="26" t="n">
        <v>45265</v>
      </c>
      <c r="I3125" s="26" t="n">
        <v>118378</v>
      </c>
      <c r="J3125" s="19" t="n">
        <v>134267.28705</v>
      </c>
      <c r="K3125" s="37" t="n">
        <v>0.065</v>
      </c>
    </row>
    <row r="3126">
      <c r="A3126" s="34" t="inlineStr">
        <is>
          <t>AGA SPK-tilskudd</t>
        </is>
      </c>
      <c r="B3126" s="34" t="inlineStr">
        <is>
          <t>Region Øst</t>
        </is>
      </c>
      <c r="C3126" s="34" t="inlineStr">
        <is>
          <t>Lierfoss ungdoms- og familiesenter - avdeling Skogtun</t>
        </is>
      </c>
      <c r="D3126" s="18" t="n"/>
      <c r="E3126" s="18" t="n"/>
      <c r="F3126" s="18" t="n"/>
      <c r="G3126" s="18" t="n">
        <v>319</v>
      </c>
      <c r="H3126" s="18" t="n">
        <v>27022</v>
      </c>
      <c r="I3126" s="18" t="n">
        <v>4681</v>
      </c>
      <c r="J3126" s="19" t="n">
        <v>5309.307225</v>
      </c>
      <c r="K3126" s="35" t="n">
        <v>0.065</v>
      </c>
    </row>
    <row r="3127">
      <c r="A3127" s="36" t="inlineStr">
        <is>
          <t>AGA SPK-tilskudd</t>
        </is>
      </c>
      <c r="B3127" s="36" t="inlineStr">
        <is>
          <t>Region Øst</t>
        </is>
      </c>
      <c r="C3127" s="36" t="inlineStr">
        <is>
          <t>Lierfoss ungdoms- og familiesenter - avdeling Skogtun</t>
        </is>
      </c>
      <c r="D3127" s="26" t="n"/>
      <c r="E3127" s="26" t="n"/>
      <c r="F3127" s="26" t="n"/>
      <c r="G3127" s="26" t="n">
        <v>1726</v>
      </c>
      <c r="H3127" s="26" t="n">
        <v>34271</v>
      </c>
      <c r="I3127" s="26" t="n">
        <v>39791</v>
      </c>
      <c r="J3127" s="19" t="n">
        <v>45131.94697499999</v>
      </c>
      <c r="K3127" s="37" t="n">
        <v>0.065</v>
      </c>
    </row>
    <row r="3128">
      <c r="A3128" s="34" t="inlineStr">
        <is>
          <t>AGA SPK-tilskudd</t>
        </is>
      </c>
      <c r="B3128" s="34" t="inlineStr">
        <is>
          <t>Region Øst</t>
        </is>
      </c>
      <c r="C3128" s="34" t="inlineStr">
        <is>
          <t>Lierfoss ungdoms- og familiesenter - avdeling Skogtun</t>
        </is>
      </c>
      <c r="D3128" s="18" t="n"/>
      <c r="E3128" s="18" t="n"/>
      <c r="F3128" s="18" t="n"/>
      <c r="G3128" s="18" t="n"/>
      <c r="H3128" s="18" t="n">
        <v>1290</v>
      </c>
      <c r="I3128" s="18" t="n">
        <v>2623</v>
      </c>
      <c r="J3128" s="19" t="n">
        <v>2975.072174999999</v>
      </c>
      <c r="K3128" s="35" t="n">
        <v>0.065</v>
      </c>
    </row>
    <row r="3129">
      <c r="A3129" s="36" t="inlineStr">
        <is>
          <t>AGA SPK-tilskudd</t>
        </is>
      </c>
      <c r="B3129" s="36" t="inlineStr">
        <is>
          <t>Region Øst</t>
        </is>
      </c>
      <c r="C3129" s="36" t="inlineStr">
        <is>
          <t>Lierfoss ungdoms- og familiesenter - avdeling Skogtun</t>
        </is>
      </c>
      <c r="D3129" s="26" t="n"/>
      <c r="E3129" s="26" t="n"/>
      <c r="F3129" s="26" t="n"/>
      <c r="G3129" s="26" t="n">
        <v>210</v>
      </c>
      <c r="H3129" s="26" t="n">
        <v>15078</v>
      </c>
      <c r="I3129" s="26" t="n">
        <v>15869</v>
      </c>
      <c r="J3129" s="19" t="n">
        <v>17999.016525</v>
      </c>
      <c r="K3129" s="37" t="n">
        <v>0.065</v>
      </c>
    </row>
    <row r="3130">
      <c r="A3130" s="34" t="inlineStr">
        <is>
          <t>AGA SPK-tilskudd</t>
        </is>
      </c>
      <c r="B3130" s="34" t="inlineStr">
        <is>
          <t>Region Øst</t>
        </is>
      </c>
      <c r="C3130" s="34" t="inlineStr">
        <is>
          <t>Lierfoss ungdoms- og familiesenter - avdeling Skogtun</t>
        </is>
      </c>
      <c r="D3130" s="18" t="n"/>
      <c r="E3130" s="18" t="n"/>
      <c r="F3130" s="18" t="n"/>
      <c r="G3130" s="18" t="n"/>
      <c r="H3130" s="18" t="n">
        <v>2677</v>
      </c>
      <c r="I3130" s="18" t="n">
        <v>608</v>
      </c>
      <c r="J3130" s="19" t="n">
        <v>689.6087999999999</v>
      </c>
      <c r="K3130" s="35" t="n">
        <v>0.065</v>
      </c>
    </row>
    <row r="3131">
      <c r="A3131" s="36" t="inlineStr">
        <is>
          <t>AGA SPK-tilskudd</t>
        </is>
      </c>
      <c r="B3131" s="36" t="inlineStr">
        <is>
          <t>Region Øst</t>
        </is>
      </c>
      <c r="C3131" s="36" t="inlineStr">
        <is>
          <t>Lierfoss ungdoms- og familiesenter - avdeling Skogtun</t>
        </is>
      </c>
      <c r="D3131" s="26" t="n"/>
      <c r="E3131" s="26" t="n"/>
      <c r="F3131" s="26" t="n"/>
      <c r="G3131" s="26" t="n"/>
      <c r="H3131" s="26" t="n">
        <v>3236</v>
      </c>
      <c r="I3131" s="26" t="n">
        <v>1862</v>
      </c>
      <c r="J3131" s="19" t="n">
        <v>2111.92695</v>
      </c>
      <c r="K3131" s="37" t="n">
        <v>0.065</v>
      </c>
    </row>
    <row r="3132">
      <c r="A3132" s="34" t="inlineStr">
        <is>
          <t>AGA SPK-tilskudd</t>
        </is>
      </c>
      <c r="B3132" s="34" t="inlineStr">
        <is>
          <t>Region Øst</t>
        </is>
      </c>
      <c r="C3132" s="34" t="inlineStr">
        <is>
          <t>Lierfoss ungdoms- og familiesenter - avdeling Skogtun</t>
        </is>
      </c>
      <c r="D3132" s="18" t="n"/>
      <c r="E3132" s="18" t="n"/>
      <c r="F3132" s="18" t="n"/>
      <c r="G3132" s="18" t="n"/>
      <c r="H3132" s="18" t="n">
        <v>3154</v>
      </c>
      <c r="I3132" s="18" t="n">
        <v>1534</v>
      </c>
      <c r="J3132" s="19" t="n">
        <v>1739.90115</v>
      </c>
      <c r="K3132" s="35" t="n">
        <v>0.065</v>
      </c>
    </row>
    <row r="3133">
      <c r="A3133" s="36" t="inlineStr">
        <is>
          <t>AGA SPK-tilskudd</t>
        </is>
      </c>
      <c r="B3133" s="36" t="inlineStr">
        <is>
          <t>Region Øst</t>
        </is>
      </c>
      <c r="C3133" s="36" t="inlineStr">
        <is>
          <t>Lierfoss ungdoms- og familiesenter - avdeling Skogtun</t>
        </is>
      </c>
      <c r="D3133" s="26" t="n"/>
      <c r="E3133" s="26" t="n"/>
      <c r="F3133" s="26" t="n"/>
      <c r="G3133" s="26" t="n">
        <v>59</v>
      </c>
      <c r="H3133" s="26" t="n">
        <v>6354</v>
      </c>
      <c r="I3133" s="26" t="n">
        <v>6944</v>
      </c>
      <c r="J3133" s="19" t="n">
        <v>7876.058399999999</v>
      </c>
      <c r="K3133" s="37" t="n">
        <v>0.065</v>
      </c>
    </row>
    <row r="3134">
      <c r="A3134" s="34" t="inlineStr">
        <is>
          <t>AGA SPK-tilskudd</t>
        </is>
      </c>
      <c r="B3134" s="34" t="inlineStr">
        <is>
          <t>Region Øst</t>
        </is>
      </c>
      <c r="C3134" s="34" t="inlineStr">
        <is>
          <t>Lierfoss ungdoms- og familiesenter - avdeling Skogtun</t>
        </is>
      </c>
      <c r="D3134" s="18" t="n"/>
      <c r="E3134" s="18" t="n"/>
      <c r="F3134" s="18" t="n"/>
      <c r="G3134" s="18" t="n">
        <v>-2400</v>
      </c>
      <c r="H3134" s="18" t="n">
        <v>-33796</v>
      </c>
      <c r="I3134" s="18" t="n">
        <v>-44531</v>
      </c>
      <c r="J3134" s="19" t="n">
        <v>-50508.17347499999</v>
      </c>
      <c r="K3134" s="35" t="n">
        <v>0.065</v>
      </c>
    </row>
    <row r="3135">
      <c r="A3135" s="36" t="inlineStr">
        <is>
          <t>AGA SPK-tilskudd</t>
        </is>
      </c>
      <c r="B3135" s="36" t="inlineStr">
        <is>
          <t>Region Øst</t>
        </is>
      </c>
      <c r="C3135" s="36" t="inlineStr">
        <is>
          <t>Lierfoss ungdoms- og familiesenter - avdeling Skogtun</t>
        </is>
      </c>
      <c r="D3135" s="26" t="n"/>
      <c r="E3135" s="26" t="n"/>
      <c r="F3135" s="26" t="n"/>
      <c r="G3135" s="26" t="n">
        <v>-37872</v>
      </c>
      <c r="H3135" s="26" t="n">
        <v>-368381</v>
      </c>
      <c r="I3135" s="26" t="n">
        <v>-561207</v>
      </c>
      <c r="J3135" s="19" t="n">
        <v>-636535.0095749999</v>
      </c>
      <c r="K3135" s="37" t="n">
        <v>0.065</v>
      </c>
    </row>
    <row r="3136">
      <c r="A3136" s="34" t="inlineStr">
        <is>
          <t>AGA SPK-tilskudd</t>
        </is>
      </c>
      <c r="B3136" s="34" t="inlineStr">
        <is>
          <t>Region Øst</t>
        </is>
      </c>
      <c r="C3136" s="34" t="inlineStr">
        <is>
          <t>Lierfoss ungdoms- og familiesenter - avdeling Skogtun</t>
        </is>
      </c>
      <c r="D3136" s="18" t="n"/>
      <c r="E3136" s="18" t="n"/>
      <c r="F3136" s="18" t="n"/>
      <c r="G3136" s="18" t="n">
        <v>-21906</v>
      </c>
      <c r="H3136" s="18" t="n">
        <v>-269430</v>
      </c>
      <c r="I3136" s="18" t="n">
        <v>-878780</v>
      </c>
      <c r="J3136" s="19" t="n">
        <v>-996734.2454999998</v>
      </c>
      <c r="K3136" s="35" t="n">
        <v>0.065</v>
      </c>
    </row>
    <row r="3137">
      <c r="A3137" s="36" t="inlineStr">
        <is>
          <t>AGA SPK-tilskudd</t>
        </is>
      </c>
      <c r="B3137" s="36" t="inlineStr">
        <is>
          <t>Region Øst</t>
        </is>
      </c>
      <c r="C3137" s="36" t="inlineStr">
        <is>
          <t>Lierfoss ungdoms- og familiesenter - omsorg  Administrasjon</t>
        </is>
      </c>
      <c r="D3137" s="26" t="n">
        <v>7497</v>
      </c>
      <c r="E3137" s="26" t="n">
        <v>6766</v>
      </c>
      <c r="F3137" s="26" t="n">
        <v>7242</v>
      </c>
      <c r="G3137" s="26" t="n">
        <v>22669</v>
      </c>
      <c r="H3137" s="26" t="n">
        <v>18629</v>
      </c>
      <c r="I3137" s="26" t="n">
        <v>19746</v>
      </c>
      <c r="J3137" s="19" t="n">
        <v>29088.12858848659</v>
      </c>
      <c r="K3137" s="37" t="n">
        <v>0.2137194856286697</v>
      </c>
    </row>
    <row r="3138">
      <c r="A3138" s="34" t="inlineStr">
        <is>
          <t>AGA SPK-tilskudd</t>
        </is>
      </c>
      <c r="B3138" s="34" t="inlineStr">
        <is>
          <t>Region Øst</t>
        </is>
      </c>
      <c r="C3138" s="34" t="inlineStr">
        <is>
          <t>Lierfoss ungdoms- og familiesenter - omsorg  Administrasjon</t>
        </is>
      </c>
      <c r="D3138" s="18" t="n">
        <v>4755</v>
      </c>
      <c r="E3138" s="18" t="n">
        <v>11694</v>
      </c>
      <c r="F3138" s="18" t="n">
        <v>6086</v>
      </c>
      <c r="G3138" s="18" t="n">
        <v>6076</v>
      </c>
      <c r="H3138" s="18" t="n">
        <v>24182</v>
      </c>
      <c r="I3138" s="18" t="n">
        <v>22328</v>
      </c>
      <c r="J3138" s="19" t="n">
        <v>34887.5</v>
      </c>
      <c r="K3138" s="35" t="n">
        <v>0.25</v>
      </c>
    </row>
    <row r="3139">
      <c r="A3139" s="36" t="inlineStr">
        <is>
          <t>AGA SPK-tilskudd</t>
        </is>
      </c>
      <c r="B3139" s="36" t="inlineStr">
        <is>
          <t>Region Øst</t>
        </is>
      </c>
      <c r="C3139" s="36" t="inlineStr">
        <is>
          <t>Lierfoss ungdoms- og familiesenter - omsorg  Administrasjon</t>
        </is>
      </c>
      <c r="D3139" s="26" t="n">
        <v>1200</v>
      </c>
      <c r="E3139" s="26" t="n">
        <v>1227</v>
      </c>
      <c r="F3139" s="26" t="n">
        <v>1636</v>
      </c>
      <c r="G3139" s="26" t="n">
        <v>4115</v>
      </c>
      <c r="H3139" s="26" t="n">
        <v>3469</v>
      </c>
      <c r="I3139" s="26" t="n">
        <v>3806</v>
      </c>
      <c r="J3139" s="19" t="n">
        <v>5946.875</v>
      </c>
      <c r="K3139" s="37" t="n">
        <v>0.25</v>
      </c>
    </row>
    <row r="3140">
      <c r="A3140" s="34" t="inlineStr">
        <is>
          <t>AGA SPK-tilskudd</t>
        </is>
      </c>
      <c r="B3140" s="34" t="inlineStr">
        <is>
          <t>Region Øst</t>
        </is>
      </c>
      <c r="C3140" s="34" t="inlineStr">
        <is>
          <t>Lierfoss ungdoms- og familiesenter - omsorg  Administrasjon</t>
        </is>
      </c>
      <c r="D3140" s="18" t="n">
        <v>18069</v>
      </c>
      <c r="E3140" s="18" t="n">
        <v>2707</v>
      </c>
      <c r="F3140" s="18" t="n">
        <v>798</v>
      </c>
      <c r="G3140" s="18" t="n">
        <v>13034</v>
      </c>
      <c r="H3140" s="18" t="n">
        <v>4289</v>
      </c>
      <c r="I3140" s="18" t="n">
        <v>14118</v>
      </c>
      <c r="J3140" s="19" t="n">
        <v>12791.12671919029</v>
      </c>
      <c r="K3140" s="35" t="n">
        <v>-0.04815153925532534</v>
      </c>
    </row>
    <row r="3141">
      <c r="A3141" s="36" t="inlineStr">
        <is>
          <t>AGA SPK-tilskudd</t>
        </is>
      </c>
      <c r="B3141" s="36" t="inlineStr">
        <is>
          <t>Region Øst</t>
        </is>
      </c>
      <c r="C3141" s="36" t="inlineStr">
        <is>
          <t>Lierfoss ungdoms- og familiesenter - omsorg  Administrasjon</t>
        </is>
      </c>
      <c r="D3141" s="26" t="n">
        <v>2712</v>
      </c>
      <c r="E3141" s="26" t="n">
        <v>420</v>
      </c>
      <c r="F3141" s="26" t="n">
        <v>4774</v>
      </c>
      <c r="G3141" s="26" t="n">
        <v>896</v>
      </c>
      <c r="H3141" s="26" t="n">
        <v>5964</v>
      </c>
      <c r="I3141" s="26" t="n">
        <v>15360</v>
      </c>
      <c r="J3141" s="19" t="n">
        <v>24000</v>
      </c>
      <c r="K3141" s="37" t="n">
        <v>0.25</v>
      </c>
    </row>
    <row r="3142">
      <c r="A3142" s="34" t="inlineStr">
        <is>
          <t>AGA SPK-tilskudd</t>
        </is>
      </c>
      <c r="B3142" s="34" t="inlineStr">
        <is>
          <t>Region Øst</t>
        </is>
      </c>
      <c r="C3142" s="34" t="inlineStr">
        <is>
          <t>Lierfoss ungdoms- og familiesenter - omsorg  Administrasjon</t>
        </is>
      </c>
      <c r="D3142" s="18" t="n">
        <v>200</v>
      </c>
      <c r="E3142" s="18" t="n">
        <v>2106</v>
      </c>
      <c r="F3142" s="18" t="n">
        <v>412</v>
      </c>
      <c r="G3142" s="18" t="n">
        <v>1771</v>
      </c>
      <c r="H3142" s="18" t="n">
        <v>1897</v>
      </c>
      <c r="I3142" s="18" t="n">
        <v>1234</v>
      </c>
      <c r="J3142" s="19" t="n">
        <v>1928.125</v>
      </c>
      <c r="K3142" s="35" t="n">
        <v>0.25</v>
      </c>
    </row>
    <row r="3143">
      <c r="A3143" s="36" t="inlineStr">
        <is>
          <t>AGA SPK-tilskudd</t>
        </is>
      </c>
      <c r="B3143" s="36" t="inlineStr">
        <is>
          <t>Region Øst</t>
        </is>
      </c>
      <c r="C3143" s="36" t="inlineStr">
        <is>
          <t>Lierfoss ungdoms- og familiesenter - omsorg  Administrasjon</t>
        </is>
      </c>
      <c r="D3143" s="26" t="n"/>
      <c r="E3143" s="26" t="n">
        <v>37284</v>
      </c>
      <c r="F3143" s="26" t="n">
        <v>22308</v>
      </c>
      <c r="G3143" s="26" t="n">
        <v>35390</v>
      </c>
      <c r="H3143" s="26" t="n">
        <v>15789</v>
      </c>
      <c r="I3143" s="26" t="n">
        <v>10422</v>
      </c>
      <c r="J3143" s="19" t="n">
        <v>5862.375</v>
      </c>
      <c r="K3143" s="37" t="n">
        <v>-0.25</v>
      </c>
    </row>
    <row r="3144">
      <c r="A3144" s="34" t="inlineStr">
        <is>
          <t>AGA SPK-tilskudd</t>
        </is>
      </c>
      <c r="B3144" s="34" t="inlineStr">
        <is>
          <t>Region Øst</t>
        </is>
      </c>
      <c r="C3144" s="34" t="inlineStr">
        <is>
          <t>Lierfoss ungdoms- og familiesenter - omsorg  Administrasjon</t>
        </is>
      </c>
      <c r="D3144" s="18" t="n">
        <v>1310</v>
      </c>
      <c r="E3144" s="18" t="n">
        <v>1109</v>
      </c>
      <c r="F3144" s="18" t="n">
        <v>3398</v>
      </c>
      <c r="G3144" s="18" t="n">
        <v>32877</v>
      </c>
      <c r="H3144" s="18" t="n">
        <v>51246</v>
      </c>
      <c r="I3144" s="18" t="n">
        <v>11048</v>
      </c>
      <c r="J3144" s="19" t="n">
        <v>17262.5</v>
      </c>
      <c r="K3144" s="35" t="n">
        <v>0.25</v>
      </c>
    </row>
    <row r="3145">
      <c r="A3145" s="36" t="inlineStr">
        <is>
          <t>AGA SPK-tilskudd</t>
        </is>
      </c>
      <c r="B3145" s="36" t="inlineStr">
        <is>
          <t>Region Øst</t>
        </is>
      </c>
      <c r="C3145" s="36" t="inlineStr">
        <is>
          <t>Lierfoss ungdoms- og familiesenter - omsorg  Administrasjon</t>
        </is>
      </c>
      <c r="D3145" s="26" t="n">
        <v>376</v>
      </c>
      <c r="E3145" s="26" t="n">
        <v>1796</v>
      </c>
      <c r="F3145" s="26" t="n">
        <v>785</v>
      </c>
      <c r="G3145" s="26" t="n">
        <v>693</v>
      </c>
      <c r="H3145" s="26" t="n">
        <v>2952</v>
      </c>
      <c r="I3145" s="26" t="n">
        <v>7144</v>
      </c>
      <c r="J3145" s="19" t="n">
        <v>11162.5</v>
      </c>
      <c r="K3145" s="37" t="n">
        <v>0.25</v>
      </c>
    </row>
    <row r="3146">
      <c r="A3146" s="34" t="inlineStr">
        <is>
          <t>AGA SPK-tilskudd</t>
        </is>
      </c>
      <c r="B3146" s="34" t="inlineStr">
        <is>
          <t>Region Øst</t>
        </is>
      </c>
      <c r="C3146" s="34" t="inlineStr">
        <is>
          <t>Lierfoss ungdoms- og familiesenter - omsorg  Administrasjon</t>
        </is>
      </c>
      <c r="D3146" s="18" t="n"/>
      <c r="E3146" s="18" t="n"/>
      <c r="F3146" s="18" t="n"/>
      <c r="G3146" s="18" t="n"/>
      <c r="H3146" s="18" t="n"/>
      <c r="I3146" s="18" t="n">
        <v>5990</v>
      </c>
      <c r="J3146" s="19" t="n">
        <v>6794.007749999999</v>
      </c>
      <c r="K3146" s="35" t="n">
        <v>0.065</v>
      </c>
    </row>
    <row r="3147">
      <c r="A3147" s="36" t="inlineStr">
        <is>
          <t>AGA SPK-tilskudd</t>
        </is>
      </c>
      <c r="B3147" s="36" t="inlineStr">
        <is>
          <t>Region Øst</t>
        </is>
      </c>
      <c r="C3147" s="36" t="inlineStr">
        <is>
          <t>Lierfoss ungdoms- og familiesenter - omsorg  Administrasjon</t>
        </is>
      </c>
      <c r="D3147" s="26" t="n">
        <v>13154</v>
      </c>
      <c r="E3147" s="26" t="n">
        <v>1566</v>
      </c>
      <c r="F3147" s="26" t="n">
        <v>4836</v>
      </c>
      <c r="G3147" s="26" t="n">
        <v>58010</v>
      </c>
      <c r="H3147" s="26" t="n">
        <v>28400</v>
      </c>
      <c r="I3147" s="26" t="n">
        <v>97</v>
      </c>
      <c r="J3147" s="19" t="n">
        <v>54.5625</v>
      </c>
      <c r="K3147" s="37" t="n">
        <v>-0.25</v>
      </c>
    </row>
    <row r="3148">
      <c r="A3148" s="34" t="inlineStr">
        <is>
          <t>AGA SPK-tilskudd</t>
        </is>
      </c>
      <c r="B3148" s="34" t="inlineStr">
        <is>
          <t>Region Øst</t>
        </is>
      </c>
      <c r="C3148" s="34" t="inlineStr">
        <is>
          <t>Lierfoss ungdoms- og familiesenter - omsorg  Administrasjon</t>
        </is>
      </c>
      <c r="D3148" s="18" t="n"/>
      <c r="E3148" s="18" t="n"/>
      <c r="F3148" s="18" t="n"/>
      <c r="G3148" s="18" t="n"/>
      <c r="H3148" s="18" t="n"/>
      <c r="I3148" s="18" t="n">
        <v>-81800</v>
      </c>
      <c r="J3148" s="19" t="n">
        <v>-92779.60499999998</v>
      </c>
      <c r="K3148" s="35" t="n">
        <v>0.065</v>
      </c>
    </row>
    <row r="3149">
      <c r="A3149" s="36" t="inlineStr">
        <is>
          <t>AGA SPK-tilskudd</t>
        </is>
      </c>
      <c r="B3149" s="36" t="inlineStr">
        <is>
          <t>Region Øst</t>
        </is>
      </c>
      <c r="C3149" s="36" t="inlineStr">
        <is>
          <t>Lierfoss ungdoms- og familiesenter - omsorg  Administrasjon</t>
        </is>
      </c>
      <c r="D3149" s="26" t="n"/>
      <c r="E3149" s="26" t="n">
        <v>-277365</v>
      </c>
      <c r="F3149" s="26" t="n">
        <v>-136363</v>
      </c>
      <c r="G3149" s="26" t="n"/>
      <c r="H3149" s="26" t="n"/>
      <c r="I3149" s="26" t="n"/>
      <c r="J3149" s="19" t="n">
        <v>0</v>
      </c>
      <c r="K3149" s="37" t="n">
        <v>0.065</v>
      </c>
    </row>
    <row r="3150">
      <c r="A3150" s="34" t="inlineStr">
        <is>
          <t>AGA SPK-tilskudd</t>
        </is>
      </c>
      <c r="B3150" s="34" t="inlineStr">
        <is>
          <t>Region Øst</t>
        </is>
      </c>
      <c r="C3150" s="34" t="inlineStr">
        <is>
          <t>Lierfoss ungdoms- og familiesenter - omsorg  Autentoppen ungdomshjem</t>
        </is>
      </c>
      <c r="D3150" s="18" t="n">
        <v>78482</v>
      </c>
      <c r="E3150" s="18" t="n">
        <v>60603</v>
      </c>
      <c r="F3150" s="18" t="n">
        <v>1934</v>
      </c>
      <c r="G3150" s="18" t="n"/>
      <c r="H3150" s="18" t="n"/>
      <c r="I3150" s="18" t="n"/>
      <c r="J3150" s="19" t="n">
        <v>0</v>
      </c>
      <c r="K3150" s="35" t="n">
        <v>0.065</v>
      </c>
    </row>
    <row r="3151">
      <c r="A3151" s="36" t="inlineStr">
        <is>
          <t>AGA SPK-tilskudd</t>
        </is>
      </c>
      <c r="B3151" s="36" t="inlineStr">
        <is>
          <t>Region Øst</t>
        </is>
      </c>
      <c r="C3151" s="36" t="inlineStr">
        <is>
          <t>Lierfoss ungdoms- og familiesenter - omsorg  Autentoppen ungdomshjem</t>
        </is>
      </c>
      <c r="D3151" s="26" t="n"/>
      <c r="E3151" s="26" t="n">
        <v>79796</v>
      </c>
      <c r="F3151" s="26" t="n"/>
      <c r="G3151" s="26" t="n"/>
      <c r="H3151" s="26" t="n"/>
      <c r="I3151" s="26" t="n"/>
      <c r="J3151" s="19" t="n">
        <v>0</v>
      </c>
      <c r="K3151" s="37" t="n">
        <v>0.065</v>
      </c>
    </row>
    <row r="3152">
      <c r="A3152" s="34" t="inlineStr">
        <is>
          <t>AGA SPK-tilskudd</t>
        </is>
      </c>
      <c r="B3152" s="34" t="inlineStr">
        <is>
          <t>Region Øst</t>
        </is>
      </c>
      <c r="C3152" s="34" t="inlineStr">
        <is>
          <t>Lierfoss ungdoms- og familiesenter - omsorg  Autentoppen ungdomshjem</t>
        </is>
      </c>
      <c r="D3152" s="18" t="n">
        <v>2748</v>
      </c>
      <c r="E3152" s="18" t="n">
        <v>7526</v>
      </c>
      <c r="F3152" s="18" t="n"/>
      <c r="G3152" s="18" t="n"/>
      <c r="H3152" s="18" t="n"/>
      <c r="I3152" s="18" t="n"/>
      <c r="J3152" s="19" t="n">
        <v>0</v>
      </c>
      <c r="K3152" s="35" t="n">
        <v>0.065</v>
      </c>
    </row>
    <row r="3153">
      <c r="A3153" s="36" t="inlineStr">
        <is>
          <t>AGA SPK-tilskudd</t>
        </is>
      </c>
      <c r="B3153" s="36" t="inlineStr">
        <is>
          <t>Region Øst</t>
        </is>
      </c>
      <c r="C3153" s="36" t="inlineStr">
        <is>
          <t>Lierfoss ungdoms- og familiesenter - omsorg  Autentoppen ungdomshjem</t>
        </is>
      </c>
      <c r="D3153" s="26" t="n">
        <v>11500</v>
      </c>
      <c r="E3153" s="26" t="n">
        <v>10557</v>
      </c>
      <c r="F3153" s="26" t="n">
        <v>1406</v>
      </c>
      <c r="G3153" s="26" t="n"/>
      <c r="H3153" s="26" t="n"/>
      <c r="I3153" s="26" t="n"/>
      <c r="J3153" s="19" t="n">
        <v>0</v>
      </c>
      <c r="K3153" s="37" t="n">
        <v>0.065</v>
      </c>
    </row>
    <row r="3154">
      <c r="A3154" s="34" t="inlineStr">
        <is>
          <t>AGA SPK-tilskudd</t>
        </is>
      </c>
      <c r="B3154" s="34" t="inlineStr">
        <is>
          <t>Region Øst</t>
        </is>
      </c>
      <c r="C3154" s="34" t="inlineStr">
        <is>
          <t>Lierfoss ungdoms- og familiesenter - omsorg  Autentoppen ungdomshjem</t>
        </is>
      </c>
      <c r="D3154" s="18" t="n"/>
      <c r="E3154" s="18" t="n">
        <v>1000</v>
      </c>
      <c r="F3154" s="18" t="n"/>
      <c r="G3154" s="18" t="n"/>
      <c r="H3154" s="18" t="n"/>
      <c r="I3154" s="18" t="n"/>
      <c r="J3154" s="19" t="n">
        <v>0</v>
      </c>
      <c r="K3154" s="35" t="n">
        <v>0.065</v>
      </c>
    </row>
    <row r="3155">
      <c r="A3155" s="36" t="inlineStr">
        <is>
          <t>AGA SPK-tilskudd</t>
        </is>
      </c>
      <c r="B3155" s="36" t="inlineStr">
        <is>
          <t>Region Øst</t>
        </is>
      </c>
      <c r="C3155" s="36" t="inlineStr">
        <is>
          <t>Lierfoss ungdoms- og familiesenter - omsorg  Autentoppen ungdomshjem</t>
        </is>
      </c>
      <c r="D3155" s="26" t="n"/>
      <c r="E3155" s="26" t="n">
        <v>8395</v>
      </c>
      <c r="F3155" s="26" t="n"/>
      <c r="G3155" s="26" t="n"/>
      <c r="H3155" s="26" t="n"/>
      <c r="I3155" s="26" t="n"/>
      <c r="J3155" s="19" t="n">
        <v>0</v>
      </c>
      <c r="K3155" s="37" t="n">
        <v>0.065</v>
      </c>
    </row>
    <row r="3156">
      <c r="A3156" s="34" t="inlineStr">
        <is>
          <t>AGA SPK-tilskudd</t>
        </is>
      </c>
      <c r="B3156" s="34" t="inlineStr">
        <is>
          <t>Region Øst</t>
        </is>
      </c>
      <c r="C3156" s="34" t="inlineStr">
        <is>
          <t>Lierfoss ungdoms- og familiesenter - omsorg  Autentoppen ungdomshjem</t>
        </is>
      </c>
      <c r="D3156" s="18" t="n">
        <v>1187</v>
      </c>
      <c r="E3156" s="18" t="n">
        <v>586</v>
      </c>
      <c r="F3156" s="18" t="n">
        <v>116</v>
      </c>
      <c r="G3156" s="18" t="n">
        <v>-753</v>
      </c>
      <c r="H3156" s="18" t="n"/>
      <c r="I3156" s="18" t="n"/>
      <c r="J3156" s="19" t="n">
        <v>0</v>
      </c>
      <c r="K3156" s="35" t="n">
        <v>0.065</v>
      </c>
    </row>
    <row r="3157">
      <c r="A3157" s="36" t="inlineStr">
        <is>
          <t>AGA SPK-tilskudd</t>
        </is>
      </c>
      <c r="B3157" s="36" t="inlineStr">
        <is>
          <t>Region Øst</t>
        </is>
      </c>
      <c r="C3157" s="36" t="inlineStr">
        <is>
          <t>Lierfoss ungdoms- og familiesenter - omsorg  Autentoppen ungdomshjem</t>
        </is>
      </c>
      <c r="D3157" s="26" t="n">
        <v>550</v>
      </c>
      <c r="E3157" s="26" t="n">
        <v>505</v>
      </c>
      <c r="F3157" s="26" t="n"/>
      <c r="G3157" s="26" t="n"/>
      <c r="H3157" s="26" t="n"/>
      <c r="I3157" s="26" t="n"/>
      <c r="J3157" s="19" t="n">
        <v>0</v>
      </c>
      <c r="K3157" s="37" t="n">
        <v>0.065</v>
      </c>
    </row>
    <row r="3158">
      <c r="A3158" s="34" t="inlineStr">
        <is>
          <t>AGA SPK-tilskudd</t>
        </is>
      </c>
      <c r="B3158" s="34" t="inlineStr">
        <is>
          <t>Region Øst</t>
        </is>
      </c>
      <c r="C3158" s="34" t="inlineStr">
        <is>
          <t>Lierfoss ungdoms- og familiesenter - omsorg  Autentoppen ungdomshjem</t>
        </is>
      </c>
      <c r="D3158" s="18" t="n"/>
      <c r="E3158" s="18" t="n"/>
      <c r="F3158" s="18" t="n">
        <v>406</v>
      </c>
      <c r="G3158" s="18" t="n"/>
      <c r="H3158" s="18" t="n"/>
      <c r="I3158" s="18" t="n"/>
      <c r="J3158" s="19" t="n">
        <v>0</v>
      </c>
      <c r="K3158" s="35" t="n">
        <v>0.065</v>
      </c>
    </row>
    <row r="3159">
      <c r="A3159" s="36" t="inlineStr">
        <is>
          <t>AGA SPK-tilskudd</t>
        </is>
      </c>
      <c r="B3159" s="36" t="inlineStr">
        <is>
          <t>Region Øst</t>
        </is>
      </c>
      <c r="C3159" s="36" t="inlineStr">
        <is>
          <t>Lierfoss ungdoms- og familiesenter - omsorg  Autentoppen ungdomshjem</t>
        </is>
      </c>
      <c r="D3159" s="26" t="n">
        <v>7791</v>
      </c>
      <c r="E3159" s="26" t="n"/>
      <c r="F3159" s="26" t="n"/>
      <c r="G3159" s="26" t="n"/>
      <c r="H3159" s="26" t="n"/>
      <c r="I3159" s="26" t="n"/>
      <c r="J3159" s="19" t="n">
        <v>0</v>
      </c>
      <c r="K3159" s="37" t="n">
        <v>0.065</v>
      </c>
    </row>
    <row r="3160">
      <c r="A3160" s="34" t="inlineStr">
        <is>
          <t>AGA SPK-tilskudd</t>
        </is>
      </c>
      <c r="B3160" s="34" t="inlineStr">
        <is>
          <t>Region Øst</t>
        </is>
      </c>
      <c r="C3160" s="34" t="inlineStr">
        <is>
          <t>Lierfoss ungdoms- og familiesenter - omsorg  Autentoppen ungdomshjem</t>
        </is>
      </c>
      <c r="D3160" s="18" t="n">
        <v>474</v>
      </c>
      <c r="E3160" s="18" t="n">
        <v>300</v>
      </c>
      <c r="F3160" s="18" t="n">
        <v>17</v>
      </c>
      <c r="G3160" s="18" t="n"/>
      <c r="H3160" s="18" t="n"/>
      <c r="I3160" s="18" t="n"/>
      <c r="J3160" s="19" t="n">
        <v>0</v>
      </c>
      <c r="K3160" s="35" t="n">
        <v>0.065</v>
      </c>
    </row>
    <row r="3161">
      <c r="A3161" s="36" t="inlineStr">
        <is>
          <t>AGA SPK-tilskudd</t>
        </is>
      </c>
      <c r="B3161" s="36" t="inlineStr">
        <is>
          <t>Region Øst</t>
        </is>
      </c>
      <c r="C3161" s="36" t="inlineStr">
        <is>
          <t>Lierfoss ungdoms- og familiesenter - omsorg  Autentoppen ungdomshjem</t>
        </is>
      </c>
      <c r="D3161" s="26" t="n">
        <v>-660</v>
      </c>
      <c r="E3161" s="26" t="n">
        <v>1069</v>
      </c>
      <c r="F3161" s="26" t="n">
        <v>-350</v>
      </c>
      <c r="G3161" s="26" t="n"/>
      <c r="H3161" s="26" t="n"/>
      <c r="I3161" s="26" t="n"/>
      <c r="J3161" s="19" t="n">
        <v>0</v>
      </c>
      <c r="K3161" s="37" t="n">
        <v>0.065</v>
      </c>
    </row>
    <row r="3162">
      <c r="A3162" s="34" t="inlineStr">
        <is>
          <t>AGA SPK-tilskudd</t>
        </is>
      </c>
      <c r="B3162" s="34" t="inlineStr">
        <is>
          <t>Region Øst</t>
        </is>
      </c>
      <c r="C3162" s="34" t="inlineStr">
        <is>
          <t>Lierfoss ungdoms- og familiesenter - omsorg  Autentoppen ungdomshjem</t>
        </is>
      </c>
      <c r="D3162" s="18" t="n"/>
      <c r="E3162" s="18" t="n">
        <v>-124013</v>
      </c>
      <c r="F3162" s="18" t="n">
        <v>-1464</v>
      </c>
      <c r="G3162" s="18" t="n"/>
      <c r="H3162" s="18" t="n"/>
      <c r="I3162" s="18" t="n"/>
      <c r="J3162" s="19" t="n">
        <v>0</v>
      </c>
      <c r="K3162" s="35" t="n">
        <v>0.065</v>
      </c>
    </row>
    <row r="3163">
      <c r="A3163" s="36" t="inlineStr">
        <is>
          <t>AGA SPK-tilskudd</t>
        </is>
      </c>
      <c r="B3163" s="36" t="inlineStr">
        <is>
          <t>Region Øst</t>
        </is>
      </c>
      <c r="C3163" s="36" t="inlineStr">
        <is>
          <t>Lierfoss ungdoms- og familiesenter - omsorg  Autentoppen ungdomshjem</t>
        </is>
      </c>
      <c r="D3163" s="26" t="n">
        <v>-157215</v>
      </c>
      <c r="E3163" s="26" t="n">
        <v>-35960</v>
      </c>
      <c r="F3163" s="26" t="n"/>
      <c r="G3163" s="26" t="n"/>
      <c r="H3163" s="26" t="n"/>
      <c r="I3163" s="26" t="n"/>
      <c r="J3163" s="19" t="n">
        <v>0</v>
      </c>
      <c r="K3163" s="37" t="n">
        <v>0.065</v>
      </c>
    </row>
    <row r="3164">
      <c r="A3164" s="34" t="inlineStr">
        <is>
          <t>AGA SPK-tilskudd</t>
        </is>
      </c>
      <c r="B3164" s="34" t="inlineStr">
        <is>
          <t>Region Øst</t>
        </is>
      </c>
      <c r="C3164" s="34" t="inlineStr">
        <is>
          <t>Lierfoss ungdoms- og familiesenter - omsorg  Berglia ungdomshjem</t>
        </is>
      </c>
      <c r="D3164" s="18" t="n">
        <v>159533</v>
      </c>
      <c r="E3164" s="18" t="n">
        <v>144940</v>
      </c>
      <c r="F3164" s="18" t="n">
        <v>103642</v>
      </c>
      <c r="G3164" s="18" t="n">
        <v>111037</v>
      </c>
      <c r="H3164" s="18" t="n">
        <v>72282</v>
      </c>
      <c r="I3164" s="18" t="n">
        <v>109939</v>
      </c>
      <c r="J3164" s="19" t="n">
        <v>94726.67260001633</v>
      </c>
      <c r="K3164" s="35" t="n">
        <v>-0.07176006240400923</v>
      </c>
    </row>
    <row r="3165">
      <c r="A3165" s="36" t="inlineStr">
        <is>
          <t>AGA SPK-tilskudd</t>
        </is>
      </c>
      <c r="B3165" s="36" t="inlineStr">
        <is>
          <t>Region Øst</t>
        </is>
      </c>
      <c r="C3165" s="36" t="inlineStr">
        <is>
          <t>Lierfoss ungdoms- og familiesenter - omsorg  Berglia ungdomshjem</t>
        </is>
      </c>
      <c r="D3165" s="26" t="n"/>
      <c r="E3165" s="26" t="n"/>
      <c r="F3165" s="26" t="n">
        <v>41960</v>
      </c>
      <c r="G3165" s="26" t="n">
        <v>70459</v>
      </c>
      <c r="H3165" s="26" t="n">
        <v>48889</v>
      </c>
      <c r="I3165" s="26" t="n">
        <v>541</v>
      </c>
      <c r="J3165" s="19" t="n">
        <v>613.6157249999999</v>
      </c>
      <c r="K3165" s="37" t="n">
        <v>0.065</v>
      </c>
    </row>
    <row r="3166">
      <c r="A3166" s="34" t="inlineStr">
        <is>
          <t>AGA SPK-tilskudd</t>
        </is>
      </c>
      <c r="B3166" s="34" t="inlineStr">
        <is>
          <t>Region Øst</t>
        </is>
      </c>
      <c r="C3166" s="34" t="inlineStr">
        <is>
          <t>Lierfoss ungdoms- og familiesenter - omsorg  Berglia ungdomshjem</t>
        </is>
      </c>
      <c r="D3166" s="18" t="n">
        <v>6004</v>
      </c>
      <c r="E3166" s="18" t="n">
        <v>9199</v>
      </c>
      <c r="F3166" s="18" t="n">
        <v>6585</v>
      </c>
      <c r="G3166" s="18" t="n">
        <v>20935</v>
      </c>
      <c r="H3166" s="18" t="n">
        <v>23244</v>
      </c>
      <c r="I3166" s="18" t="n">
        <v>18282</v>
      </c>
      <c r="J3166" s="19" t="n">
        <v>28540.19348379292</v>
      </c>
      <c r="K3166" s="35" t="n">
        <v>0.2494434486588879</v>
      </c>
    </row>
    <row r="3167">
      <c r="A3167" s="36" t="inlineStr">
        <is>
          <t>AGA SPK-tilskudd</t>
        </is>
      </c>
      <c r="B3167" s="36" t="inlineStr">
        <is>
          <t>Region Øst</t>
        </is>
      </c>
      <c r="C3167" s="36" t="inlineStr">
        <is>
          <t>Lierfoss ungdoms- og familiesenter - omsorg  Berglia ungdomshjem</t>
        </is>
      </c>
      <c r="D3167" s="26" t="n">
        <v>36900</v>
      </c>
      <c r="E3167" s="26" t="n">
        <v>39596</v>
      </c>
      <c r="F3167" s="26" t="n">
        <v>47470</v>
      </c>
      <c r="G3167" s="26" t="n">
        <v>64334</v>
      </c>
      <c r="H3167" s="26" t="n">
        <v>69490</v>
      </c>
      <c r="I3167" s="26" t="n">
        <v>79432</v>
      </c>
      <c r="J3167" s="19" t="n">
        <v>107940.1830679842</v>
      </c>
      <c r="K3167" s="37" t="n">
        <v>0.1657188690976792</v>
      </c>
    </row>
    <row r="3168">
      <c r="A3168" s="34" t="inlineStr">
        <is>
          <t>AGA SPK-tilskudd</t>
        </is>
      </c>
      <c r="B3168" s="34" t="inlineStr">
        <is>
          <t>Region Øst</t>
        </is>
      </c>
      <c r="C3168" s="34" t="inlineStr">
        <is>
          <t>Lierfoss ungdoms- og familiesenter - omsorg  Berglia ungdomshjem</t>
        </is>
      </c>
      <c r="D3168" s="18" t="n"/>
      <c r="E3168" s="18" t="n">
        <v>22680</v>
      </c>
      <c r="F3168" s="18" t="n">
        <v>9206</v>
      </c>
      <c r="G3168" s="18" t="n">
        <v>16511</v>
      </c>
      <c r="H3168" s="18" t="n">
        <v>1290</v>
      </c>
      <c r="I3168" s="18" t="n">
        <v>2623</v>
      </c>
      <c r="J3168" s="19" t="n">
        <v>1475.4375</v>
      </c>
      <c r="K3168" s="35" t="n">
        <v>-0.25</v>
      </c>
    </row>
    <row r="3169">
      <c r="A3169" s="36" t="inlineStr">
        <is>
          <t>AGA SPK-tilskudd</t>
        </is>
      </c>
      <c r="B3169" s="36" t="inlineStr">
        <is>
          <t>Region Øst</t>
        </is>
      </c>
      <c r="C3169" s="36" t="inlineStr">
        <is>
          <t>Lierfoss ungdoms- og familiesenter - omsorg  Berglia ungdomshjem</t>
        </is>
      </c>
      <c r="D3169" s="26" t="n">
        <v>3039</v>
      </c>
      <c r="E3169" s="26" t="n">
        <v>7556</v>
      </c>
      <c r="F3169" s="26" t="n">
        <v>1437</v>
      </c>
      <c r="G3169" s="26" t="n">
        <v>1826</v>
      </c>
      <c r="H3169" s="26" t="n">
        <v>3319</v>
      </c>
      <c r="I3169" s="26" t="n">
        <v>2675</v>
      </c>
      <c r="J3169" s="19" t="n">
        <v>2541.914982060973</v>
      </c>
      <c r="K3169" s="37" t="n">
        <v>-0.02519304915041631</v>
      </c>
    </row>
    <row r="3170">
      <c r="A3170" s="34" t="inlineStr">
        <is>
          <t>AGA SPK-tilskudd</t>
        </is>
      </c>
      <c r="B3170" s="34" t="inlineStr">
        <is>
          <t>Region Øst</t>
        </is>
      </c>
      <c r="C3170" s="34" t="inlineStr">
        <is>
          <t>Lierfoss ungdoms- og familiesenter - omsorg  Berglia ungdomshjem</t>
        </is>
      </c>
      <c r="D3170" s="18" t="n">
        <v>487</v>
      </c>
      <c r="E3170" s="18" t="n">
        <v>1689</v>
      </c>
      <c r="F3170" s="18" t="n">
        <v>200</v>
      </c>
      <c r="G3170" s="18" t="n">
        <v>1930</v>
      </c>
      <c r="H3170" s="18" t="n">
        <v>587</v>
      </c>
      <c r="I3170" s="18" t="n">
        <v>1525</v>
      </c>
      <c r="J3170" s="19" t="n">
        <v>2382.8125</v>
      </c>
      <c r="K3170" s="35" t="n">
        <v>0.25</v>
      </c>
    </row>
    <row r="3171">
      <c r="A3171" s="36" t="inlineStr">
        <is>
          <t>AGA SPK-tilskudd</t>
        </is>
      </c>
      <c r="B3171" s="36" t="inlineStr">
        <is>
          <t>Region Øst</t>
        </is>
      </c>
      <c r="C3171" s="36" t="inlineStr">
        <is>
          <t>Lierfoss ungdoms- og familiesenter - omsorg  Berglia ungdomshjem</t>
        </is>
      </c>
      <c r="D3171" s="26" t="n"/>
      <c r="E3171" s="26" t="n"/>
      <c r="F3171" s="26" t="n">
        <v>7797</v>
      </c>
      <c r="G3171" s="26" t="n"/>
      <c r="H3171" s="26" t="n">
        <v>274</v>
      </c>
      <c r="I3171" s="26" t="n"/>
      <c r="J3171" s="19" t="n">
        <v>0</v>
      </c>
      <c r="K3171" s="37" t="n">
        <v>0.065</v>
      </c>
    </row>
    <row r="3172">
      <c r="A3172" s="34" t="inlineStr">
        <is>
          <t>AGA SPK-tilskudd</t>
        </is>
      </c>
      <c r="B3172" s="34" t="inlineStr">
        <is>
          <t>Region Øst</t>
        </is>
      </c>
      <c r="C3172" s="34" t="inlineStr">
        <is>
          <t>Lierfoss ungdoms- og familiesenter - omsorg  Berglia ungdomshjem</t>
        </is>
      </c>
      <c r="D3172" s="18" t="n">
        <v>11741</v>
      </c>
      <c r="E3172" s="18" t="n">
        <v>2307</v>
      </c>
      <c r="F3172" s="18" t="n">
        <v>2501</v>
      </c>
      <c r="G3172" s="18" t="n">
        <v>6168</v>
      </c>
      <c r="H3172" s="18" t="n"/>
      <c r="I3172" s="18" t="n">
        <v>2265</v>
      </c>
      <c r="J3172" s="19" t="n">
        <v>1274.0625</v>
      </c>
      <c r="K3172" s="35" t="n">
        <v>-0.25</v>
      </c>
    </row>
    <row r="3173">
      <c r="A3173" s="36" t="inlineStr">
        <is>
          <t>AGA SPK-tilskudd</t>
        </is>
      </c>
      <c r="B3173" s="36" t="inlineStr">
        <is>
          <t>Region Øst</t>
        </is>
      </c>
      <c r="C3173" s="36" t="inlineStr">
        <is>
          <t>Lierfoss ungdoms- og familiesenter - omsorg  Berglia ungdomshjem</t>
        </is>
      </c>
      <c r="D3173" s="26" t="n">
        <v>701</v>
      </c>
      <c r="E3173" s="26" t="n">
        <v>1337</v>
      </c>
      <c r="F3173" s="26" t="n">
        <v>1208</v>
      </c>
      <c r="G3173" s="26" t="n">
        <v>1372</v>
      </c>
      <c r="H3173" s="26" t="n">
        <v>1414</v>
      </c>
      <c r="I3173" s="26" t="n">
        <v>1826</v>
      </c>
      <c r="J3173" s="19" t="n">
        <v>2678.02036506749</v>
      </c>
      <c r="K3173" s="37" t="n">
        <v>0.2110345990707654</v>
      </c>
    </row>
    <row r="3174">
      <c r="A3174" s="34" t="inlineStr">
        <is>
          <t>AGA SPK-tilskudd</t>
        </is>
      </c>
      <c r="B3174" s="34" t="inlineStr">
        <is>
          <t>Region Øst</t>
        </is>
      </c>
      <c r="C3174" s="34" t="inlineStr">
        <is>
          <t>Lierfoss ungdoms- og familiesenter - omsorg  Berglia ungdomshjem</t>
        </is>
      </c>
      <c r="D3174" s="18" t="n">
        <v>-4131</v>
      </c>
      <c r="E3174" s="18" t="n">
        <v>-5850</v>
      </c>
      <c r="F3174" s="18" t="n">
        <v>-2786</v>
      </c>
      <c r="G3174" s="18" t="n">
        <v>-18915</v>
      </c>
      <c r="H3174" s="18" t="n">
        <v>-9578</v>
      </c>
      <c r="I3174" s="18" t="n">
        <v>-22386</v>
      </c>
      <c r="J3174" s="19" t="n">
        <v>-25390.76085</v>
      </c>
      <c r="K3174" s="35" t="n">
        <v>0.065</v>
      </c>
    </row>
    <row r="3175">
      <c r="A3175" s="36" t="inlineStr">
        <is>
          <t>AGA SPK-tilskudd</t>
        </is>
      </c>
      <c r="B3175" s="36" t="inlineStr">
        <is>
          <t>Region Øst</t>
        </is>
      </c>
      <c r="C3175" s="36" t="inlineStr">
        <is>
          <t>Lierfoss ungdoms- og familiesenter - omsorg  Berglia ungdomshjem</t>
        </is>
      </c>
      <c r="D3175" s="26" t="n">
        <v>-366</v>
      </c>
      <c r="E3175" s="26" t="n">
        <v>-369047</v>
      </c>
      <c r="F3175" s="26" t="n">
        <v>-13268</v>
      </c>
      <c r="G3175" s="26" t="n"/>
      <c r="H3175" s="26" t="n"/>
      <c r="I3175" s="26" t="n">
        <v>-15072</v>
      </c>
      <c r="J3175" s="19" t="n">
        <v>-17095.0392</v>
      </c>
      <c r="K3175" s="37" t="n">
        <v>0.065</v>
      </c>
    </row>
    <row r="3176">
      <c r="A3176" s="34" t="inlineStr">
        <is>
          <t>AGA SPK-tilskudd</t>
        </is>
      </c>
      <c r="B3176" s="34" t="inlineStr">
        <is>
          <t>Region Øst</t>
        </is>
      </c>
      <c r="C3176" s="34" t="inlineStr">
        <is>
          <t>Lierfoss ungdoms- og familiesenter - omsorg  Berglia ungdomshjem</t>
        </is>
      </c>
      <c r="D3176" s="18" t="n">
        <v>-677218</v>
      </c>
      <c r="E3176" s="18" t="n">
        <v>-483612</v>
      </c>
      <c r="F3176" s="18" t="n">
        <v>-129144</v>
      </c>
      <c r="G3176" s="18" t="n">
        <v>-685725</v>
      </c>
      <c r="H3176" s="18" t="n">
        <v>-89050</v>
      </c>
      <c r="I3176" s="18" t="n">
        <v>-329061</v>
      </c>
      <c r="J3176" s="19" t="n">
        <v>-373229.2127249999</v>
      </c>
      <c r="K3176" s="35" t="n">
        <v>0.065</v>
      </c>
    </row>
    <row r="3177">
      <c r="A3177" s="36" t="inlineStr">
        <is>
          <t>AGA SPK-tilskudd</t>
        </is>
      </c>
      <c r="B3177" s="36" t="inlineStr">
        <is>
          <t>Region Øst</t>
        </is>
      </c>
      <c r="C3177" s="36" t="inlineStr">
        <is>
          <t>Lierfoss ungdoms- og familiesenter - omsorg  Furulia ungdomshjem</t>
        </is>
      </c>
      <c r="D3177" s="26" t="n">
        <v>62037</v>
      </c>
      <c r="E3177" s="26" t="n">
        <v>51847</v>
      </c>
      <c r="F3177" s="26" t="n">
        <v>69312</v>
      </c>
      <c r="G3177" s="26" t="n">
        <v>125142</v>
      </c>
      <c r="H3177" s="26" t="n">
        <v>137628</v>
      </c>
      <c r="I3177" s="26" t="n">
        <v>141119</v>
      </c>
      <c r="J3177" s="19" t="n">
        <v>196046.6254708889</v>
      </c>
      <c r="K3177" s="37" t="n">
        <v>0.1786556448386887</v>
      </c>
    </row>
    <row r="3178">
      <c r="A3178" s="34" t="inlineStr">
        <is>
          <t>AGA SPK-tilskudd</t>
        </is>
      </c>
      <c r="B3178" s="34" t="inlineStr">
        <is>
          <t>Region Øst</t>
        </is>
      </c>
      <c r="C3178" s="34" t="inlineStr">
        <is>
          <t>Lierfoss ungdoms- og familiesenter - omsorg  Furulia ungdomshjem</t>
        </is>
      </c>
      <c r="D3178" s="18" t="n"/>
      <c r="E3178" s="18" t="n"/>
      <c r="F3178" s="18" t="n">
        <v>42190</v>
      </c>
      <c r="G3178" s="18" t="n">
        <v>151231</v>
      </c>
      <c r="H3178" s="18" t="n">
        <v>43116</v>
      </c>
      <c r="I3178" s="18" t="n">
        <v>65715</v>
      </c>
      <c r="J3178" s="19" t="n">
        <v>74535.59587499998</v>
      </c>
      <c r="K3178" s="35" t="n">
        <v>0.065</v>
      </c>
    </row>
    <row r="3179">
      <c r="A3179" s="36" t="inlineStr">
        <is>
          <t>AGA SPK-tilskudd</t>
        </is>
      </c>
      <c r="B3179" s="36" t="inlineStr">
        <is>
          <t>Region Øst</t>
        </is>
      </c>
      <c r="C3179" s="36" t="inlineStr">
        <is>
          <t>Lierfoss ungdoms- og familiesenter - omsorg  Furulia ungdomshjem</t>
        </is>
      </c>
      <c r="D3179" s="26" t="n">
        <v>2700</v>
      </c>
      <c r="E3179" s="26" t="n">
        <v>4463</v>
      </c>
      <c r="F3179" s="26" t="n">
        <v>4318</v>
      </c>
      <c r="G3179" s="26" t="n">
        <v>2558</v>
      </c>
      <c r="H3179" s="26" t="n">
        <v>7680</v>
      </c>
      <c r="I3179" s="26" t="n">
        <v>13171</v>
      </c>
      <c r="J3179" s="19" t="n">
        <v>20579.6875</v>
      </c>
      <c r="K3179" s="37" t="n">
        <v>0.25</v>
      </c>
    </row>
    <row r="3180">
      <c r="A3180" s="34" t="inlineStr">
        <is>
          <t>AGA SPK-tilskudd</t>
        </is>
      </c>
      <c r="B3180" s="34" t="inlineStr">
        <is>
          <t>Region Øst</t>
        </is>
      </c>
      <c r="C3180" s="34" t="inlineStr">
        <is>
          <t>Lierfoss ungdoms- og familiesenter - omsorg  Furulia ungdomshjem</t>
        </is>
      </c>
      <c r="D3180" s="18" t="n">
        <v>7400</v>
      </c>
      <c r="E3180" s="18" t="n">
        <v>6493</v>
      </c>
      <c r="F3180" s="18" t="n">
        <v>13497</v>
      </c>
      <c r="G3180" s="18" t="n">
        <v>26550</v>
      </c>
      <c r="H3180" s="18" t="n">
        <v>31635</v>
      </c>
      <c r="I3180" s="18" t="n">
        <v>34745</v>
      </c>
      <c r="J3180" s="19" t="n">
        <v>54289.0625</v>
      </c>
      <c r="K3180" s="35" t="n">
        <v>0.25</v>
      </c>
    </row>
    <row r="3181">
      <c r="A3181" s="36" t="inlineStr">
        <is>
          <t>AGA SPK-tilskudd</t>
        </is>
      </c>
      <c r="B3181" s="36" t="inlineStr">
        <is>
          <t>Region Øst</t>
        </is>
      </c>
      <c r="C3181" s="36" t="inlineStr">
        <is>
          <t>Lierfoss ungdoms- og familiesenter - omsorg  Furulia ungdomshjem</t>
        </is>
      </c>
      <c r="D3181" s="26" t="n"/>
      <c r="E3181" s="26" t="n">
        <v>12637</v>
      </c>
      <c r="F3181" s="26" t="n">
        <v>7545</v>
      </c>
      <c r="G3181" s="26" t="n">
        <v>4939</v>
      </c>
      <c r="H3181" s="26" t="n">
        <v>2235</v>
      </c>
      <c r="I3181" s="26" t="n">
        <v>3999</v>
      </c>
      <c r="J3181" s="19" t="n">
        <v>2249.599016417823</v>
      </c>
      <c r="K3181" s="37" t="n">
        <v>-0.249973074348823</v>
      </c>
    </row>
    <row r="3182">
      <c r="A3182" s="34" t="inlineStr">
        <is>
          <t>AGA SPK-tilskudd</t>
        </is>
      </c>
      <c r="B3182" s="34" t="inlineStr">
        <is>
          <t>Region Øst</t>
        </is>
      </c>
      <c r="C3182" s="34" t="inlineStr">
        <is>
          <t>Lierfoss ungdoms- og familiesenter - omsorg  Furulia ungdomshjem</t>
        </is>
      </c>
      <c r="D3182" s="18" t="n"/>
      <c r="E3182" s="18" t="n">
        <v>8395</v>
      </c>
      <c r="F3182" s="18" t="n"/>
      <c r="G3182" s="18" t="n"/>
      <c r="H3182" s="18" t="n"/>
      <c r="I3182" s="18" t="n"/>
      <c r="J3182" s="19" t="n">
        <v>0</v>
      </c>
      <c r="K3182" s="35" t="n">
        <v>0.065</v>
      </c>
    </row>
    <row r="3183">
      <c r="A3183" s="36" t="inlineStr">
        <is>
          <t>AGA SPK-tilskudd</t>
        </is>
      </c>
      <c r="B3183" s="36" t="inlineStr">
        <is>
          <t>Region Øst</t>
        </is>
      </c>
      <c r="C3183" s="36" t="inlineStr">
        <is>
          <t>Lierfoss ungdoms- og familiesenter - omsorg  Furulia ungdomshjem</t>
        </is>
      </c>
      <c r="D3183" s="26" t="n">
        <v>570</v>
      </c>
      <c r="E3183" s="26" t="n">
        <v>158</v>
      </c>
      <c r="F3183" s="26" t="n">
        <v>3871</v>
      </c>
      <c r="G3183" s="26" t="n">
        <v>2312</v>
      </c>
      <c r="H3183" s="26" t="n">
        <v>8767</v>
      </c>
      <c r="I3183" s="26" t="n">
        <v>3878</v>
      </c>
      <c r="J3183" s="19" t="n">
        <v>6059.375</v>
      </c>
      <c r="K3183" s="37" t="n">
        <v>0.25</v>
      </c>
    </row>
    <row r="3184">
      <c r="A3184" s="34" t="inlineStr">
        <is>
          <t>AGA SPK-tilskudd</t>
        </is>
      </c>
      <c r="B3184" s="34" t="inlineStr">
        <is>
          <t>Region Øst</t>
        </is>
      </c>
      <c r="C3184" s="34" t="inlineStr">
        <is>
          <t>Lierfoss ungdoms- og familiesenter - omsorg  Furulia ungdomshjem</t>
        </is>
      </c>
      <c r="D3184" s="18" t="n">
        <v>837</v>
      </c>
      <c r="E3184" s="18" t="n">
        <v>505</v>
      </c>
      <c r="F3184" s="18" t="n"/>
      <c r="G3184" s="18" t="n"/>
      <c r="H3184" s="18" t="n">
        <v>3938</v>
      </c>
      <c r="I3184" s="18" t="n">
        <v>292</v>
      </c>
      <c r="J3184" s="19" t="n">
        <v>191.6221942066338</v>
      </c>
      <c r="K3184" s="35" t="n">
        <v>-0.1899133434510795</v>
      </c>
    </row>
    <row r="3185">
      <c r="A3185" s="36" t="inlineStr">
        <is>
          <t>AGA SPK-tilskudd</t>
        </is>
      </c>
      <c r="B3185" s="36" t="inlineStr">
        <is>
          <t>Region Øst</t>
        </is>
      </c>
      <c r="C3185" s="36" t="inlineStr">
        <is>
          <t>Lierfoss ungdoms- og familiesenter - omsorg  Furulia ungdomshjem</t>
        </is>
      </c>
      <c r="D3185" s="26" t="n"/>
      <c r="E3185" s="26" t="n"/>
      <c r="F3185" s="26" t="n"/>
      <c r="G3185" s="26" t="n"/>
      <c r="H3185" s="26" t="n">
        <v>1021</v>
      </c>
      <c r="I3185" s="26" t="n"/>
      <c r="J3185" s="19" t="n">
        <v>0</v>
      </c>
      <c r="K3185" s="37" t="n">
        <v>0.065</v>
      </c>
    </row>
    <row r="3186">
      <c r="A3186" s="34" t="inlineStr">
        <is>
          <t>AGA SPK-tilskudd</t>
        </is>
      </c>
      <c r="B3186" s="34" t="inlineStr">
        <is>
          <t>Region Øst</t>
        </is>
      </c>
      <c r="C3186" s="34" t="inlineStr">
        <is>
          <t>Lierfoss ungdoms- og familiesenter - omsorg  Furulia ungdomshjem</t>
        </is>
      </c>
      <c r="D3186" s="18" t="n">
        <v>5764</v>
      </c>
      <c r="E3186" s="18" t="n">
        <v>2069</v>
      </c>
      <c r="F3186" s="18" t="n">
        <v>364</v>
      </c>
      <c r="G3186" s="18" t="n">
        <v>1664</v>
      </c>
      <c r="H3186" s="18" t="n">
        <v>2815</v>
      </c>
      <c r="I3186" s="18" t="n"/>
      <c r="J3186" s="19" t="n">
        <v>0</v>
      </c>
      <c r="K3186" s="35" t="n">
        <v>0.065</v>
      </c>
    </row>
    <row r="3187">
      <c r="A3187" s="36" t="inlineStr">
        <is>
          <t>AGA SPK-tilskudd</t>
        </is>
      </c>
      <c r="B3187" s="36" t="inlineStr">
        <is>
          <t>Region Øst</t>
        </is>
      </c>
      <c r="C3187" s="36" t="inlineStr">
        <is>
          <t>Lierfoss ungdoms- og familiesenter - omsorg  Furulia ungdomshjem</t>
        </is>
      </c>
      <c r="D3187" s="26" t="n">
        <v>496</v>
      </c>
      <c r="E3187" s="26" t="n">
        <v>235</v>
      </c>
      <c r="F3187" s="26" t="n">
        <v>586</v>
      </c>
      <c r="G3187" s="26" t="n">
        <v>388</v>
      </c>
      <c r="H3187" s="26" t="n">
        <v>4244</v>
      </c>
      <c r="I3187" s="26" t="n">
        <v>2413</v>
      </c>
      <c r="J3187" s="19" t="n">
        <v>3770.3125</v>
      </c>
      <c r="K3187" s="37" t="n">
        <v>0.25</v>
      </c>
    </row>
    <row r="3188">
      <c r="A3188" s="34" t="inlineStr">
        <is>
          <t>AGA SPK-tilskudd</t>
        </is>
      </c>
      <c r="B3188" s="34" t="inlineStr">
        <is>
          <t>Region Øst</t>
        </is>
      </c>
      <c r="C3188" s="34" t="inlineStr">
        <is>
          <t>Lierfoss ungdoms- og familiesenter - omsorg  Furulia ungdomshjem</t>
        </is>
      </c>
      <c r="D3188" s="18" t="n"/>
      <c r="E3188" s="18" t="n"/>
      <c r="F3188" s="18" t="n">
        <v>128</v>
      </c>
      <c r="G3188" s="18" t="n"/>
      <c r="H3188" s="18" t="n"/>
      <c r="I3188" s="18" t="n"/>
      <c r="J3188" s="19" t="n">
        <v>0</v>
      </c>
      <c r="K3188" s="35" t="n">
        <v>0.065</v>
      </c>
    </row>
    <row r="3189">
      <c r="A3189" s="36" t="inlineStr">
        <is>
          <t>AGA SPK-tilskudd</t>
        </is>
      </c>
      <c r="B3189" s="36" t="inlineStr">
        <is>
          <t>Region Øst</t>
        </is>
      </c>
      <c r="C3189" s="36" t="inlineStr">
        <is>
          <t>Lierfoss ungdoms- og familiesenter - omsorg  Furulia ungdomshjem</t>
        </is>
      </c>
      <c r="D3189" s="26" t="n">
        <v>-2400</v>
      </c>
      <c r="E3189" s="26" t="n">
        <v>389</v>
      </c>
      <c r="F3189" s="26" t="n">
        <v>313</v>
      </c>
      <c r="G3189" s="26" t="n">
        <v>-19798</v>
      </c>
      <c r="H3189" s="26" t="n">
        <v>-25600</v>
      </c>
      <c r="I3189" s="26" t="n">
        <v>-32800</v>
      </c>
      <c r="J3189" s="19" t="n">
        <v>-37202.57999999999</v>
      </c>
      <c r="K3189" s="37" t="n">
        <v>0.065</v>
      </c>
    </row>
    <row r="3190">
      <c r="A3190" s="34" t="inlineStr">
        <is>
          <t>AGA SPK-tilskudd</t>
        </is>
      </c>
      <c r="B3190" s="34" t="inlineStr">
        <is>
          <t>Region Øst</t>
        </is>
      </c>
      <c r="C3190" s="34" t="inlineStr">
        <is>
          <t>Lierfoss ungdoms- og familiesenter - omsorg  Furulia ungdomshjem</t>
        </is>
      </c>
      <c r="D3190" s="18" t="n"/>
      <c r="E3190" s="18" t="n"/>
      <c r="F3190" s="18" t="n">
        <v>-41140</v>
      </c>
      <c r="G3190" s="18" t="n">
        <v>-206340</v>
      </c>
      <c r="H3190" s="18" t="n">
        <v>-164619</v>
      </c>
      <c r="I3190" s="18" t="n">
        <v>-11221</v>
      </c>
      <c r="J3190" s="19" t="n">
        <v>-12727.138725</v>
      </c>
      <c r="K3190" s="35" t="n">
        <v>0.065</v>
      </c>
    </row>
    <row r="3191">
      <c r="A3191" s="36" t="inlineStr">
        <is>
          <t>AGA SPK-tilskudd</t>
        </is>
      </c>
      <c r="B3191" s="36" t="inlineStr">
        <is>
          <t>Region Øst</t>
        </is>
      </c>
      <c r="C3191" s="36" t="inlineStr">
        <is>
          <t>Lierfoss ungdoms- og familiesenter - omsorg  Furulia ungdomshjem</t>
        </is>
      </c>
      <c r="D3191" s="26" t="n">
        <v>-296064</v>
      </c>
      <c r="E3191" s="26" t="n">
        <v>-645425</v>
      </c>
      <c r="F3191" s="26" t="n">
        <v>-289243</v>
      </c>
      <c r="G3191" s="26" t="n">
        <v>-152199</v>
      </c>
      <c r="H3191" s="26" t="n">
        <v>-391837</v>
      </c>
      <c r="I3191" s="26" t="n">
        <v>-769061</v>
      </c>
      <c r="J3191" s="19" t="n">
        <v>-872288.2127249999</v>
      </c>
      <c r="K3191" s="37" t="n">
        <v>0.065</v>
      </c>
    </row>
    <row r="3192">
      <c r="A3192" s="34" t="inlineStr">
        <is>
          <t>AGA SPK-tilskudd</t>
        </is>
      </c>
      <c r="B3192" s="34" t="inlineStr">
        <is>
          <t>Region Øst</t>
        </is>
      </c>
      <c r="C3192" s="34" t="inlineStr">
        <is>
          <t>Lierfoss ungdoms- og familiesenter - omsorg Lillehagen</t>
        </is>
      </c>
      <c r="D3192" s="18" t="n">
        <v>135441</v>
      </c>
      <c r="E3192" s="18" t="n">
        <v>78416</v>
      </c>
      <c r="F3192" s="18" t="n">
        <v>1279</v>
      </c>
      <c r="G3192" s="18" t="n"/>
      <c r="H3192" s="18" t="n"/>
      <c r="I3192" s="18" t="n"/>
      <c r="J3192" s="19" t="n">
        <v>0</v>
      </c>
      <c r="K3192" s="35" t="n">
        <v>0.065</v>
      </c>
    </row>
    <row r="3193">
      <c r="A3193" s="36" t="inlineStr">
        <is>
          <t>AGA SPK-tilskudd</t>
        </is>
      </c>
      <c r="B3193" s="36" t="inlineStr">
        <is>
          <t>Region Øst</t>
        </is>
      </c>
      <c r="C3193" s="36" t="inlineStr">
        <is>
          <t>Lierfoss ungdoms- og familiesenter - omsorg Lillehagen</t>
        </is>
      </c>
      <c r="D3193" s="26" t="n">
        <v>6977</v>
      </c>
      <c r="E3193" s="26" t="n">
        <v>26260</v>
      </c>
      <c r="F3193" s="26" t="n">
        <v>7868</v>
      </c>
      <c r="G3193" s="26" t="n"/>
      <c r="H3193" s="26" t="n"/>
      <c r="I3193" s="26" t="n"/>
      <c r="J3193" s="19" t="n">
        <v>0</v>
      </c>
      <c r="K3193" s="37" t="n">
        <v>0.065</v>
      </c>
    </row>
    <row r="3194">
      <c r="A3194" s="34" t="inlineStr">
        <is>
          <t>AGA SPK-tilskudd</t>
        </is>
      </c>
      <c r="B3194" s="34" t="inlineStr">
        <is>
          <t>Region Øst</t>
        </is>
      </c>
      <c r="C3194" s="34" t="inlineStr">
        <is>
          <t>Lierfoss ungdoms- og familiesenter - omsorg Lillehagen</t>
        </is>
      </c>
      <c r="D3194" s="18" t="n">
        <v>21200</v>
      </c>
      <c r="E3194" s="18" t="n">
        <v>15031</v>
      </c>
      <c r="F3194" s="18" t="n">
        <v>818</v>
      </c>
      <c r="G3194" s="18" t="n"/>
      <c r="H3194" s="18" t="n"/>
      <c r="I3194" s="18" t="n"/>
      <c r="J3194" s="19" t="n">
        <v>0</v>
      </c>
      <c r="K3194" s="35" t="n">
        <v>0.065</v>
      </c>
    </row>
    <row r="3195">
      <c r="A3195" s="36" t="inlineStr">
        <is>
          <t>AGA SPK-tilskudd</t>
        </is>
      </c>
      <c r="B3195" s="36" t="inlineStr">
        <is>
          <t>Region Øst</t>
        </is>
      </c>
      <c r="C3195" s="36" t="inlineStr">
        <is>
          <t>Lierfoss ungdoms- og familiesenter - omsorg Lillehagen</t>
        </is>
      </c>
      <c r="D3195" s="26" t="n">
        <v>1425</v>
      </c>
      <c r="E3195" s="26" t="n">
        <v>7266</v>
      </c>
      <c r="F3195" s="26" t="n"/>
      <c r="G3195" s="26" t="n"/>
      <c r="H3195" s="26" t="n"/>
      <c r="I3195" s="26" t="n"/>
      <c r="J3195" s="19" t="n">
        <v>0</v>
      </c>
      <c r="K3195" s="37" t="n">
        <v>0.065</v>
      </c>
    </row>
    <row r="3196">
      <c r="A3196" s="34" t="inlineStr">
        <is>
          <t>AGA SPK-tilskudd</t>
        </is>
      </c>
      <c r="B3196" s="34" t="inlineStr">
        <is>
          <t>Region Øst</t>
        </is>
      </c>
      <c r="C3196" s="34" t="inlineStr">
        <is>
          <t>Lierfoss ungdoms- og familiesenter - omsorg Lillehagen</t>
        </is>
      </c>
      <c r="D3196" s="18" t="n">
        <v>1162</v>
      </c>
      <c r="E3196" s="18" t="n">
        <v>20244</v>
      </c>
      <c r="F3196" s="18" t="n"/>
      <c r="G3196" s="18" t="n"/>
      <c r="H3196" s="18" t="n"/>
      <c r="I3196" s="18" t="n"/>
      <c r="J3196" s="19" t="n">
        <v>0</v>
      </c>
      <c r="K3196" s="35" t="n">
        <v>0.065</v>
      </c>
    </row>
    <row r="3197">
      <c r="A3197" s="36" t="inlineStr">
        <is>
          <t>AGA SPK-tilskudd</t>
        </is>
      </c>
      <c r="B3197" s="36" t="inlineStr">
        <is>
          <t>Region Øst</t>
        </is>
      </c>
      <c r="C3197" s="36" t="inlineStr">
        <is>
          <t>Lierfoss ungdoms- og familiesenter - omsorg Lillehagen</t>
        </is>
      </c>
      <c r="D3197" s="26" t="n">
        <v>280</v>
      </c>
      <c r="E3197" s="26" t="n">
        <v>188</v>
      </c>
      <c r="F3197" s="26" t="n"/>
      <c r="G3197" s="26" t="n"/>
      <c r="H3197" s="26" t="n"/>
      <c r="I3197" s="26" t="n"/>
      <c r="J3197" s="19" t="n">
        <v>0</v>
      </c>
      <c r="K3197" s="37" t="n">
        <v>0.065</v>
      </c>
    </row>
    <row r="3198">
      <c r="A3198" s="34" t="inlineStr">
        <is>
          <t>AGA SPK-tilskudd</t>
        </is>
      </c>
      <c r="B3198" s="34" t="inlineStr">
        <is>
          <t>Region Øst</t>
        </is>
      </c>
      <c r="C3198" s="34" t="inlineStr">
        <is>
          <t>Lierfoss ungdoms- og familiesenter - omsorg Lillehagen</t>
        </is>
      </c>
      <c r="D3198" s="18" t="n">
        <v>9187</v>
      </c>
      <c r="E3198" s="18" t="n">
        <v>3138</v>
      </c>
      <c r="F3198" s="18" t="n"/>
      <c r="G3198" s="18" t="n"/>
      <c r="H3198" s="18" t="n"/>
      <c r="I3198" s="18" t="n"/>
      <c r="J3198" s="19" t="n">
        <v>0</v>
      </c>
      <c r="K3198" s="35" t="n">
        <v>0.065</v>
      </c>
    </row>
    <row r="3199">
      <c r="A3199" s="36" t="inlineStr">
        <is>
          <t>AGA SPK-tilskudd</t>
        </is>
      </c>
      <c r="B3199" s="36" t="inlineStr">
        <is>
          <t>Region Øst</t>
        </is>
      </c>
      <c r="C3199" s="36" t="inlineStr">
        <is>
          <t>Lierfoss ungdoms- og familiesenter - omsorg Lillehagen</t>
        </is>
      </c>
      <c r="D3199" s="26" t="n">
        <v>987</v>
      </c>
      <c r="E3199" s="26" t="n">
        <v>4435</v>
      </c>
      <c r="F3199" s="26" t="n"/>
      <c r="G3199" s="26" t="n"/>
      <c r="H3199" s="26" t="n"/>
      <c r="I3199" s="26" t="n"/>
      <c r="J3199" s="19" t="n">
        <v>0</v>
      </c>
      <c r="K3199" s="37" t="n">
        <v>0.065</v>
      </c>
    </row>
    <row r="3200">
      <c r="A3200" s="34" t="inlineStr">
        <is>
          <t>AGA SPK-tilskudd</t>
        </is>
      </c>
      <c r="B3200" s="34" t="inlineStr">
        <is>
          <t>Region Øst</t>
        </is>
      </c>
      <c r="C3200" s="34" t="inlineStr">
        <is>
          <t>Lierfoss ungdoms- og familiesenter - omsorg Lillehagen</t>
        </is>
      </c>
      <c r="D3200" s="18" t="n">
        <v>5863</v>
      </c>
      <c r="E3200" s="18" t="n">
        <v>-800</v>
      </c>
      <c r="F3200" s="18" t="n"/>
      <c r="G3200" s="18" t="n"/>
      <c r="H3200" s="18" t="n"/>
      <c r="I3200" s="18" t="n"/>
      <c r="J3200" s="19" t="n">
        <v>0</v>
      </c>
      <c r="K3200" s="35" t="n">
        <v>0.065</v>
      </c>
    </row>
    <row r="3201">
      <c r="A3201" s="36" t="inlineStr">
        <is>
          <t>AGA SPK-tilskudd</t>
        </is>
      </c>
      <c r="B3201" s="36" t="inlineStr">
        <is>
          <t>Region Øst</t>
        </is>
      </c>
      <c r="C3201" s="36" t="inlineStr">
        <is>
          <t>Lierfoss ungdoms- og familiesenter - omsorg Lillehagen</t>
        </is>
      </c>
      <c r="D3201" s="26" t="n"/>
      <c r="E3201" s="26" t="n">
        <v>-244286</v>
      </c>
      <c r="F3201" s="26" t="n">
        <v>-3585</v>
      </c>
      <c r="G3201" s="26" t="n"/>
      <c r="H3201" s="26" t="n"/>
      <c r="I3201" s="26" t="n"/>
      <c r="J3201" s="19" t="n">
        <v>0</v>
      </c>
      <c r="K3201" s="37" t="n">
        <v>0.065</v>
      </c>
    </row>
    <row r="3202">
      <c r="A3202" s="34" t="inlineStr">
        <is>
          <t>AGA SPK-tilskudd</t>
        </is>
      </c>
      <c r="B3202" s="34" t="inlineStr">
        <is>
          <t>Region Øst</t>
        </is>
      </c>
      <c r="C3202" s="34" t="inlineStr">
        <is>
          <t>Lierfoss ungdoms- og familiesenter - omsorg Lillehagen</t>
        </is>
      </c>
      <c r="D3202" s="18" t="n">
        <v>-432781</v>
      </c>
      <c r="E3202" s="18" t="n">
        <v>-181725</v>
      </c>
      <c r="F3202" s="18" t="n">
        <v>3585</v>
      </c>
      <c r="G3202" s="18" t="n"/>
      <c r="H3202" s="18" t="n"/>
      <c r="I3202" s="18" t="n"/>
      <c r="J3202" s="19" t="n">
        <v>0</v>
      </c>
      <c r="K3202" s="35" t="n">
        <v>0.065</v>
      </c>
    </row>
    <row r="3203">
      <c r="A3203" s="36" t="inlineStr">
        <is>
          <t>AGA SPK-tilskudd</t>
        </is>
      </c>
      <c r="B3203" s="36" t="inlineStr">
        <is>
          <t>Region Øst</t>
        </is>
      </c>
      <c r="C3203" s="36" t="inlineStr">
        <is>
          <t>Lierfoss ungdoms- og familiesenter, avdeling Riserhagen</t>
        </is>
      </c>
      <c r="D3203" s="26" t="n"/>
      <c r="E3203" s="26" t="n">
        <v>40984</v>
      </c>
      <c r="F3203" s="26" t="n">
        <v>114572</v>
      </c>
      <c r="G3203" s="26" t="n">
        <v>150443</v>
      </c>
      <c r="H3203" s="26" t="n">
        <v>148874</v>
      </c>
      <c r="I3203" s="26" t="n">
        <v>154701</v>
      </c>
      <c r="J3203" s="19" t="n">
        <v>241720.3125</v>
      </c>
      <c r="K3203" s="37" t="n">
        <v>0.25</v>
      </c>
    </row>
    <row r="3204">
      <c r="A3204" s="34" t="inlineStr">
        <is>
          <t>AGA SPK-tilskudd</t>
        </is>
      </c>
      <c r="B3204" s="34" t="inlineStr">
        <is>
          <t>Region Øst</t>
        </is>
      </c>
      <c r="C3204" s="34" t="inlineStr">
        <is>
          <t>Lierfoss ungdoms- og familiesenter, avdeling Riserhagen</t>
        </is>
      </c>
      <c r="D3204" s="18" t="n"/>
      <c r="E3204" s="18" t="n"/>
      <c r="F3204" s="18" t="n">
        <v>3751</v>
      </c>
      <c r="G3204" s="18" t="n">
        <v>221186</v>
      </c>
      <c r="H3204" s="18" t="n">
        <v>75248</v>
      </c>
      <c r="I3204" s="18" t="n">
        <v>220756</v>
      </c>
      <c r="J3204" s="19" t="n">
        <v>250386.9741</v>
      </c>
      <c r="K3204" s="35" t="n">
        <v>0.065</v>
      </c>
    </row>
    <row r="3205">
      <c r="A3205" s="36" t="inlineStr">
        <is>
          <t>AGA SPK-tilskudd</t>
        </is>
      </c>
      <c r="B3205" s="36" t="inlineStr">
        <is>
          <t>Region Øst</t>
        </is>
      </c>
      <c r="C3205" s="36" t="inlineStr">
        <is>
          <t>Lierfoss ungdoms- og familiesenter, avdeling Riserhagen</t>
        </is>
      </c>
      <c r="D3205" s="26" t="n"/>
      <c r="E3205" s="26" t="n">
        <v>1087</v>
      </c>
      <c r="F3205" s="26" t="n">
        <v>49596</v>
      </c>
      <c r="G3205" s="26" t="n">
        <v>22284</v>
      </c>
      <c r="H3205" s="26" t="n">
        <v>43081</v>
      </c>
      <c r="I3205" s="26" t="n">
        <v>22434</v>
      </c>
      <c r="J3205" s="19" t="n">
        <v>35053.125</v>
      </c>
      <c r="K3205" s="37" t="n">
        <v>0.25</v>
      </c>
    </row>
    <row r="3206">
      <c r="A3206" s="34" t="inlineStr">
        <is>
          <t>AGA SPK-tilskudd</t>
        </is>
      </c>
      <c r="B3206" s="34" t="inlineStr">
        <is>
          <t>Region Øst</t>
        </is>
      </c>
      <c r="C3206" s="34" t="inlineStr">
        <is>
          <t>Lierfoss ungdoms- og familiesenter, avdeling Riserhagen</t>
        </is>
      </c>
      <c r="D3206" s="18" t="n"/>
      <c r="E3206" s="18" t="n">
        <v>7873</v>
      </c>
      <c r="F3206" s="18" t="n">
        <v>27710</v>
      </c>
      <c r="G3206" s="18" t="n">
        <v>35495</v>
      </c>
      <c r="H3206" s="18" t="n">
        <v>39544</v>
      </c>
      <c r="I3206" s="18" t="n">
        <v>48430</v>
      </c>
      <c r="J3206" s="19" t="n">
        <v>75671.875</v>
      </c>
      <c r="K3206" s="35" t="n">
        <v>0.25</v>
      </c>
    </row>
    <row r="3207">
      <c r="A3207" s="36" t="inlineStr">
        <is>
          <t>AGA SPK-tilskudd</t>
        </is>
      </c>
      <c r="B3207" s="36" t="inlineStr">
        <is>
          <t>Region Øst</t>
        </is>
      </c>
      <c r="C3207" s="36" t="inlineStr">
        <is>
          <t>Lierfoss ungdoms- og familiesenter, avdeling Riserhagen</t>
        </is>
      </c>
      <c r="D3207" s="26" t="n"/>
      <c r="E3207" s="26" t="n"/>
      <c r="F3207" s="26" t="n">
        <v>14517</v>
      </c>
      <c r="G3207" s="26" t="n">
        <v>1622</v>
      </c>
      <c r="H3207" s="26" t="n">
        <v>1290</v>
      </c>
      <c r="I3207" s="26" t="n">
        <v>2666</v>
      </c>
      <c r="J3207" s="19" t="n">
        <v>3023.843849999999</v>
      </c>
      <c r="K3207" s="37" t="n">
        <v>0.065</v>
      </c>
    </row>
    <row r="3208">
      <c r="A3208" s="34" t="inlineStr">
        <is>
          <t>AGA SPK-tilskudd</t>
        </is>
      </c>
      <c r="B3208" s="34" t="inlineStr">
        <is>
          <t>Region Øst</t>
        </is>
      </c>
      <c r="C3208" s="34" t="inlineStr">
        <is>
          <t>Lierfoss ungdoms- og familiesenter, avdeling Riserhagen</t>
        </is>
      </c>
      <c r="D3208" s="18" t="n"/>
      <c r="E3208" s="18" t="n"/>
      <c r="F3208" s="18" t="n">
        <v>16128</v>
      </c>
      <c r="G3208" s="18" t="n">
        <v>10383</v>
      </c>
      <c r="H3208" s="18" t="n">
        <v>8234</v>
      </c>
      <c r="I3208" s="18" t="n">
        <v>4228</v>
      </c>
      <c r="J3208" s="19" t="n">
        <v>4795.503299999999</v>
      </c>
      <c r="K3208" s="35" t="n">
        <v>0.065</v>
      </c>
    </row>
    <row r="3209">
      <c r="A3209" s="36" t="inlineStr">
        <is>
          <t>AGA SPK-tilskudd</t>
        </is>
      </c>
      <c r="B3209" s="36" t="inlineStr">
        <is>
          <t>Region Øst</t>
        </is>
      </c>
      <c r="C3209" s="36" t="inlineStr">
        <is>
          <t>Lierfoss ungdoms- og familiesenter, avdeling Riserhagen</t>
        </is>
      </c>
      <c r="D3209" s="26" t="n"/>
      <c r="E3209" s="26" t="n"/>
      <c r="F3209" s="26" t="n"/>
      <c r="G3209" s="26" t="n"/>
      <c r="H3209" s="26" t="n">
        <v>2448</v>
      </c>
      <c r="I3209" s="26" t="n">
        <v>6977</v>
      </c>
      <c r="J3209" s="19" t="n">
        <v>7913.487824999998</v>
      </c>
      <c r="K3209" s="37" t="n">
        <v>0.065</v>
      </c>
    </row>
    <row r="3210">
      <c r="A3210" s="34" t="inlineStr">
        <is>
          <t>AGA SPK-tilskudd</t>
        </is>
      </c>
      <c r="B3210" s="34" t="inlineStr">
        <is>
          <t>Region Øst</t>
        </is>
      </c>
      <c r="C3210" s="34" t="inlineStr">
        <is>
          <t>Lierfoss ungdoms- og familiesenter, avdeling Riserhagen</t>
        </is>
      </c>
      <c r="D3210" s="18" t="n"/>
      <c r="E3210" s="18" t="n"/>
      <c r="F3210" s="18" t="n"/>
      <c r="G3210" s="18" t="n"/>
      <c r="H3210" s="18" t="n">
        <v>4426</v>
      </c>
      <c r="I3210" s="18" t="n">
        <v>6078</v>
      </c>
      <c r="J3210" s="19" t="n">
        <v>6893.819549999999</v>
      </c>
      <c r="K3210" s="35" t="n">
        <v>0.065</v>
      </c>
    </row>
    <row r="3211">
      <c r="A3211" s="36" t="inlineStr">
        <is>
          <t>AGA SPK-tilskudd</t>
        </is>
      </c>
      <c r="B3211" s="36" t="inlineStr">
        <is>
          <t>Region Øst</t>
        </is>
      </c>
      <c r="C3211" s="36" t="inlineStr">
        <is>
          <t>Lierfoss ungdoms- og familiesenter, avdeling Riserhagen</t>
        </is>
      </c>
      <c r="D3211" s="26" t="n"/>
      <c r="E3211" s="26" t="n"/>
      <c r="F3211" s="26" t="n">
        <v>2353</v>
      </c>
      <c r="G3211" s="26" t="n">
        <v>350</v>
      </c>
      <c r="H3211" s="26" t="n">
        <v>874</v>
      </c>
      <c r="I3211" s="26" t="n">
        <v>6841</v>
      </c>
      <c r="J3211" s="19" t="n">
        <v>7759.233224999999</v>
      </c>
      <c r="K3211" s="37" t="n">
        <v>0.065</v>
      </c>
    </row>
    <row r="3212">
      <c r="A3212" s="34" t="inlineStr">
        <is>
          <t>AGA SPK-tilskudd</t>
        </is>
      </c>
      <c r="B3212" s="34" t="inlineStr">
        <is>
          <t>Region Øst</t>
        </is>
      </c>
      <c r="C3212" s="34" t="inlineStr">
        <is>
          <t>Lierfoss ungdoms- og familiesenter, avdeling Riserhagen</t>
        </is>
      </c>
      <c r="D3212" s="18" t="n"/>
      <c r="E3212" s="18" t="n"/>
      <c r="F3212" s="18" t="n">
        <v>2357</v>
      </c>
      <c r="G3212" s="18" t="n">
        <v>2682</v>
      </c>
      <c r="H3212" s="18" t="n">
        <v>3810</v>
      </c>
      <c r="I3212" s="18" t="n">
        <v>4160</v>
      </c>
      <c r="J3212" s="19" t="n">
        <v>4718.375999999999</v>
      </c>
      <c r="K3212" s="35" t="n">
        <v>0.065</v>
      </c>
    </row>
    <row r="3213">
      <c r="A3213" s="36" t="inlineStr">
        <is>
          <t>AGA SPK-tilskudd</t>
        </is>
      </c>
      <c r="B3213" s="36" t="inlineStr">
        <is>
          <t>Region Øst</t>
        </is>
      </c>
      <c r="C3213" s="36" t="inlineStr">
        <is>
          <t>Lierfoss ungdoms- og familiesenter, avdeling Riserhagen</t>
        </is>
      </c>
      <c r="D3213" s="26" t="n"/>
      <c r="E3213" s="26" t="n"/>
      <c r="F3213" s="26" t="n"/>
      <c r="G3213" s="26" t="n"/>
      <c r="H3213" s="26" t="n"/>
      <c r="I3213" s="26" t="n">
        <v>7370</v>
      </c>
      <c r="J3213" s="19" t="n">
        <v>8359.238249999999</v>
      </c>
      <c r="K3213" s="37" t="n">
        <v>0.065</v>
      </c>
    </row>
    <row r="3214">
      <c r="A3214" s="34" t="inlineStr">
        <is>
          <t>AGA SPK-tilskudd</t>
        </is>
      </c>
      <c r="B3214" s="34" t="inlineStr">
        <is>
          <t>Region Øst</t>
        </is>
      </c>
      <c r="C3214" s="34" t="inlineStr">
        <is>
          <t>Lierfoss ungdoms- og familiesenter, avdeling Riserhagen</t>
        </is>
      </c>
      <c r="D3214" s="18" t="n"/>
      <c r="E3214" s="18" t="n">
        <v>-800</v>
      </c>
      <c r="F3214" s="18" t="n">
        <v>32182</v>
      </c>
      <c r="G3214" s="18" t="n">
        <v>-15346</v>
      </c>
      <c r="H3214" s="18" t="n">
        <v>-22300</v>
      </c>
      <c r="I3214" s="18" t="n">
        <v>-36976</v>
      </c>
      <c r="J3214" s="19" t="n">
        <v>-41939.10359999999</v>
      </c>
      <c r="K3214" s="35" t="n">
        <v>0.065</v>
      </c>
    </row>
    <row r="3215">
      <c r="A3215" s="36" t="inlineStr">
        <is>
          <t>AGA SPK-tilskudd</t>
        </is>
      </c>
      <c r="B3215" s="36" t="inlineStr">
        <is>
          <t>Region Øst</t>
        </is>
      </c>
      <c r="C3215" s="36" t="inlineStr">
        <is>
          <t>Lierfoss ungdoms- og familiesenter, avdeling Riserhagen</t>
        </is>
      </c>
      <c r="D3215" s="26" t="n"/>
      <c r="E3215" s="26" t="n">
        <v>-189904</v>
      </c>
      <c r="F3215" s="26" t="n">
        <v>-282232</v>
      </c>
      <c r="G3215" s="26" t="n">
        <v>-191204</v>
      </c>
      <c r="H3215" s="26" t="n">
        <v>-194398</v>
      </c>
      <c r="I3215" s="26" t="n">
        <v>-190570</v>
      </c>
      <c r="J3215" s="19" t="n">
        <v>-216149.25825</v>
      </c>
      <c r="K3215" s="37" t="n">
        <v>0.065</v>
      </c>
    </row>
    <row r="3216">
      <c r="A3216" s="34" t="inlineStr">
        <is>
          <t>AGA SPK-tilskudd</t>
        </is>
      </c>
      <c r="B3216" s="34" t="inlineStr">
        <is>
          <t>Region Øst</t>
        </is>
      </c>
      <c r="C3216" s="34" t="inlineStr">
        <is>
          <t>Lierfoss ungdoms- og familiesenter, avdeling Riserhagen</t>
        </is>
      </c>
      <c r="D3216" s="18" t="n"/>
      <c r="E3216" s="18" t="n">
        <v>-14710</v>
      </c>
      <c r="F3216" s="18" t="n">
        <v>-953848</v>
      </c>
      <c r="G3216" s="18" t="n">
        <v>-537119</v>
      </c>
      <c r="H3216" s="18" t="n">
        <v>-635933</v>
      </c>
      <c r="I3216" s="18" t="n">
        <v>-1235906</v>
      </c>
      <c r="J3216" s="19" t="n">
        <v>-1401795.48285</v>
      </c>
      <c r="K3216" s="35" t="n">
        <v>0.065</v>
      </c>
    </row>
    <row r="3217">
      <c r="A3217" s="36" t="inlineStr">
        <is>
          <t>AGA SPK-tilskudd</t>
        </is>
      </c>
      <c r="B3217" s="36" t="inlineStr">
        <is>
          <t>Region Øst</t>
        </is>
      </c>
      <c r="C3217" s="36" t="inlineStr">
        <is>
          <t>Multisystemisk  terapi-team Gjøvik</t>
        </is>
      </c>
      <c r="D3217" s="26" t="n"/>
      <c r="E3217" s="26" t="n"/>
      <c r="F3217" s="26" t="n">
        <v>-8688</v>
      </c>
      <c r="G3217" s="26" t="n"/>
      <c r="H3217" s="26" t="n"/>
      <c r="I3217" s="26" t="n"/>
      <c r="J3217" s="19" t="n">
        <v>0</v>
      </c>
      <c r="K3217" s="37" t="n">
        <v>0.065</v>
      </c>
    </row>
    <row r="3218">
      <c r="A3218" s="34" t="inlineStr">
        <is>
          <t>AGA SPK-tilskudd</t>
        </is>
      </c>
      <c r="B3218" s="34" t="inlineStr">
        <is>
          <t>Region Øst</t>
        </is>
      </c>
      <c r="C3218" s="34" t="inlineStr">
        <is>
          <t>Multisystemisk  terapi-team Hamar</t>
        </is>
      </c>
      <c r="D3218" s="18" t="n"/>
      <c r="E3218" s="18" t="n"/>
      <c r="F3218" s="18" t="n">
        <v>-8742</v>
      </c>
      <c r="G3218" s="18" t="n"/>
      <c r="H3218" s="18" t="n"/>
      <c r="I3218" s="18" t="n"/>
      <c r="J3218" s="19" t="n">
        <v>0</v>
      </c>
      <c r="K3218" s="35" t="n">
        <v>0.065</v>
      </c>
    </row>
    <row r="3219">
      <c r="A3219" s="36" t="inlineStr">
        <is>
          <t>AGA SPK-tilskudd</t>
        </is>
      </c>
      <c r="B3219" s="36" t="inlineStr">
        <is>
          <t>Region Øst</t>
        </is>
      </c>
      <c r="C3219" s="36" t="inlineStr">
        <is>
          <t>Multisystemisk  terapi-team Sarpsborg</t>
        </is>
      </c>
      <c r="D3219" s="26" t="n"/>
      <c r="E3219" s="26" t="n"/>
      <c r="F3219" s="26" t="n">
        <v>-9441</v>
      </c>
      <c r="G3219" s="26" t="n"/>
      <c r="H3219" s="26" t="n"/>
      <c r="I3219" s="26" t="n"/>
      <c r="J3219" s="19" t="n">
        <v>0</v>
      </c>
      <c r="K3219" s="37" t="n">
        <v>0.065</v>
      </c>
    </row>
    <row r="3220">
      <c r="A3220" s="34" t="inlineStr">
        <is>
          <t>AGA SPK-tilskudd</t>
        </is>
      </c>
      <c r="B3220" s="34" t="inlineStr">
        <is>
          <t>Region Øst</t>
        </is>
      </c>
      <c r="C3220" s="34" t="inlineStr">
        <is>
          <t>Multisystemisk  terapi-team Ski</t>
        </is>
      </c>
      <c r="D3220" s="18" t="n"/>
      <c r="E3220" s="18" t="n">
        <v>2392</v>
      </c>
      <c r="F3220" s="18" t="n">
        <v>-8904</v>
      </c>
      <c r="G3220" s="18" t="n"/>
      <c r="H3220" s="18" t="n"/>
      <c r="I3220" s="18" t="n"/>
      <c r="J3220" s="19" t="n">
        <v>0</v>
      </c>
      <c r="K3220" s="35" t="n">
        <v>0.065</v>
      </c>
    </row>
    <row r="3221">
      <c r="A3221" s="36" t="inlineStr">
        <is>
          <t>AGA SPK-tilskudd</t>
        </is>
      </c>
      <c r="B3221" s="36" t="inlineStr">
        <is>
          <t>Region Øst</t>
        </is>
      </c>
      <c r="C3221" s="36" t="inlineStr">
        <is>
          <t>Multisystemisk  terapi-team Ski</t>
        </is>
      </c>
      <c r="D3221" s="26" t="n"/>
      <c r="E3221" s="26" t="n">
        <v>348</v>
      </c>
      <c r="F3221" s="26" t="n"/>
      <c r="G3221" s="26" t="n"/>
      <c r="H3221" s="26" t="n"/>
      <c r="I3221" s="26" t="n"/>
      <c r="J3221" s="19" t="n">
        <v>0</v>
      </c>
      <c r="K3221" s="37" t="n">
        <v>0.065</v>
      </c>
    </row>
    <row r="3222">
      <c r="A3222" s="34" t="inlineStr">
        <is>
          <t>AGA SPK-tilskudd</t>
        </is>
      </c>
      <c r="B3222" s="34" t="inlineStr">
        <is>
          <t>Region Øst</t>
        </is>
      </c>
      <c r="C3222" s="34" t="inlineStr">
        <is>
          <t>Multisystemisk  terapi-team Ski</t>
        </is>
      </c>
      <c r="D3222" s="18" t="n"/>
      <c r="E3222" s="18" t="n"/>
      <c r="F3222" s="18" t="n">
        <v>485</v>
      </c>
      <c r="G3222" s="18" t="n"/>
      <c r="H3222" s="18" t="n"/>
      <c r="I3222" s="18" t="n"/>
      <c r="J3222" s="19" t="n">
        <v>0</v>
      </c>
      <c r="K3222" s="35" t="n">
        <v>0.065</v>
      </c>
    </row>
    <row r="3223">
      <c r="A3223" s="36" t="inlineStr">
        <is>
          <t>AGA SPK-tilskudd</t>
        </is>
      </c>
      <c r="B3223" s="36" t="inlineStr">
        <is>
          <t>Region Øst</t>
        </is>
      </c>
      <c r="C3223" s="36" t="inlineStr">
        <is>
          <t>Multisystemisk terapi-team Nedre Romerike</t>
        </is>
      </c>
      <c r="D3223" s="26" t="n"/>
      <c r="E3223" s="26" t="n">
        <v>2434</v>
      </c>
      <c r="F3223" s="26" t="n">
        <v>-8329</v>
      </c>
      <c r="G3223" s="26" t="n"/>
      <c r="H3223" s="26" t="n"/>
      <c r="I3223" s="26" t="n"/>
      <c r="J3223" s="19" t="n">
        <v>0</v>
      </c>
      <c r="K3223" s="37" t="n">
        <v>0.065</v>
      </c>
    </row>
    <row r="3224">
      <c r="A3224" s="34" t="inlineStr">
        <is>
          <t>AGA SPK-tilskudd</t>
        </is>
      </c>
      <c r="B3224" s="34" t="inlineStr">
        <is>
          <t>Region Øst</t>
        </is>
      </c>
      <c r="C3224" s="34" t="inlineStr">
        <is>
          <t>Multisystemisk terapi-team Nedre Romerike</t>
        </is>
      </c>
      <c r="D3224" s="18" t="n"/>
      <c r="E3224" s="18" t="n">
        <v>36</v>
      </c>
      <c r="F3224" s="18" t="n"/>
      <c r="G3224" s="18" t="n"/>
      <c r="H3224" s="18" t="n"/>
      <c r="I3224" s="18" t="n"/>
      <c r="J3224" s="19" t="n">
        <v>0</v>
      </c>
      <c r="K3224" s="35" t="n">
        <v>0.065</v>
      </c>
    </row>
    <row r="3225">
      <c r="A3225" s="36" t="inlineStr">
        <is>
          <t>AGA SPK-tilskudd</t>
        </is>
      </c>
      <c r="B3225" s="36" t="inlineStr">
        <is>
          <t>Region Øst</t>
        </is>
      </c>
      <c r="C3225" s="36" t="inlineStr">
        <is>
          <t>Multisystemisk terapi-team Nedre Romerike</t>
        </is>
      </c>
      <c r="D3225" s="26" t="n"/>
      <c r="E3225" s="26" t="n">
        <v>354</v>
      </c>
      <c r="F3225" s="26" t="n"/>
      <c r="G3225" s="26" t="n"/>
      <c r="H3225" s="26" t="n"/>
      <c r="I3225" s="26" t="n"/>
      <c r="J3225" s="19" t="n">
        <v>0</v>
      </c>
      <c r="K3225" s="37" t="n">
        <v>0.065</v>
      </c>
    </row>
    <row r="3226">
      <c r="A3226" s="34" t="inlineStr">
        <is>
          <t>AGA SPK-tilskudd</t>
        </is>
      </c>
      <c r="B3226" s="34" t="inlineStr">
        <is>
          <t>Region Øst</t>
        </is>
      </c>
      <c r="C3226" s="34" t="inlineStr">
        <is>
          <t>Multisystemisk terapi-team Nedre Romerike</t>
        </is>
      </c>
      <c r="D3226" s="18" t="n"/>
      <c r="E3226" s="18" t="n"/>
      <c r="F3226" s="18" t="n"/>
      <c r="G3226" s="18" t="n">
        <v>294</v>
      </c>
      <c r="H3226" s="18" t="n"/>
      <c r="I3226" s="18" t="n"/>
      <c r="J3226" s="19" t="n">
        <v>0</v>
      </c>
      <c r="K3226" s="35" t="n">
        <v>0.065</v>
      </c>
    </row>
    <row r="3227">
      <c r="A3227" s="36" t="inlineStr">
        <is>
          <t>AGA SPK-tilskudd</t>
        </is>
      </c>
      <c r="B3227" s="36" t="inlineStr">
        <is>
          <t>Region Øst</t>
        </is>
      </c>
      <c r="C3227" s="36" t="inlineStr">
        <is>
          <t>Multisystemisk terapi-team Sandvika</t>
        </is>
      </c>
      <c r="D3227" s="26" t="n"/>
      <c r="E3227" s="26" t="n">
        <v>4555</v>
      </c>
      <c r="F3227" s="26" t="n">
        <v>-7920</v>
      </c>
      <c r="G3227" s="26" t="n"/>
      <c r="H3227" s="26" t="n"/>
      <c r="I3227" s="26" t="n"/>
      <c r="J3227" s="19" t="n">
        <v>0</v>
      </c>
      <c r="K3227" s="37" t="n">
        <v>0.065</v>
      </c>
    </row>
    <row r="3228">
      <c r="A3228" s="34" t="inlineStr">
        <is>
          <t>AGA SPK-tilskudd</t>
        </is>
      </c>
      <c r="B3228" s="34" t="inlineStr">
        <is>
          <t>Region Øst</t>
        </is>
      </c>
      <c r="C3228" s="34" t="inlineStr">
        <is>
          <t>Multisystemisk terapi-team Sandvika</t>
        </is>
      </c>
      <c r="D3228" s="18" t="n"/>
      <c r="E3228" s="18" t="n">
        <v>442</v>
      </c>
      <c r="F3228" s="18" t="n">
        <v>108</v>
      </c>
      <c r="G3228" s="18" t="n"/>
      <c r="H3228" s="18" t="n"/>
      <c r="I3228" s="18" t="n"/>
      <c r="J3228" s="19" t="n">
        <v>0</v>
      </c>
      <c r="K3228" s="35" t="n">
        <v>0.065</v>
      </c>
    </row>
    <row r="3229">
      <c r="A3229" s="36" t="inlineStr">
        <is>
          <t>AGA SPK-tilskudd</t>
        </is>
      </c>
      <c r="B3229" s="36" t="inlineStr">
        <is>
          <t>Region Øst</t>
        </is>
      </c>
      <c r="C3229" s="36" t="inlineStr">
        <is>
          <t>Multisystemisk terapi-team Sandvika</t>
        </is>
      </c>
      <c r="D3229" s="26" t="n"/>
      <c r="E3229" s="26" t="n">
        <v>962</v>
      </c>
      <c r="F3229" s="26" t="n">
        <v>153</v>
      </c>
      <c r="G3229" s="26" t="n"/>
      <c r="H3229" s="26" t="n"/>
      <c r="I3229" s="26" t="n"/>
      <c r="J3229" s="19" t="n">
        <v>0</v>
      </c>
      <c r="K3229" s="37" t="n">
        <v>0.065</v>
      </c>
    </row>
    <row r="3230">
      <c r="A3230" s="34" t="inlineStr">
        <is>
          <t>AGA SPK-tilskudd</t>
        </is>
      </c>
      <c r="B3230" s="34" t="inlineStr">
        <is>
          <t>Region Øst</t>
        </is>
      </c>
      <c r="C3230" s="34" t="inlineStr">
        <is>
          <t>Multisystemisk terapi-team Sandvika</t>
        </is>
      </c>
      <c r="D3230" s="18" t="n"/>
      <c r="E3230" s="18" t="n"/>
      <c r="F3230" s="18" t="n">
        <v>360</v>
      </c>
      <c r="G3230" s="18" t="n"/>
      <c r="H3230" s="18" t="n"/>
      <c r="I3230" s="18" t="n"/>
      <c r="J3230" s="19" t="n">
        <v>0</v>
      </c>
      <c r="K3230" s="35" t="n">
        <v>0.065</v>
      </c>
    </row>
    <row r="3231">
      <c r="A3231" s="36" t="inlineStr">
        <is>
          <t>AGA SPK-tilskudd</t>
        </is>
      </c>
      <c r="B3231" s="36" t="inlineStr">
        <is>
          <t>Region Øst</t>
        </is>
      </c>
      <c r="C3231" s="36" t="inlineStr">
        <is>
          <t>Multisystemisk terapi-team Sandvika</t>
        </is>
      </c>
      <c r="D3231" s="26" t="n"/>
      <c r="E3231" s="26" t="n"/>
      <c r="F3231" s="26" t="n">
        <v>369</v>
      </c>
      <c r="G3231" s="26" t="n"/>
      <c r="H3231" s="26" t="n"/>
      <c r="I3231" s="26" t="n"/>
      <c r="J3231" s="19" t="n">
        <v>0</v>
      </c>
      <c r="K3231" s="37" t="n">
        <v>0.065</v>
      </c>
    </row>
    <row r="3232">
      <c r="A3232" s="34" t="inlineStr">
        <is>
          <t>AGA SPK-tilskudd</t>
        </is>
      </c>
      <c r="B3232" s="34" t="inlineStr">
        <is>
          <t>Region Øst</t>
        </is>
      </c>
      <c r="C3232" s="34" t="inlineStr">
        <is>
          <t>Multisystemisk terapi-team Sandvika</t>
        </is>
      </c>
      <c r="D3232" s="18" t="n"/>
      <c r="E3232" s="18" t="n"/>
      <c r="F3232" s="18" t="n">
        <v>241</v>
      </c>
      <c r="G3232" s="18" t="n"/>
      <c r="H3232" s="18" t="n"/>
      <c r="I3232" s="18" t="n"/>
      <c r="J3232" s="19" t="n">
        <v>0</v>
      </c>
      <c r="K3232" s="35" t="n">
        <v>0.065</v>
      </c>
    </row>
    <row r="3233">
      <c r="A3233" s="36" t="inlineStr">
        <is>
          <t>AGA SPK-tilskudd</t>
        </is>
      </c>
      <c r="B3233" s="36" t="inlineStr">
        <is>
          <t>Region Øst</t>
        </is>
      </c>
      <c r="C3233" s="36" t="inlineStr">
        <is>
          <t>Region øst økonomi og virksomhetsstyring</t>
        </is>
      </c>
      <c r="D3233" s="26" t="n"/>
      <c r="E3233" s="26" t="n">
        <v>794</v>
      </c>
      <c r="F3233" s="26" t="n"/>
      <c r="G3233" s="26" t="n"/>
      <c r="H3233" s="26" t="n"/>
      <c r="I3233" s="26" t="n"/>
      <c r="J3233" s="19" t="n">
        <v>0</v>
      </c>
      <c r="K3233" s="37" t="n">
        <v>0.065</v>
      </c>
    </row>
    <row r="3234">
      <c r="A3234" s="34" t="inlineStr">
        <is>
          <t>AGA SPK-tilskudd</t>
        </is>
      </c>
      <c r="B3234" s="34" t="inlineStr">
        <is>
          <t>Region Øst</t>
        </is>
      </c>
      <c r="C3234" s="34" t="inlineStr">
        <is>
          <t>Region øst økonomi og virksomhetsstyring</t>
        </is>
      </c>
      <c r="D3234" s="18" t="n"/>
      <c r="E3234" s="18" t="n">
        <v>574</v>
      </c>
      <c r="F3234" s="18" t="n"/>
      <c r="G3234" s="18" t="n"/>
      <c r="H3234" s="18" t="n"/>
      <c r="I3234" s="18" t="n"/>
      <c r="J3234" s="19" t="n">
        <v>0</v>
      </c>
      <c r="K3234" s="35" t="n">
        <v>0.065</v>
      </c>
    </row>
    <row r="3235">
      <c r="A3235" s="36" t="inlineStr">
        <is>
          <t>AGA SPK-tilskudd</t>
        </is>
      </c>
      <c r="B3235" s="36" t="inlineStr">
        <is>
          <t>Region Øst</t>
        </is>
      </c>
      <c r="C3235" s="36" t="inlineStr">
        <is>
          <t>Regionalt ressursmiljø rus i barnevernstiltak</t>
        </is>
      </c>
      <c r="D3235" s="26" t="n"/>
      <c r="E3235" s="26" t="n"/>
      <c r="F3235" s="26" t="n"/>
      <c r="G3235" s="26" t="n">
        <v>7656</v>
      </c>
      <c r="H3235" s="26" t="n">
        <v>8366</v>
      </c>
      <c r="I3235" s="26" t="n">
        <v>8396</v>
      </c>
      <c r="J3235" s="19" t="n">
        <v>9522.953099999999</v>
      </c>
      <c r="K3235" s="37" t="n">
        <v>0.065</v>
      </c>
    </row>
    <row r="3236">
      <c r="A3236" s="34" t="inlineStr">
        <is>
          <t>AGA SPK-tilskudd</t>
        </is>
      </c>
      <c r="B3236" s="34" t="inlineStr">
        <is>
          <t>Region Øst</t>
        </is>
      </c>
      <c r="C3236" s="34" t="inlineStr">
        <is>
          <t>Regionalt ressursmiljø rus i barnevernstiltak</t>
        </is>
      </c>
      <c r="D3236" s="18" t="n"/>
      <c r="E3236" s="18" t="n"/>
      <c r="F3236" s="18" t="n">
        <v>3124</v>
      </c>
      <c r="G3236" s="18" t="n">
        <v>3296</v>
      </c>
      <c r="H3236" s="18" t="n">
        <v>9152</v>
      </c>
      <c r="I3236" s="18" t="n">
        <v>361</v>
      </c>
      <c r="J3236" s="19" t="n">
        <v>409.4552249999999</v>
      </c>
      <c r="K3236" s="35" t="n">
        <v>0.065</v>
      </c>
    </row>
    <row r="3237">
      <c r="A3237" s="36" t="inlineStr">
        <is>
          <t>AGA SPK-tilskudd</t>
        </is>
      </c>
      <c r="B3237" s="36" t="inlineStr">
        <is>
          <t>Region Øst</t>
        </is>
      </c>
      <c r="C3237" s="36" t="inlineStr">
        <is>
          <t>Regionalt ressursmiljø rus i barnevernstiltak</t>
        </is>
      </c>
      <c r="D3237" s="26" t="n"/>
      <c r="E3237" s="26" t="n"/>
      <c r="F3237" s="26" t="n"/>
      <c r="G3237" s="26" t="n">
        <v>1593</v>
      </c>
      <c r="H3237" s="26" t="n">
        <v>1665</v>
      </c>
      <c r="I3237" s="26" t="n">
        <v>1730</v>
      </c>
      <c r="J3237" s="19" t="n">
        <v>1962.20925</v>
      </c>
      <c r="K3237" s="37" t="n">
        <v>0.065</v>
      </c>
    </row>
    <row r="3238">
      <c r="A3238" s="34" t="inlineStr">
        <is>
          <t>AGA SPK-tilskudd</t>
        </is>
      </c>
      <c r="B3238" s="34" t="inlineStr">
        <is>
          <t>Region Øst</t>
        </is>
      </c>
      <c r="C3238" s="34" t="inlineStr">
        <is>
          <t>Regionalt ressursmiljø rus i barnevernstiltak</t>
        </is>
      </c>
      <c r="D3238" s="18" t="n"/>
      <c r="E3238" s="18" t="n"/>
      <c r="F3238" s="18" t="n">
        <v>763</v>
      </c>
      <c r="G3238" s="18" t="n"/>
      <c r="H3238" s="18" t="n">
        <v>4368</v>
      </c>
      <c r="I3238" s="18" t="n">
        <v>1589</v>
      </c>
      <c r="J3238" s="19" t="n">
        <v>1802.283525</v>
      </c>
      <c r="K3238" s="35" t="n">
        <v>0.065</v>
      </c>
    </row>
    <row r="3239">
      <c r="A3239" s="36" t="inlineStr">
        <is>
          <t>AGA SPK-tilskudd</t>
        </is>
      </c>
      <c r="B3239" s="36" t="inlineStr">
        <is>
          <t>Region Øst</t>
        </is>
      </c>
      <c r="C3239" s="36" t="inlineStr">
        <is>
          <t>Regionalt ressursmiljø rus i barnevernstiltak</t>
        </is>
      </c>
      <c r="D3239" s="26" t="n"/>
      <c r="E3239" s="26" t="n"/>
      <c r="F3239" s="26" t="n">
        <v>618</v>
      </c>
      <c r="G3239" s="26" t="n">
        <v>317</v>
      </c>
      <c r="H3239" s="26" t="n">
        <v>987</v>
      </c>
      <c r="I3239" s="26" t="n">
        <v>923</v>
      </c>
      <c r="J3239" s="19" t="n">
        <v>1046.889675</v>
      </c>
      <c r="K3239" s="37" t="n">
        <v>0.065</v>
      </c>
    </row>
    <row r="3240">
      <c r="A3240" s="34" t="inlineStr">
        <is>
          <t>AGA SPK-tilskudd</t>
        </is>
      </c>
      <c r="B3240" s="34" t="inlineStr">
        <is>
          <t>Region Øst</t>
        </is>
      </c>
      <c r="C3240" s="34" t="inlineStr">
        <is>
          <t>Regionalt ressursmiljø rus i barnevernstiltak</t>
        </is>
      </c>
      <c r="D3240" s="18" t="n"/>
      <c r="E3240" s="18" t="n"/>
      <c r="F3240" s="18" t="n">
        <v>322</v>
      </c>
      <c r="G3240" s="18" t="n">
        <v>119</v>
      </c>
      <c r="H3240" s="18" t="n">
        <v>2232</v>
      </c>
      <c r="I3240" s="18" t="n">
        <v>1120</v>
      </c>
      <c r="J3240" s="19" t="n">
        <v>1270.332</v>
      </c>
      <c r="K3240" s="35" t="n">
        <v>0.065</v>
      </c>
    </row>
    <row r="3241">
      <c r="A3241" s="36" t="inlineStr">
        <is>
          <t>AGA SPK-tilskudd</t>
        </is>
      </c>
      <c r="B3241" s="36" t="inlineStr">
        <is>
          <t>Region Øst</t>
        </is>
      </c>
      <c r="C3241" s="36" t="inlineStr">
        <is>
          <t>Regionalt ressursmiljø rus i barnevernstiltak</t>
        </is>
      </c>
      <c r="D3241" s="26" t="n"/>
      <c r="E3241" s="26" t="n"/>
      <c r="F3241" s="26" t="n"/>
      <c r="G3241" s="26" t="n">
        <v>-888</v>
      </c>
      <c r="H3241" s="26" t="n">
        <v>-14880</v>
      </c>
      <c r="I3241" s="26" t="n">
        <v>-57193</v>
      </c>
      <c r="J3241" s="19" t="n">
        <v>-64869.73042499999</v>
      </c>
      <c r="K3241" s="37" t="n">
        <v>0.065</v>
      </c>
    </row>
    <row r="3242">
      <c r="A3242" s="34" t="inlineStr">
        <is>
          <t>AGA SPK-tilskudd</t>
        </is>
      </c>
      <c r="B3242" s="34" t="inlineStr">
        <is>
          <t>Region Øst</t>
        </is>
      </c>
      <c r="C3242" s="34" t="inlineStr">
        <is>
          <t>Regionkontor Direktør</t>
        </is>
      </c>
      <c r="D3242" s="18" t="n"/>
      <c r="E3242" s="18" t="n"/>
      <c r="F3242" s="18" t="n">
        <v>2004</v>
      </c>
      <c r="G3242" s="18" t="n"/>
      <c r="H3242" s="18" t="n"/>
      <c r="I3242" s="18" t="n"/>
      <c r="J3242" s="19" t="n">
        <v>0</v>
      </c>
      <c r="K3242" s="35" t="n">
        <v>0.065</v>
      </c>
    </row>
    <row r="3243">
      <c r="A3243" s="36" t="inlineStr">
        <is>
          <t>AGA SPK-tilskudd</t>
        </is>
      </c>
      <c r="B3243" s="36" t="inlineStr">
        <is>
          <t>Region Øst</t>
        </is>
      </c>
      <c r="C3243" s="36" t="inlineStr">
        <is>
          <t>Regionkontor F3 Funksjon omsorg ungdom</t>
        </is>
      </c>
      <c r="D3243" s="26" t="n">
        <v>11704</v>
      </c>
      <c r="E3243" s="26" t="n">
        <v>10113</v>
      </c>
      <c r="F3243" s="26" t="n">
        <v>7736</v>
      </c>
      <c r="G3243" s="26" t="n"/>
      <c r="H3243" s="26" t="n"/>
      <c r="I3243" s="26" t="n"/>
      <c r="J3243" s="19" t="n">
        <v>0</v>
      </c>
      <c r="K3243" s="37" t="n">
        <v>0.065</v>
      </c>
    </row>
    <row r="3244">
      <c r="A3244" s="34" t="inlineStr">
        <is>
          <t>AGA SPK-tilskudd</t>
        </is>
      </c>
      <c r="B3244" s="34" t="inlineStr">
        <is>
          <t>Region Øst</t>
        </is>
      </c>
      <c r="C3244" s="34" t="inlineStr">
        <is>
          <t>Regionkontor F3 Funksjon omsorg ungdom</t>
        </is>
      </c>
      <c r="D3244" s="18" t="n">
        <v>16942</v>
      </c>
      <c r="E3244" s="18" t="n">
        <v>4089</v>
      </c>
      <c r="F3244" s="18" t="n">
        <v>55557</v>
      </c>
      <c r="G3244" s="18" t="n">
        <v>22727</v>
      </c>
      <c r="H3244" s="18" t="n">
        <v>43254</v>
      </c>
      <c r="I3244" s="18" t="n">
        <v>10504</v>
      </c>
      <c r="J3244" s="19" t="n">
        <v>8675.823882738379</v>
      </c>
      <c r="K3244" s="35" t="n">
        <v>-0.09117972516063477</v>
      </c>
    </row>
    <row r="3245">
      <c r="A3245" s="36" t="inlineStr">
        <is>
          <t>AGA SPK-tilskudd</t>
        </is>
      </c>
      <c r="B3245" s="36" t="inlineStr">
        <is>
          <t>Region Øst</t>
        </is>
      </c>
      <c r="C3245" s="36" t="inlineStr">
        <is>
          <t>Regionkontor F3 Funksjon omsorg ungdom</t>
        </is>
      </c>
      <c r="D3245" s="26" t="n">
        <v>1200</v>
      </c>
      <c r="E3245" s="26" t="n">
        <v>1227</v>
      </c>
      <c r="F3245" s="26" t="n">
        <v>1023</v>
      </c>
      <c r="G3245" s="26" t="n"/>
      <c r="H3245" s="26" t="n"/>
      <c r="I3245" s="26" t="n"/>
      <c r="J3245" s="19" t="n">
        <v>0</v>
      </c>
      <c r="K3245" s="37" t="n">
        <v>0.065</v>
      </c>
    </row>
    <row r="3246">
      <c r="A3246" s="34" t="inlineStr">
        <is>
          <t>AGA SPK-tilskudd</t>
        </is>
      </c>
      <c r="B3246" s="34" t="inlineStr">
        <is>
          <t>Region Øst</t>
        </is>
      </c>
      <c r="C3246" s="34" t="inlineStr">
        <is>
          <t>Regionkontor F3 Funksjon omsorg ungdom</t>
        </is>
      </c>
      <c r="D3246" s="18" t="n">
        <v>5748</v>
      </c>
      <c r="E3246" s="18" t="n"/>
      <c r="F3246" s="18" t="n">
        <v>1190</v>
      </c>
      <c r="G3246" s="18" t="n"/>
      <c r="H3246" s="18" t="n"/>
      <c r="I3246" s="18" t="n"/>
      <c r="J3246" s="19" t="n">
        <v>0</v>
      </c>
      <c r="K3246" s="35" t="n">
        <v>0.065</v>
      </c>
    </row>
    <row r="3247">
      <c r="A3247" s="36" t="inlineStr">
        <is>
          <t>AGA SPK-tilskudd</t>
        </is>
      </c>
      <c r="B3247" s="36" t="inlineStr">
        <is>
          <t>Region Øst</t>
        </is>
      </c>
      <c r="C3247" s="36" t="inlineStr">
        <is>
          <t>Regionkontor F3 Funksjon omsorg ungdom</t>
        </is>
      </c>
      <c r="D3247" s="26" t="n">
        <v>3937</v>
      </c>
      <c r="E3247" s="26" t="n">
        <v>1369</v>
      </c>
      <c r="F3247" s="26" t="n">
        <v>4468</v>
      </c>
      <c r="G3247" s="26" t="n"/>
      <c r="H3247" s="26" t="n"/>
      <c r="I3247" s="26" t="n"/>
      <c r="J3247" s="19" t="n">
        <v>0</v>
      </c>
      <c r="K3247" s="37" t="n">
        <v>0.065</v>
      </c>
    </row>
    <row r="3248">
      <c r="A3248" s="34" t="inlineStr">
        <is>
          <t>AGA SPK-tilskudd</t>
        </is>
      </c>
      <c r="B3248" s="34" t="inlineStr">
        <is>
          <t>Region Øst</t>
        </is>
      </c>
      <c r="C3248" s="34" t="inlineStr">
        <is>
          <t>Regionkontor F3 Funksjon omsorg ungdom</t>
        </is>
      </c>
      <c r="D3248" s="18" t="n"/>
      <c r="E3248" s="18" t="n"/>
      <c r="F3248" s="18" t="n">
        <v>296</v>
      </c>
      <c r="G3248" s="18" t="n">
        <v>4870</v>
      </c>
      <c r="H3248" s="18" t="n"/>
      <c r="I3248" s="18" t="n"/>
      <c r="J3248" s="19" t="n">
        <v>0</v>
      </c>
      <c r="K3248" s="35" t="n">
        <v>0.065</v>
      </c>
    </row>
    <row r="3249">
      <c r="A3249" s="36" t="inlineStr">
        <is>
          <t>AGA SPK-tilskudd</t>
        </is>
      </c>
      <c r="B3249" s="36" t="inlineStr">
        <is>
          <t>Region Øst</t>
        </is>
      </c>
      <c r="C3249" s="36" t="inlineStr">
        <is>
          <t>Regionkontor F3 Funksjon omsorg ungdom</t>
        </is>
      </c>
      <c r="D3249" s="26" t="n"/>
      <c r="E3249" s="26" t="n"/>
      <c r="F3249" s="26" t="n"/>
      <c r="G3249" s="26" t="n"/>
      <c r="H3249" s="26" t="n">
        <v>351</v>
      </c>
      <c r="I3249" s="26" t="n"/>
      <c r="J3249" s="19" t="n">
        <v>0</v>
      </c>
      <c r="K3249" s="37" t="n">
        <v>0.065</v>
      </c>
    </row>
    <row r="3250">
      <c r="A3250" s="34" t="inlineStr">
        <is>
          <t>AGA SPK-tilskudd</t>
        </is>
      </c>
      <c r="B3250" s="34" t="inlineStr">
        <is>
          <t>Region Øst</t>
        </is>
      </c>
      <c r="C3250" s="34" t="inlineStr">
        <is>
          <t>Regionkontor F3 Funksjon omsorg ungdom</t>
        </is>
      </c>
      <c r="D3250" s="18" t="n">
        <v>2383</v>
      </c>
      <c r="E3250" s="18" t="n">
        <v>1386</v>
      </c>
      <c r="F3250" s="18" t="n">
        <v>3683</v>
      </c>
      <c r="G3250" s="18" t="n"/>
      <c r="H3250" s="18" t="n"/>
      <c r="I3250" s="18" t="n"/>
      <c r="J3250" s="19" t="n">
        <v>0</v>
      </c>
      <c r="K3250" s="35" t="n">
        <v>0.065</v>
      </c>
    </row>
    <row r="3251">
      <c r="A3251" s="36" t="inlineStr">
        <is>
          <t>AGA SPK-tilskudd</t>
        </is>
      </c>
      <c r="B3251" s="36" t="inlineStr">
        <is>
          <t>Region Øst</t>
        </is>
      </c>
      <c r="C3251" s="36" t="inlineStr">
        <is>
          <t>Regionkontor F3 Funksjon omsorg ungdom</t>
        </is>
      </c>
      <c r="D3251" s="26" t="n">
        <v>2036</v>
      </c>
      <c r="E3251" s="26" t="n"/>
      <c r="F3251" s="26" t="n"/>
      <c r="G3251" s="26" t="n"/>
      <c r="H3251" s="26" t="n"/>
      <c r="I3251" s="26" t="n"/>
      <c r="J3251" s="19" t="n">
        <v>0</v>
      </c>
      <c r="K3251" s="37" t="n">
        <v>0.065</v>
      </c>
    </row>
    <row r="3252">
      <c r="A3252" s="34" t="inlineStr">
        <is>
          <t>AGA SPK-tilskudd</t>
        </is>
      </c>
      <c r="B3252" s="34" t="inlineStr">
        <is>
          <t>Region Øst</t>
        </is>
      </c>
      <c r="C3252" s="34" t="inlineStr">
        <is>
          <t>Regionkontor F3 Funksjon omsorg ungdom</t>
        </is>
      </c>
      <c r="D3252" s="18" t="n">
        <v>22607</v>
      </c>
      <c r="E3252" s="18" t="n">
        <v>249696</v>
      </c>
      <c r="F3252" s="18" t="n">
        <v>31563</v>
      </c>
      <c r="G3252" s="18" t="n"/>
      <c r="H3252" s="18" t="n"/>
      <c r="I3252" s="18" t="n"/>
      <c r="J3252" s="19" t="n">
        <v>0</v>
      </c>
      <c r="K3252" s="35" t="n">
        <v>0.065</v>
      </c>
    </row>
    <row r="3253">
      <c r="A3253" s="36" t="inlineStr">
        <is>
          <t>AGA SPK-tilskudd</t>
        </is>
      </c>
      <c r="B3253" s="36" t="inlineStr">
        <is>
          <t>Region Øst</t>
        </is>
      </c>
      <c r="C3253" s="36" t="inlineStr">
        <is>
          <t>Regionkontor F3 Funksjon omsorg ungdom</t>
        </is>
      </c>
      <c r="D3253" s="26" t="n">
        <v>-38588</v>
      </c>
      <c r="E3253" s="26" t="n">
        <v>-9828</v>
      </c>
      <c r="F3253" s="26" t="n">
        <v>-8815</v>
      </c>
      <c r="G3253" s="26" t="n"/>
      <c r="H3253" s="26" t="n"/>
      <c r="I3253" s="26" t="n"/>
      <c r="J3253" s="19" t="n">
        <v>0</v>
      </c>
      <c r="K3253" s="37" t="n">
        <v>0.065</v>
      </c>
    </row>
    <row r="3254">
      <c r="A3254" s="34" t="inlineStr">
        <is>
          <t>AGA SPK-tilskudd</t>
        </is>
      </c>
      <c r="B3254" s="34" t="inlineStr">
        <is>
          <t>Region Øst</t>
        </is>
      </c>
      <c r="C3254" s="34" t="inlineStr">
        <is>
          <t>Regionkontor F4 Funksjon behandling ungdom</t>
        </is>
      </c>
      <c r="D3254" s="18" t="n"/>
      <c r="E3254" s="18" t="n"/>
      <c r="F3254" s="18" t="n"/>
      <c r="G3254" s="18" t="n"/>
      <c r="H3254" s="18" t="n">
        <v>1803</v>
      </c>
      <c r="I3254" s="18" t="n"/>
      <c r="J3254" s="19" t="n">
        <v>0</v>
      </c>
      <c r="K3254" s="35" t="n">
        <v>0.065</v>
      </c>
    </row>
    <row r="3255">
      <c r="A3255" s="36" t="inlineStr">
        <is>
          <t>AGA SPK-tilskudd</t>
        </is>
      </c>
      <c r="B3255" s="36" t="inlineStr">
        <is>
          <t>Region Øst</t>
        </is>
      </c>
      <c r="C3255" s="36" t="inlineStr">
        <is>
          <t>Regionkontor F4 Funksjon behandling ungdom</t>
        </is>
      </c>
      <c r="D3255" s="26" t="n"/>
      <c r="E3255" s="26" t="n"/>
      <c r="F3255" s="26" t="n"/>
      <c r="G3255" s="26" t="n">
        <v>2473</v>
      </c>
      <c r="H3255" s="26" t="n"/>
      <c r="I3255" s="26" t="n"/>
      <c r="J3255" s="19" t="n">
        <v>0</v>
      </c>
      <c r="K3255" s="37" t="n">
        <v>0.065</v>
      </c>
    </row>
    <row r="3256">
      <c r="A3256" s="34" t="inlineStr">
        <is>
          <t>AGA SPK-tilskudd</t>
        </is>
      </c>
      <c r="B3256" s="34" t="inlineStr">
        <is>
          <t>Region Øst</t>
        </is>
      </c>
      <c r="C3256" s="34" t="inlineStr">
        <is>
          <t>Regionkontor F4 Funksjon behandling ungdom</t>
        </is>
      </c>
      <c r="D3256" s="18" t="n"/>
      <c r="E3256" s="18" t="n"/>
      <c r="F3256" s="18" t="n"/>
      <c r="G3256" s="18" t="n">
        <v>649</v>
      </c>
      <c r="H3256" s="18" t="n"/>
      <c r="I3256" s="18" t="n"/>
      <c r="J3256" s="19" t="n">
        <v>0</v>
      </c>
      <c r="K3256" s="35" t="n">
        <v>0.065</v>
      </c>
    </row>
    <row r="3257">
      <c r="A3257" s="36" t="inlineStr">
        <is>
          <t>AGA SPK-tilskudd</t>
        </is>
      </c>
      <c r="B3257" s="36" t="inlineStr">
        <is>
          <t>Region Øst</t>
        </is>
      </c>
      <c r="C3257" s="36" t="inlineStr">
        <is>
          <t>Regionkontor Seksjon FS</t>
        </is>
      </c>
      <c r="D3257" s="26" t="n"/>
      <c r="E3257" s="26" t="n"/>
      <c r="F3257" s="26" t="n">
        <v>2261</v>
      </c>
      <c r="G3257" s="26" t="n"/>
      <c r="H3257" s="26" t="n">
        <v>1578</v>
      </c>
      <c r="I3257" s="26" t="n"/>
      <c r="J3257" s="19" t="n">
        <v>0</v>
      </c>
      <c r="K3257" s="37" t="n">
        <v>0.065</v>
      </c>
    </row>
    <row r="3258">
      <c r="A3258" s="34" t="inlineStr">
        <is>
          <t>AGA SPK-tilskudd</t>
        </is>
      </c>
      <c r="B3258" s="34" t="inlineStr">
        <is>
          <t>Region Øst</t>
        </is>
      </c>
      <c r="C3258" s="34" t="inlineStr">
        <is>
          <t>Regionkontor Seksjon HR</t>
        </is>
      </c>
      <c r="D3258" s="18" t="n">
        <v>8678</v>
      </c>
      <c r="E3258" s="18" t="n"/>
      <c r="F3258" s="18" t="n"/>
      <c r="G3258" s="18" t="n">
        <v>5715</v>
      </c>
      <c r="H3258" s="18" t="n">
        <v>33738</v>
      </c>
      <c r="I3258" s="18" t="n">
        <v>99152</v>
      </c>
      <c r="J3258" s="19" t="n">
        <v>154925</v>
      </c>
      <c r="K3258" s="35" t="n">
        <v>0.25</v>
      </c>
    </row>
    <row r="3259">
      <c r="A3259" s="36" t="inlineStr">
        <is>
          <t>AGA SPK-tilskudd</t>
        </is>
      </c>
      <c r="B3259" s="36" t="inlineStr">
        <is>
          <t>Region Øst</t>
        </is>
      </c>
      <c r="C3259" s="36" t="inlineStr">
        <is>
          <t>Regionkontor Seksjon HR</t>
        </is>
      </c>
      <c r="D3259" s="26" t="n"/>
      <c r="E3259" s="26" t="n">
        <v>4106</v>
      </c>
      <c r="F3259" s="26" t="n"/>
      <c r="G3259" s="26" t="n"/>
      <c r="H3259" s="26" t="n"/>
      <c r="I3259" s="26" t="n">
        <v>31148</v>
      </c>
      <c r="J3259" s="19" t="n">
        <v>48668.75</v>
      </c>
      <c r="K3259" s="37" t="n">
        <v>0.25</v>
      </c>
    </row>
    <row r="3260">
      <c r="A3260" s="34" t="inlineStr">
        <is>
          <t>AGA SPK-tilskudd</t>
        </is>
      </c>
      <c r="B3260" s="34" t="inlineStr">
        <is>
          <t>Region Øst</t>
        </is>
      </c>
      <c r="C3260" s="34" t="inlineStr">
        <is>
          <t>Regionkontor Seksjon HR</t>
        </is>
      </c>
      <c r="D3260" s="18" t="n"/>
      <c r="E3260" s="18" t="n"/>
      <c r="F3260" s="18" t="n"/>
      <c r="G3260" s="18" t="n"/>
      <c r="H3260" s="18" t="n"/>
      <c r="I3260" s="18" t="n">
        <v>3384</v>
      </c>
      <c r="J3260" s="19" t="n">
        <v>3838.2174</v>
      </c>
      <c r="K3260" s="35" t="n">
        <v>0.065</v>
      </c>
    </row>
    <row r="3261">
      <c r="A3261" s="36" t="inlineStr">
        <is>
          <t>AGA SPK-tilskudd</t>
        </is>
      </c>
      <c r="B3261" s="36" t="inlineStr">
        <is>
          <t>Region Øst</t>
        </is>
      </c>
      <c r="C3261" s="36" t="inlineStr">
        <is>
          <t>Regionkontor Seksjon HR</t>
        </is>
      </c>
      <c r="D3261" s="26" t="n"/>
      <c r="E3261" s="26" t="n"/>
      <c r="F3261" s="26" t="n"/>
      <c r="G3261" s="26" t="n"/>
      <c r="H3261" s="26" t="n">
        <v>8221</v>
      </c>
      <c r="I3261" s="26" t="n">
        <v>27193</v>
      </c>
      <c r="J3261" s="19" t="n">
        <v>30842.98042499999</v>
      </c>
      <c r="K3261" s="37" t="n">
        <v>0.065</v>
      </c>
    </row>
    <row r="3262">
      <c r="A3262" s="34" t="inlineStr">
        <is>
          <t>AGA SPK-tilskudd</t>
        </is>
      </c>
      <c r="B3262" s="34" t="inlineStr">
        <is>
          <t>Region Øst</t>
        </is>
      </c>
      <c r="C3262" s="34" t="inlineStr">
        <is>
          <t>Regionkontor Seksjon HR</t>
        </is>
      </c>
      <c r="D3262" s="18" t="n"/>
      <c r="E3262" s="18" t="n"/>
      <c r="F3262" s="18" t="n"/>
      <c r="G3262" s="18" t="n"/>
      <c r="H3262" s="18" t="n"/>
      <c r="I3262" s="18" t="n">
        <v>11349</v>
      </c>
      <c r="J3262" s="19" t="n">
        <v>12872.319525</v>
      </c>
      <c r="K3262" s="35" t="n">
        <v>0.065</v>
      </c>
    </row>
    <row r="3263">
      <c r="A3263" s="36" t="inlineStr">
        <is>
          <t>AGA SPK-tilskudd</t>
        </is>
      </c>
      <c r="B3263" s="36" t="inlineStr">
        <is>
          <t>Region Øst</t>
        </is>
      </c>
      <c r="C3263" s="36" t="inlineStr">
        <is>
          <t>Regionkontor Seksjon HR</t>
        </is>
      </c>
      <c r="D3263" s="26" t="n"/>
      <c r="E3263" s="26" t="n"/>
      <c r="F3263" s="26" t="n"/>
      <c r="G3263" s="26" t="n"/>
      <c r="H3263" s="26" t="n"/>
      <c r="I3263" s="26" t="n">
        <v>9500</v>
      </c>
      <c r="J3263" s="19" t="n">
        <v>10775.1375</v>
      </c>
      <c r="K3263" s="37" t="n">
        <v>0.065</v>
      </c>
    </row>
    <row r="3264">
      <c r="A3264" s="34" t="inlineStr">
        <is>
          <t>AGA SPK-tilskudd</t>
        </is>
      </c>
      <c r="B3264" s="34" t="inlineStr">
        <is>
          <t>Region Øst</t>
        </is>
      </c>
      <c r="C3264" s="34" t="inlineStr">
        <is>
          <t>Regionkontor Seksjon ØV - teknisk</t>
        </is>
      </c>
      <c r="D3264" s="18" t="n"/>
      <c r="E3264" s="18" t="n"/>
      <c r="F3264" s="18" t="n"/>
      <c r="G3264" s="18" t="n"/>
      <c r="H3264" s="18" t="n"/>
      <c r="I3264" s="18" t="n">
        <v>-57326</v>
      </c>
      <c r="J3264" s="19" t="n">
        <v>-65020.58234999999</v>
      </c>
      <c r="K3264" s="35" t="n">
        <v>0.065</v>
      </c>
    </row>
    <row r="3265">
      <c r="A3265" s="36" t="inlineStr">
        <is>
          <t>AGA SPK-tilskudd</t>
        </is>
      </c>
      <c r="B3265" s="36" t="inlineStr">
        <is>
          <t>Region Øst</t>
        </is>
      </c>
      <c r="C3265" s="36" t="inlineStr">
        <is>
          <t>Regionkontor Seksjon ØV - teknisk</t>
        </is>
      </c>
      <c r="D3265" s="26" t="n"/>
      <c r="E3265" s="26" t="n"/>
      <c r="F3265" s="26" t="n"/>
      <c r="G3265" s="26" t="n"/>
      <c r="H3265" s="26" t="n"/>
      <c r="I3265" s="26" t="n">
        <v>-415630</v>
      </c>
      <c r="J3265" s="19" t="n">
        <v>-471417.9367499999</v>
      </c>
      <c r="K3265" s="37" t="n">
        <v>0.065</v>
      </c>
    </row>
    <row r="3266">
      <c r="A3266" s="34" t="inlineStr">
        <is>
          <t>AGA SPK-tilskudd</t>
        </is>
      </c>
      <c r="B3266" s="34" t="inlineStr">
        <is>
          <t>Region Øst</t>
        </is>
      </c>
      <c r="C3266" s="34" t="inlineStr">
        <is>
          <t>Regionkontor Seksjon ØV - teknisk Statlige institusjoner</t>
        </is>
      </c>
      <c r="D3266" s="18" t="n"/>
      <c r="E3266" s="18" t="n"/>
      <c r="F3266" s="18" t="n">
        <v>6600</v>
      </c>
      <c r="G3266" s="18" t="n">
        <v>2033</v>
      </c>
      <c r="H3266" s="18" t="n"/>
      <c r="I3266" s="18" t="n"/>
      <c r="J3266" s="19" t="n">
        <v>0</v>
      </c>
      <c r="K3266" s="35" t="n">
        <v>0.065</v>
      </c>
    </row>
    <row r="3267">
      <c r="A3267" s="36" t="inlineStr">
        <is>
          <t>AGA SPK-tilskudd</t>
        </is>
      </c>
      <c r="B3267" s="36" t="inlineStr">
        <is>
          <t>Region Øst</t>
        </is>
      </c>
      <c r="C3267" s="36" t="inlineStr">
        <is>
          <t>Regionkontor Seksjon ØV - teknisk Statlige institusjoner</t>
        </is>
      </c>
      <c r="D3267" s="26" t="n"/>
      <c r="E3267" s="26" t="n"/>
      <c r="F3267" s="26" t="n">
        <v>664</v>
      </c>
      <c r="G3267" s="26" t="n">
        <v>1440</v>
      </c>
      <c r="H3267" s="26" t="n"/>
      <c r="I3267" s="26" t="n"/>
      <c r="J3267" s="19" t="n">
        <v>0</v>
      </c>
      <c r="K3267" s="37" t="n">
        <v>0.065</v>
      </c>
    </row>
    <row r="3268">
      <c r="A3268" s="34" t="inlineStr">
        <is>
          <t>AGA SPK-tilskudd</t>
        </is>
      </c>
      <c r="B3268" s="34" t="inlineStr">
        <is>
          <t>Region Øst</t>
        </is>
      </c>
      <c r="C3268" s="34" t="inlineStr">
        <is>
          <t>Regionkontor Seksjon ØV - teknisk Statlige institusjoner</t>
        </is>
      </c>
      <c r="D3268" s="18" t="n"/>
      <c r="E3268" s="18" t="n"/>
      <c r="F3268" s="18" t="n">
        <v>3681</v>
      </c>
      <c r="G3268" s="18" t="n">
        <v>531</v>
      </c>
      <c r="H3268" s="18" t="n"/>
      <c r="I3268" s="18" t="n"/>
      <c r="J3268" s="19" t="n">
        <v>0</v>
      </c>
      <c r="K3268" s="35" t="n">
        <v>0.065</v>
      </c>
    </row>
    <row r="3269">
      <c r="A3269" s="36" t="inlineStr">
        <is>
          <t>AGA SPK-tilskudd</t>
        </is>
      </c>
      <c r="B3269" s="36" t="inlineStr">
        <is>
          <t>Region Øst</t>
        </is>
      </c>
      <c r="C3269" s="36" t="inlineStr">
        <is>
          <t>Regionkontor Seksjon ØV - teknisk Statlige institusjoner</t>
        </is>
      </c>
      <c r="D3269" s="26" t="n"/>
      <c r="E3269" s="26" t="n"/>
      <c r="F3269" s="26" t="n"/>
      <c r="G3269" s="26" t="n">
        <v>499993</v>
      </c>
      <c r="H3269" s="26" t="n">
        <v>94503</v>
      </c>
      <c r="I3269" s="26" t="n"/>
      <c r="J3269" s="19" t="n">
        <v>0</v>
      </c>
      <c r="K3269" s="37" t="n">
        <v>0.065</v>
      </c>
    </row>
    <row r="3270">
      <c r="A3270" s="34" t="inlineStr">
        <is>
          <t>AGA SPK-tilskudd</t>
        </is>
      </c>
      <c r="B3270" s="34" t="inlineStr">
        <is>
          <t>Region Øst</t>
        </is>
      </c>
      <c r="C3270" s="34" t="inlineStr">
        <is>
          <t>Regionkontor Seksjon ØV - teknisk Statlige institusjoner</t>
        </is>
      </c>
      <c r="D3270" s="18" t="n"/>
      <c r="E3270" s="18" t="n"/>
      <c r="F3270" s="18" t="n">
        <v>1715</v>
      </c>
      <c r="G3270" s="18" t="n">
        <v>404</v>
      </c>
      <c r="H3270" s="18" t="n"/>
      <c r="I3270" s="18" t="n"/>
      <c r="J3270" s="19" t="n">
        <v>0</v>
      </c>
      <c r="K3270" s="35" t="n">
        <v>0.065</v>
      </c>
    </row>
    <row r="3271">
      <c r="A3271" s="36" t="inlineStr">
        <is>
          <t>AGA SPK-tilskudd</t>
        </is>
      </c>
      <c r="B3271" s="36" t="inlineStr">
        <is>
          <t>Region Øst</t>
        </is>
      </c>
      <c r="C3271" s="36" t="inlineStr">
        <is>
          <t>Regionkontor Seksjon ØV - teknisk Statlige institusjoner</t>
        </is>
      </c>
      <c r="D3271" s="26" t="n"/>
      <c r="E3271" s="26" t="n"/>
      <c r="F3271" s="26" t="n">
        <v>1446</v>
      </c>
      <c r="G3271" s="26" t="n">
        <v>3355</v>
      </c>
      <c r="H3271" s="26" t="n"/>
      <c r="I3271" s="26" t="n"/>
      <c r="J3271" s="19" t="n">
        <v>0</v>
      </c>
      <c r="K3271" s="37" t="n">
        <v>0.065</v>
      </c>
    </row>
    <row r="3272">
      <c r="A3272" s="34" t="inlineStr">
        <is>
          <t>AGA SPK-tilskudd</t>
        </is>
      </c>
      <c r="B3272" s="34" t="inlineStr">
        <is>
          <t>Region Øst</t>
        </is>
      </c>
      <c r="C3272" s="34" t="inlineStr">
        <is>
          <t>Regionkontor Seksjon ØV - teknisk Statlige institusjoner</t>
        </is>
      </c>
      <c r="D3272" s="18" t="n"/>
      <c r="E3272" s="18" t="n"/>
      <c r="F3272" s="18" t="n">
        <v>550</v>
      </c>
      <c r="G3272" s="18" t="n">
        <v>1184</v>
      </c>
      <c r="H3272" s="18" t="n"/>
      <c r="I3272" s="18" t="n"/>
      <c r="J3272" s="19" t="n">
        <v>0</v>
      </c>
      <c r="K3272" s="35" t="n">
        <v>0.065</v>
      </c>
    </row>
    <row r="3273">
      <c r="A3273" s="36" t="inlineStr">
        <is>
          <t>AGA SPK-tilskudd</t>
        </is>
      </c>
      <c r="B3273" s="36" t="inlineStr">
        <is>
          <t>Region Øst</t>
        </is>
      </c>
      <c r="C3273" s="36" t="inlineStr">
        <is>
          <t>Regionkontor Seksjon ØV - teknisk Statlige institusjoner</t>
        </is>
      </c>
      <c r="D3273" s="26" t="n"/>
      <c r="E3273" s="26" t="n"/>
      <c r="F3273" s="26" t="n">
        <v>-58920</v>
      </c>
      <c r="G3273" s="26" t="n"/>
      <c r="H3273" s="26" t="n"/>
      <c r="I3273" s="26" t="n"/>
      <c r="J3273" s="19" t="n">
        <v>0</v>
      </c>
      <c r="K3273" s="37" t="n">
        <v>0.065</v>
      </c>
    </row>
    <row r="3274">
      <c r="A3274" s="34" t="inlineStr">
        <is>
          <t>AGA SPK-tilskudd</t>
        </is>
      </c>
      <c r="B3274" s="34" t="inlineStr">
        <is>
          <t>Region Øst</t>
        </is>
      </c>
      <c r="C3274" s="34" t="inlineStr">
        <is>
          <t>Regionkontor Seksjon ØV - teknisk Statlige institusjoner</t>
        </is>
      </c>
      <c r="D3274" s="18" t="n"/>
      <c r="E3274" s="18" t="n"/>
      <c r="F3274" s="18" t="n">
        <v>-12057</v>
      </c>
      <c r="G3274" s="18" t="n">
        <v>-22051</v>
      </c>
      <c r="H3274" s="18" t="n">
        <v>-7097</v>
      </c>
      <c r="I3274" s="18" t="n"/>
      <c r="J3274" s="19" t="n">
        <v>0</v>
      </c>
      <c r="K3274" s="35" t="n">
        <v>0.065</v>
      </c>
    </row>
    <row r="3275">
      <c r="A3275" s="36" t="inlineStr">
        <is>
          <t>AGA SPK-tilskudd</t>
        </is>
      </c>
      <c r="B3275" s="36" t="inlineStr">
        <is>
          <t>Region Øst</t>
        </is>
      </c>
      <c r="C3275" s="36" t="inlineStr">
        <is>
          <t>Regionkontor Stab</t>
        </is>
      </c>
      <c r="D3275" s="26" t="n"/>
      <c r="E3275" s="26" t="n"/>
      <c r="F3275" s="26" t="n"/>
      <c r="G3275" s="26" t="n"/>
      <c r="H3275" s="26" t="n"/>
      <c r="I3275" s="26" t="n">
        <v>288</v>
      </c>
      <c r="J3275" s="19" t="n">
        <v>326.6568</v>
      </c>
      <c r="K3275" s="37" t="n">
        <v>0.065</v>
      </c>
    </row>
    <row r="3276">
      <c r="A3276" s="34" t="inlineStr">
        <is>
          <t>AGA SPK-tilskudd</t>
        </is>
      </c>
      <c r="B3276" s="34" t="inlineStr">
        <is>
          <t>Region Øst</t>
        </is>
      </c>
      <c r="C3276" s="34" t="inlineStr">
        <is>
          <t>Regionkontor Stab</t>
        </is>
      </c>
      <c r="D3276" s="18" t="n"/>
      <c r="E3276" s="18" t="n"/>
      <c r="F3276" s="18" t="n">
        <v>7182</v>
      </c>
      <c r="G3276" s="18" t="n"/>
      <c r="H3276" s="18" t="n">
        <v>29899</v>
      </c>
      <c r="I3276" s="18" t="n"/>
      <c r="J3276" s="19" t="n">
        <v>0</v>
      </c>
      <c r="K3276" s="35" t="n">
        <v>0.065</v>
      </c>
    </row>
    <row r="3277">
      <c r="A3277" s="36" t="inlineStr">
        <is>
          <t>AGA SPK-tilskudd</t>
        </is>
      </c>
      <c r="B3277" s="36" t="inlineStr">
        <is>
          <t>Region Øst</t>
        </is>
      </c>
      <c r="C3277" s="36" t="inlineStr">
        <is>
          <t>Regionkontor Stab</t>
        </is>
      </c>
      <c r="D3277" s="26" t="n"/>
      <c r="E3277" s="26" t="n"/>
      <c r="F3277" s="26" t="n"/>
      <c r="G3277" s="26" t="n"/>
      <c r="H3277" s="26" t="n"/>
      <c r="I3277" s="26" t="n">
        <v>490446</v>
      </c>
      <c r="J3277" s="19" t="n">
        <v>556276.1143499999</v>
      </c>
      <c r="K3277" s="37" t="n">
        <v>0.065</v>
      </c>
    </row>
    <row r="3278">
      <c r="A3278" s="34" t="inlineStr">
        <is>
          <t>AGA SPK-tilskudd</t>
        </is>
      </c>
      <c r="B3278" s="34" t="inlineStr">
        <is>
          <t>Region Øst</t>
        </is>
      </c>
      <c r="C3278" s="34" t="inlineStr">
        <is>
          <t>Sarpsborg ungdoms og familiesenter - avdeling for spesialiserte fosterhjem</t>
        </is>
      </c>
      <c r="D3278" s="18" t="n">
        <v>4122</v>
      </c>
      <c r="E3278" s="18" t="n">
        <v>3895</v>
      </c>
      <c r="F3278" s="18" t="n">
        <v>-41324</v>
      </c>
      <c r="G3278" s="18" t="n"/>
      <c r="H3278" s="18" t="n"/>
      <c r="I3278" s="18" t="n"/>
      <c r="J3278" s="19" t="n">
        <v>0</v>
      </c>
      <c r="K3278" s="35" t="n">
        <v>0.065</v>
      </c>
    </row>
    <row r="3279">
      <c r="A3279" s="36" t="inlineStr">
        <is>
          <t>AGA SPK-tilskudd</t>
        </is>
      </c>
      <c r="B3279" s="36" t="inlineStr">
        <is>
          <t>Region Øst</t>
        </is>
      </c>
      <c r="C3279" s="36" t="inlineStr">
        <is>
          <t>Sarpsborg ungdoms og familiesenter - avdeling for spesialiserte fosterhjem</t>
        </is>
      </c>
      <c r="D3279" s="26" t="n">
        <v>1100</v>
      </c>
      <c r="E3279" s="26" t="n">
        <v>1227</v>
      </c>
      <c r="F3279" s="26" t="n"/>
      <c r="G3279" s="26" t="n"/>
      <c r="H3279" s="26" t="n"/>
      <c r="I3279" s="26" t="n"/>
      <c r="J3279" s="19" t="n">
        <v>0</v>
      </c>
      <c r="K3279" s="37" t="n">
        <v>0.065</v>
      </c>
    </row>
    <row r="3280">
      <c r="A3280" s="34" t="inlineStr">
        <is>
          <t>AGA SPK-tilskudd</t>
        </is>
      </c>
      <c r="B3280" s="34" t="inlineStr">
        <is>
          <t>Region Øst</t>
        </is>
      </c>
      <c r="C3280" s="34" t="inlineStr">
        <is>
          <t>Sarpsborg ungdoms og familiesenter - avdeling for spesialiserte fosterhjem</t>
        </is>
      </c>
      <c r="D3280" s="18" t="n">
        <v>639</v>
      </c>
      <c r="E3280" s="18" t="n"/>
      <c r="F3280" s="18" t="n"/>
      <c r="G3280" s="18" t="n"/>
      <c r="H3280" s="18" t="n"/>
      <c r="I3280" s="18" t="n"/>
      <c r="J3280" s="19" t="n">
        <v>0</v>
      </c>
      <c r="K3280" s="35" t="n">
        <v>0.065</v>
      </c>
    </row>
    <row r="3281">
      <c r="A3281" s="36" t="inlineStr">
        <is>
          <t>AGA SPK-tilskudd</t>
        </is>
      </c>
      <c r="B3281" s="36" t="inlineStr">
        <is>
          <t>Region Øst</t>
        </is>
      </c>
      <c r="C3281" s="36" t="inlineStr">
        <is>
          <t>Sarpsborg ungdoms og familiesenter - avdeling for spesialiserte fosterhjem</t>
        </is>
      </c>
      <c r="D3281" s="26" t="n">
        <v>75</v>
      </c>
      <c r="E3281" s="26" t="n"/>
      <c r="F3281" s="26" t="n"/>
      <c r="G3281" s="26" t="n"/>
      <c r="H3281" s="26" t="n"/>
      <c r="I3281" s="26" t="n"/>
      <c r="J3281" s="19" t="n">
        <v>0</v>
      </c>
      <c r="K3281" s="37" t="n">
        <v>0.065</v>
      </c>
    </row>
    <row r="3282">
      <c r="A3282" s="34" t="inlineStr">
        <is>
          <t>AGA SPK-tilskudd</t>
        </is>
      </c>
      <c r="B3282" s="34" t="inlineStr">
        <is>
          <t>Region Øst</t>
        </is>
      </c>
      <c r="C3282" s="34" t="inlineStr">
        <is>
          <t>Sarpsborg ungdoms og familiesenter - avdeling for spesialiserte fosterhjem</t>
        </is>
      </c>
      <c r="D3282" s="18" t="n"/>
      <c r="E3282" s="18" t="n"/>
      <c r="F3282" s="18" t="n">
        <v>4940</v>
      </c>
      <c r="G3282" s="18" t="n"/>
      <c r="H3282" s="18" t="n"/>
      <c r="I3282" s="18" t="n"/>
      <c r="J3282" s="19" t="n">
        <v>0</v>
      </c>
      <c r="K3282" s="35" t="n">
        <v>0.065</v>
      </c>
    </row>
    <row r="3283">
      <c r="A3283" s="36" t="inlineStr">
        <is>
          <t>AGA SPK-tilskudd</t>
        </is>
      </c>
      <c r="B3283" s="36" t="inlineStr">
        <is>
          <t>Region Øst</t>
        </is>
      </c>
      <c r="C3283" s="36" t="inlineStr">
        <is>
          <t>Sarpsborg ungdoms og familiesenter - avdeling for spesialiserte fosterhjem</t>
        </is>
      </c>
      <c r="D3283" s="26" t="n">
        <v>-550</v>
      </c>
      <c r="E3283" s="26" t="n">
        <v>-600</v>
      </c>
      <c r="F3283" s="26" t="n"/>
      <c r="G3283" s="26" t="n"/>
      <c r="H3283" s="26" t="n"/>
      <c r="I3283" s="26" t="n"/>
      <c r="J3283" s="19" t="n">
        <v>0</v>
      </c>
      <c r="K3283" s="37" t="n">
        <v>0.065</v>
      </c>
    </row>
    <row r="3284">
      <c r="A3284" s="34" t="inlineStr">
        <is>
          <t>AGA SPK-tilskudd</t>
        </is>
      </c>
      <c r="B3284" s="34" t="inlineStr">
        <is>
          <t>Region Øst</t>
        </is>
      </c>
      <c r="C3284" s="34" t="inlineStr">
        <is>
          <t>Sarpsborg ungdoms og familiesenter - avdeling for spesialiserte fosterhjem</t>
        </is>
      </c>
      <c r="D3284" s="18" t="n">
        <v>-3635</v>
      </c>
      <c r="E3284" s="18" t="n"/>
      <c r="F3284" s="18" t="n"/>
      <c r="G3284" s="18" t="n"/>
      <c r="H3284" s="18" t="n"/>
      <c r="I3284" s="18" t="n"/>
      <c r="J3284" s="19" t="n">
        <v>0</v>
      </c>
      <c r="K3284" s="35" t="n">
        <v>0.065</v>
      </c>
    </row>
    <row r="3285">
      <c r="A3285" s="36" t="inlineStr">
        <is>
          <t>AGA SPK-tilskudd</t>
        </is>
      </c>
      <c r="B3285" s="36" t="inlineStr">
        <is>
          <t>Region Øst</t>
        </is>
      </c>
      <c r="C3285" s="36" t="inlineStr">
        <is>
          <t>Sarpsborg ungdoms og familiesenter - behandling  Administrasjon</t>
        </is>
      </c>
      <c r="D3285" s="26" t="n">
        <v>31404</v>
      </c>
      <c r="E3285" s="26" t="n">
        <v>31396</v>
      </c>
      <c r="F3285" s="26" t="n">
        <v>24528</v>
      </c>
      <c r="G3285" s="26" t="n">
        <v>9692</v>
      </c>
      <c r="H3285" s="26" t="n"/>
      <c r="I3285" s="26" t="n"/>
      <c r="J3285" s="19" t="n">
        <v>0</v>
      </c>
      <c r="K3285" s="37" t="n">
        <v>0.065</v>
      </c>
    </row>
    <row r="3286">
      <c r="A3286" s="34" t="inlineStr">
        <is>
          <t>AGA SPK-tilskudd</t>
        </is>
      </c>
      <c r="B3286" s="34" t="inlineStr">
        <is>
          <t>Region Øst</t>
        </is>
      </c>
      <c r="C3286" s="34" t="inlineStr">
        <is>
          <t>Sarpsborg ungdoms og familiesenter - behandling  Administrasjon</t>
        </is>
      </c>
      <c r="D3286" s="18" t="n">
        <v>3116</v>
      </c>
      <c r="E3286" s="18" t="n">
        <v>1206</v>
      </c>
      <c r="F3286" s="18" t="n">
        <v>9369</v>
      </c>
      <c r="G3286" s="18" t="n">
        <v>1416</v>
      </c>
      <c r="H3286" s="18" t="n"/>
      <c r="I3286" s="18" t="n"/>
      <c r="J3286" s="19" t="n">
        <v>0</v>
      </c>
      <c r="K3286" s="35" t="n">
        <v>0.065</v>
      </c>
    </row>
    <row r="3287">
      <c r="A3287" s="36" t="inlineStr">
        <is>
          <t>AGA SPK-tilskudd</t>
        </is>
      </c>
      <c r="B3287" s="36" t="inlineStr">
        <is>
          <t>Region Øst</t>
        </is>
      </c>
      <c r="C3287" s="36" t="inlineStr">
        <is>
          <t>Sarpsborg ungdoms og familiesenter - behandling  Administrasjon</t>
        </is>
      </c>
      <c r="D3287" s="26" t="n">
        <v>3300</v>
      </c>
      <c r="E3287" s="26" t="n">
        <v>3681</v>
      </c>
      <c r="F3287" s="26" t="n">
        <v>4663</v>
      </c>
      <c r="G3287" s="26" t="n">
        <v>1991</v>
      </c>
      <c r="H3287" s="26" t="n"/>
      <c r="I3287" s="26" t="n"/>
      <c r="J3287" s="19" t="n">
        <v>0</v>
      </c>
      <c r="K3287" s="37" t="n">
        <v>0.065</v>
      </c>
    </row>
    <row r="3288">
      <c r="A3288" s="34" t="inlineStr">
        <is>
          <t>AGA SPK-tilskudd</t>
        </is>
      </c>
      <c r="B3288" s="34" t="inlineStr">
        <is>
          <t>Region Øst</t>
        </is>
      </c>
      <c r="C3288" s="34" t="inlineStr">
        <is>
          <t>Sarpsborg ungdoms og familiesenter - behandling  Administrasjon</t>
        </is>
      </c>
      <c r="D3288" s="18" t="n">
        <v>10461</v>
      </c>
      <c r="E3288" s="18" t="n">
        <v>5114</v>
      </c>
      <c r="F3288" s="18" t="n">
        <v>6787</v>
      </c>
      <c r="G3288" s="18" t="n">
        <v>3493</v>
      </c>
      <c r="H3288" s="18" t="n"/>
      <c r="I3288" s="18" t="n"/>
      <c r="J3288" s="19" t="n">
        <v>0</v>
      </c>
      <c r="K3288" s="35" t="n">
        <v>0.065</v>
      </c>
    </row>
    <row r="3289">
      <c r="A3289" s="36" t="inlineStr">
        <is>
          <t>AGA SPK-tilskudd</t>
        </is>
      </c>
      <c r="B3289" s="36" t="inlineStr">
        <is>
          <t>Region Øst</t>
        </is>
      </c>
      <c r="C3289" s="36" t="inlineStr">
        <is>
          <t>Sarpsborg ungdoms og familiesenter - behandling  Administrasjon</t>
        </is>
      </c>
      <c r="D3289" s="26" t="n">
        <v>73</v>
      </c>
      <c r="E3289" s="26" t="n">
        <v>75</v>
      </c>
      <c r="F3289" s="26" t="n">
        <v>1321</v>
      </c>
      <c r="G3289" s="26" t="n">
        <v>200</v>
      </c>
      <c r="H3289" s="26" t="n"/>
      <c r="I3289" s="26" t="n"/>
      <c r="J3289" s="19" t="n">
        <v>0</v>
      </c>
      <c r="K3289" s="37" t="n">
        <v>0.065</v>
      </c>
    </row>
    <row r="3290">
      <c r="A3290" s="34" t="inlineStr">
        <is>
          <t>AGA SPK-tilskudd</t>
        </is>
      </c>
      <c r="B3290" s="34" t="inlineStr">
        <is>
          <t>Region Øst</t>
        </is>
      </c>
      <c r="C3290" s="34" t="inlineStr">
        <is>
          <t>Sarpsborg ungdoms og familiesenter - behandling  Administrasjon</t>
        </is>
      </c>
      <c r="D3290" s="18" t="n"/>
      <c r="E3290" s="18" t="n">
        <v>390</v>
      </c>
      <c r="F3290" s="18" t="n">
        <v>1905</v>
      </c>
      <c r="G3290" s="18" t="n">
        <v>2061</v>
      </c>
      <c r="H3290" s="18" t="n"/>
      <c r="I3290" s="18" t="n"/>
      <c r="J3290" s="19" t="n">
        <v>0</v>
      </c>
      <c r="K3290" s="35" t="n">
        <v>0.065</v>
      </c>
    </row>
    <row r="3291">
      <c r="A3291" s="36" t="inlineStr">
        <is>
          <t>AGA SPK-tilskudd</t>
        </is>
      </c>
      <c r="B3291" s="36" t="inlineStr">
        <is>
          <t>Region Øst</t>
        </is>
      </c>
      <c r="C3291" s="36" t="inlineStr">
        <is>
          <t>Sarpsborg ungdoms og familiesenter - behandling  Administrasjon</t>
        </is>
      </c>
      <c r="D3291" s="26" t="n">
        <v>4090</v>
      </c>
      <c r="E3291" s="26" t="n">
        <v>8187</v>
      </c>
      <c r="F3291" s="26" t="n">
        <v>6012</v>
      </c>
      <c r="G3291" s="26" t="n"/>
      <c r="H3291" s="26" t="n"/>
      <c r="I3291" s="26" t="n"/>
      <c r="J3291" s="19" t="n">
        <v>0</v>
      </c>
      <c r="K3291" s="37" t="n">
        <v>0.065</v>
      </c>
    </row>
    <row r="3292">
      <c r="A3292" s="34" t="inlineStr">
        <is>
          <t>AGA SPK-tilskudd</t>
        </is>
      </c>
      <c r="B3292" s="34" t="inlineStr">
        <is>
          <t>Region Øst</t>
        </is>
      </c>
      <c r="C3292" s="34" t="inlineStr">
        <is>
          <t>Sarpsborg ungdoms og familiesenter - behandling  Administrasjon</t>
        </is>
      </c>
      <c r="D3292" s="18" t="n">
        <v>2474</v>
      </c>
      <c r="E3292" s="18" t="n">
        <v>389</v>
      </c>
      <c r="F3292" s="18" t="n">
        <v>909</v>
      </c>
      <c r="G3292" s="18" t="n">
        <v>958</v>
      </c>
      <c r="H3292" s="18" t="n"/>
      <c r="I3292" s="18" t="n"/>
      <c r="J3292" s="19" t="n">
        <v>0</v>
      </c>
      <c r="K3292" s="35" t="n">
        <v>0.065</v>
      </c>
    </row>
    <row r="3293">
      <c r="A3293" s="36" t="inlineStr">
        <is>
          <t>AGA SPK-tilskudd</t>
        </is>
      </c>
      <c r="B3293" s="36" t="inlineStr">
        <is>
          <t>Region Øst</t>
        </is>
      </c>
      <c r="C3293" s="36" t="inlineStr">
        <is>
          <t>Sarpsborg ungdoms og familiesenter - behandling  Administrasjon</t>
        </is>
      </c>
      <c r="D3293" s="26" t="n"/>
      <c r="E3293" s="26" t="n"/>
      <c r="F3293" s="26" t="n">
        <v>204</v>
      </c>
      <c r="G3293" s="26" t="n"/>
      <c r="H3293" s="26" t="n"/>
      <c r="I3293" s="26" t="n"/>
      <c r="J3293" s="19" t="n">
        <v>0</v>
      </c>
      <c r="K3293" s="37" t="n">
        <v>0.065</v>
      </c>
    </row>
    <row r="3294">
      <c r="A3294" s="34" t="inlineStr">
        <is>
          <t>AGA SPK-tilskudd</t>
        </is>
      </c>
      <c r="B3294" s="34" t="inlineStr">
        <is>
          <t>Region Øst</t>
        </is>
      </c>
      <c r="C3294" s="34" t="inlineStr">
        <is>
          <t>Sarpsborg ungdoms og familiesenter - behandling  Administrasjon</t>
        </is>
      </c>
      <c r="D3294" s="18" t="n">
        <v>-50</v>
      </c>
      <c r="E3294" s="18" t="n"/>
      <c r="F3294" s="18" t="n">
        <v>-201</v>
      </c>
      <c r="G3294" s="18" t="n">
        <v>-650</v>
      </c>
      <c r="H3294" s="18" t="n"/>
      <c r="I3294" s="18" t="n"/>
      <c r="J3294" s="19" t="n">
        <v>0</v>
      </c>
      <c r="K3294" s="35" t="n">
        <v>0.065</v>
      </c>
    </row>
    <row r="3295">
      <c r="A3295" s="36" t="inlineStr">
        <is>
          <t>AGA SPK-tilskudd</t>
        </is>
      </c>
      <c r="B3295" s="36" t="inlineStr">
        <is>
          <t>Region Øst</t>
        </is>
      </c>
      <c r="C3295" s="36" t="inlineStr">
        <is>
          <t>Sarpsborg ungdoms og familiesenter - behandling  Administrasjon</t>
        </is>
      </c>
      <c r="D3295" s="26" t="n"/>
      <c r="E3295" s="26" t="n">
        <v>-31915</v>
      </c>
      <c r="F3295" s="26" t="n">
        <v>-572815</v>
      </c>
      <c r="G3295" s="26" t="n"/>
      <c r="H3295" s="26" t="n"/>
      <c r="I3295" s="26" t="n"/>
      <c r="J3295" s="19" t="n">
        <v>0</v>
      </c>
      <c r="K3295" s="37" t="n">
        <v>0.065</v>
      </c>
    </row>
    <row r="3296">
      <c r="A3296" s="34" t="inlineStr">
        <is>
          <t>AGA SPK-tilskudd</t>
        </is>
      </c>
      <c r="B3296" s="34" t="inlineStr">
        <is>
          <t>Region Øst</t>
        </is>
      </c>
      <c r="C3296" s="34" t="inlineStr">
        <is>
          <t>Sarpsborg ungdoms og familiesenter - behandling  Administrasjon</t>
        </is>
      </c>
      <c r="D3296" s="18" t="n">
        <v>-35532</v>
      </c>
      <c r="E3296" s="18" t="n">
        <v>-377491</v>
      </c>
      <c r="F3296" s="18" t="n">
        <v>-12843</v>
      </c>
      <c r="G3296" s="18" t="n"/>
      <c r="H3296" s="18" t="n"/>
      <c r="I3296" s="18" t="n"/>
      <c r="J3296" s="19" t="n">
        <v>0</v>
      </c>
      <c r="K3296" s="35" t="n">
        <v>0.065</v>
      </c>
    </row>
    <row r="3297">
      <c r="A3297" s="36" t="inlineStr">
        <is>
          <t>AGA SPK-tilskudd</t>
        </is>
      </c>
      <c r="B3297" s="36" t="inlineStr">
        <is>
          <t>Region Øst</t>
        </is>
      </c>
      <c r="C3297" s="36" t="inlineStr">
        <is>
          <t>Sarpsborg ungdoms og familiesenter - behandling  Avdeling Østheim</t>
        </is>
      </c>
      <c r="D3297" s="26" t="n">
        <v>179583</v>
      </c>
      <c r="E3297" s="26" t="n">
        <v>146841</v>
      </c>
      <c r="F3297" s="26" t="n">
        <v>122417</v>
      </c>
      <c r="G3297" s="26" t="n">
        <v>77857</v>
      </c>
      <c r="H3297" s="26" t="n"/>
      <c r="I3297" s="26" t="n"/>
      <c r="J3297" s="19" t="n">
        <v>0</v>
      </c>
      <c r="K3297" s="37" t="n">
        <v>0.065</v>
      </c>
    </row>
    <row r="3298">
      <c r="A3298" s="34" t="inlineStr">
        <is>
          <t>AGA SPK-tilskudd</t>
        </is>
      </c>
      <c r="B3298" s="34" t="inlineStr">
        <is>
          <t>Region Øst</t>
        </is>
      </c>
      <c r="C3298" s="34" t="inlineStr">
        <is>
          <t>Sarpsborg ungdoms og familiesenter - behandling  Avdeling Østheim</t>
        </is>
      </c>
      <c r="D3298" s="18" t="n">
        <v>63649</v>
      </c>
      <c r="E3298" s="18" t="n">
        <v>278422</v>
      </c>
      <c r="F3298" s="18" t="n">
        <v>213497</v>
      </c>
      <c r="G3298" s="18" t="n">
        <v>248301</v>
      </c>
      <c r="H3298" s="18" t="n"/>
      <c r="I3298" s="18" t="n"/>
      <c r="J3298" s="19" t="n">
        <v>0</v>
      </c>
      <c r="K3298" s="35" t="n">
        <v>0.065</v>
      </c>
    </row>
    <row r="3299">
      <c r="A3299" s="36" t="inlineStr">
        <is>
          <t>AGA SPK-tilskudd</t>
        </is>
      </c>
      <c r="B3299" s="36" t="inlineStr">
        <is>
          <t>Region Øst</t>
        </is>
      </c>
      <c r="C3299" s="36" t="inlineStr">
        <is>
          <t>Sarpsborg ungdoms og familiesenter - behandling  Avdeling Østheim</t>
        </is>
      </c>
      <c r="D3299" s="26" t="n">
        <v>14919</v>
      </c>
      <c r="E3299" s="26" t="n">
        <v>3094</v>
      </c>
      <c r="F3299" s="26" t="n">
        <v>40180</v>
      </c>
      <c r="G3299" s="26" t="n">
        <v>29406</v>
      </c>
      <c r="H3299" s="26" t="n"/>
      <c r="I3299" s="26" t="n"/>
      <c r="J3299" s="19" t="n">
        <v>0</v>
      </c>
      <c r="K3299" s="37" t="n">
        <v>0.065</v>
      </c>
    </row>
    <row r="3300">
      <c r="A3300" s="34" t="inlineStr">
        <is>
          <t>AGA SPK-tilskudd</t>
        </is>
      </c>
      <c r="B3300" s="34" t="inlineStr">
        <is>
          <t>Region Øst</t>
        </is>
      </c>
      <c r="C3300" s="34" t="inlineStr">
        <is>
          <t>Sarpsborg ungdoms og familiesenter - behandling  Avdeling Østheim</t>
        </is>
      </c>
      <c r="D3300" s="18" t="n">
        <v>40200</v>
      </c>
      <c r="E3300" s="18" t="n">
        <v>47851</v>
      </c>
      <c r="F3300" s="18" t="n">
        <v>55098</v>
      </c>
      <c r="G3300" s="18" t="n">
        <v>29205</v>
      </c>
      <c r="H3300" s="18" t="n"/>
      <c r="I3300" s="18" t="n"/>
      <c r="J3300" s="19" t="n">
        <v>0</v>
      </c>
      <c r="K3300" s="35" t="n">
        <v>0.065</v>
      </c>
    </row>
    <row r="3301">
      <c r="A3301" s="36" t="inlineStr">
        <is>
          <t>AGA SPK-tilskudd</t>
        </is>
      </c>
      <c r="B3301" s="36" t="inlineStr">
        <is>
          <t>Region Øst</t>
        </is>
      </c>
      <c r="C3301" s="36" t="inlineStr">
        <is>
          <t>Sarpsborg ungdoms og familiesenter - behandling  Avdeling Østheim</t>
        </is>
      </c>
      <c r="D3301" s="26" t="n"/>
      <c r="E3301" s="26" t="n">
        <v>4154</v>
      </c>
      <c r="F3301" s="26" t="n"/>
      <c r="G3301" s="26" t="n"/>
      <c r="H3301" s="26" t="n"/>
      <c r="I3301" s="26" t="n"/>
      <c r="J3301" s="19" t="n">
        <v>0</v>
      </c>
      <c r="K3301" s="37" t="n">
        <v>0.065</v>
      </c>
    </row>
    <row r="3302">
      <c r="A3302" s="34" t="inlineStr">
        <is>
          <t>AGA SPK-tilskudd</t>
        </is>
      </c>
      <c r="B3302" s="34" t="inlineStr">
        <is>
          <t>Region Øst</t>
        </is>
      </c>
      <c r="C3302" s="34" t="inlineStr">
        <is>
          <t>Sarpsborg ungdoms og familiesenter - behandling  Avdeling Østheim</t>
        </is>
      </c>
      <c r="D3302" s="18" t="n">
        <v>4725</v>
      </c>
      <c r="E3302" s="18" t="n">
        <v>14471</v>
      </c>
      <c r="F3302" s="18" t="n">
        <v>23254</v>
      </c>
      <c r="G3302" s="18" t="n">
        <v>8431</v>
      </c>
      <c r="H3302" s="18" t="n"/>
      <c r="I3302" s="18" t="n"/>
      <c r="J3302" s="19" t="n">
        <v>0</v>
      </c>
      <c r="K3302" s="35" t="n">
        <v>0.065</v>
      </c>
    </row>
    <row r="3303">
      <c r="A3303" s="36" t="inlineStr">
        <is>
          <t>AGA SPK-tilskudd</t>
        </is>
      </c>
      <c r="B3303" s="36" t="inlineStr">
        <is>
          <t>Region Øst</t>
        </is>
      </c>
      <c r="C3303" s="36" t="inlineStr">
        <is>
          <t>Sarpsborg ungdoms og familiesenter - behandling  Avdeling Østheim</t>
        </is>
      </c>
      <c r="D3303" s="26" t="n">
        <v>9123</v>
      </c>
      <c r="E3303" s="26" t="n">
        <v>816</v>
      </c>
      <c r="F3303" s="26" t="n">
        <v>7312</v>
      </c>
      <c r="G3303" s="26" t="n">
        <v>5698</v>
      </c>
      <c r="H3303" s="26" t="n"/>
      <c r="I3303" s="26" t="n"/>
      <c r="J3303" s="19" t="n">
        <v>0</v>
      </c>
      <c r="K3303" s="37" t="n">
        <v>0.065</v>
      </c>
    </row>
    <row r="3304">
      <c r="A3304" s="34" t="inlineStr">
        <is>
          <t>AGA SPK-tilskudd</t>
        </is>
      </c>
      <c r="B3304" s="34" t="inlineStr">
        <is>
          <t>Region Øst</t>
        </is>
      </c>
      <c r="C3304" s="34" t="inlineStr">
        <is>
          <t>Sarpsborg ungdoms og familiesenter - behandling  Avdeling Østheim</t>
        </is>
      </c>
      <c r="D3304" s="18" t="n"/>
      <c r="E3304" s="18" t="n"/>
      <c r="F3304" s="18" t="n">
        <v>536</v>
      </c>
      <c r="G3304" s="18" t="n">
        <v>4722</v>
      </c>
      <c r="H3304" s="18" t="n"/>
      <c r="I3304" s="18" t="n"/>
      <c r="J3304" s="19" t="n">
        <v>0</v>
      </c>
      <c r="K3304" s="35" t="n">
        <v>0.065</v>
      </c>
    </row>
    <row r="3305">
      <c r="A3305" s="36" t="inlineStr">
        <is>
          <t>AGA SPK-tilskudd</t>
        </is>
      </c>
      <c r="B3305" s="36" t="inlineStr">
        <is>
          <t>Region Øst</t>
        </is>
      </c>
      <c r="C3305" s="36" t="inlineStr">
        <is>
          <t>Sarpsborg ungdoms og familiesenter - behandling  Avdeling Østheim</t>
        </is>
      </c>
      <c r="D3305" s="26" t="n">
        <v>3408</v>
      </c>
      <c r="E3305" s="26" t="n"/>
      <c r="F3305" s="26" t="n">
        <v>1198</v>
      </c>
      <c r="G3305" s="26" t="n">
        <v>5737</v>
      </c>
      <c r="H3305" s="26" t="n"/>
      <c r="I3305" s="26" t="n"/>
      <c r="J3305" s="19" t="n">
        <v>0</v>
      </c>
      <c r="K3305" s="37" t="n">
        <v>0.065</v>
      </c>
    </row>
    <row r="3306">
      <c r="A3306" s="34" t="inlineStr">
        <is>
          <t>AGA SPK-tilskudd</t>
        </is>
      </c>
      <c r="B3306" s="34" t="inlineStr">
        <is>
          <t>Region Øst</t>
        </is>
      </c>
      <c r="C3306" s="34" t="inlineStr">
        <is>
          <t>Sarpsborg ungdoms og familiesenter - behandling  Avdeling Østheim</t>
        </is>
      </c>
      <c r="D3306" s="18" t="n">
        <v>8736</v>
      </c>
      <c r="E3306" s="18" t="n">
        <v>810</v>
      </c>
      <c r="F3306" s="18" t="n">
        <v>4348</v>
      </c>
      <c r="G3306" s="18" t="n">
        <v>299</v>
      </c>
      <c r="H3306" s="18" t="n"/>
      <c r="I3306" s="18" t="n"/>
      <c r="J3306" s="19" t="n">
        <v>0</v>
      </c>
      <c r="K3306" s="35" t="n">
        <v>0.065</v>
      </c>
    </row>
    <row r="3307">
      <c r="A3307" s="36" t="inlineStr">
        <is>
          <t>AGA SPK-tilskudd</t>
        </is>
      </c>
      <c r="B3307" s="36" t="inlineStr">
        <is>
          <t>Region Øst</t>
        </is>
      </c>
      <c r="C3307" s="36" t="inlineStr">
        <is>
          <t>Sarpsborg ungdoms og familiesenter - behandling  Avdeling Østheim</t>
        </is>
      </c>
      <c r="D3307" s="26" t="n">
        <v>1919</v>
      </c>
      <c r="E3307" s="26" t="n">
        <v>123</v>
      </c>
      <c r="F3307" s="26" t="n">
        <v>1036</v>
      </c>
      <c r="G3307" s="26" t="n">
        <v>3609</v>
      </c>
      <c r="H3307" s="26" t="n"/>
      <c r="I3307" s="26" t="n"/>
      <c r="J3307" s="19" t="n">
        <v>0</v>
      </c>
      <c r="K3307" s="37" t="n">
        <v>0.065</v>
      </c>
    </row>
    <row r="3308">
      <c r="A3308" s="34" t="inlineStr">
        <is>
          <t>AGA SPK-tilskudd</t>
        </is>
      </c>
      <c r="B3308" s="34" t="inlineStr">
        <is>
          <t>Region Øst</t>
        </is>
      </c>
      <c r="C3308" s="34" t="inlineStr">
        <is>
          <t>Sarpsborg ungdoms og familiesenter - behandling  Avdeling Østheim</t>
        </is>
      </c>
      <c r="D3308" s="18" t="n">
        <v>-36100</v>
      </c>
      <c r="E3308" s="18" t="n">
        <v>-37875</v>
      </c>
      <c r="F3308" s="18" t="n">
        <v>-25184</v>
      </c>
      <c r="G3308" s="18" t="n">
        <v>-17840</v>
      </c>
      <c r="H3308" s="18" t="n"/>
      <c r="I3308" s="18" t="n"/>
      <c r="J3308" s="19" t="n">
        <v>0</v>
      </c>
      <c r="K3308" s="35" t="n">
        <v>0.065</v>
      </c>
    </row>
    <row r="3309">
      <c r="A3309" s="36" t="inlineStr">
        <is>
          <t>AGA SPK-tilskudd</t>
        </is>
      </c>
      <c r="B3309" s="36" t="inlineStr">
        <is>
          <t>Region Øst</t>
        </is>
      </c>
      <c r="C3309" s="36" t="inlineStr">
        <is>
          <t>Sarpsborg ungdoms og familiesenter - behandling  Avdeling Østheim</t>
        </is>
      </c>
      <c r="D3309" s="26" t="n">
        <v>-8672</v>
      </c>
      <c r="E3309" s="26" t="n">
        <v>-192910</v>
      </c>
      <c r="F3309" s="26" t="n">
        <v>-156848</v>
      </c>
      <c r="G3309" s="26" t="n">
        <v>-111705</v>
      </c>
      <c r="H3309" s="26" t="n"/>
      <c r="I3309" s="26" t="n"/>
      <c r="J3309" s="19" t="n">
        <v>0</v>
      </c>
      <c r="K3309" s="37" t="n">
        <v>0.065</v>
      </c>
    </row>
    <row r="3310">
      <c r="A3310" s="34" t="inlineStr">
        <is>
          <t>AGA SPK-tilskudd</t>
        </is>
      </c>
      <c r="B3310" s="34" t="inlineStr">
        <is>
          <t>Region Øst</t>
        </is>
      </c>
      <c r="C3310" s="34" t="inlineStr">
        <is>
          <t>Sarpsborg ungdoms og familiesenter - behandling  Avdeling Østheim</t>
        </is>
      </c>
      <c r="D3310" s="18" t="n">
        <v>-685294</v>
      </c>
      <c r="E3310" s="18" t="n">
        <v>-379869</v>
      </c>
      <c r="F3310" s="18" t="n">
        <v>-726438</v>
      </c>
      <c r="G3310" s="18" t="n">
        <v>-303339</v>
      </c>
      <c r="H3310" s="18" t="n">
        <v>-3392</v>
      </c>
      <c r="I3310" s="18" t="n"/>
      <c r="J3310" s="19" t="n">
        <v>0</v>
      </c>
      <c r="K3310" s="35" t="n">
        <v>0.065</v>
      </c>
    </row>
    <row r="3311">
      <c r="A3311" s="36" t="inlineStr">
        <is>
          <t>AGA SPK-tilskudd</t>
        </is>
      </c>
      <c r="B3311" s="36" t="inlineStr">
        <is>
          <t>Region Øst</t>
        </is>
      </c>
      <c r="C3311" s="36" t="inlineStr">
        <is>
          <t>Sarpsborg ungdoms og familiesenter - behandling  Avdeling Østlund</t>
        </is>
      </c>
      <c r="D3311" s="26" t="n">
        <v>153937</v>
      </c>
      <c r="E3311" s="26" t="n">
        <v>137756</v>
      </c>
      <c r="F3311" s="26" t="n">
        <v>96284</v>
      </c>
      <c r="G3311" s="26" t="n">
        <v>59652</v>
      </c>
      <c r="H3311" s="26" t="n">
        <v>1</v>
      </c>
      <c r="I3311" s="26" t="n"/>
      <c r="J3311" s="19" t="n">
        <v>0</v>
      </c>
      <c r="K3311" s="37" t="n">
        <v>0.065</v>
      </c>
    </row>
    <row r="3312">
      <c r="A3312" s="34" t="inlineStr">
        <is>
          <t>AGA SPK-tilskudd</t>
        </is>
      </c>
      <c r="B3312" s="34" t="inlineStr">
        <is>
          <t>Region Øst</t>
        </is>
      </c>
      <c r="C3312" s="34" t="inlineStr">
        <is>
          <t>Sarpsborg ungdoms og familiesenter - behandling  Avdeling Østlund</t>
        </is>
      </c>
      <c r="D3312" s="18" t="n">
        <v>74200</v>
      </c>
      <c r="E3312" s="18" t="n">
        <v>100475</v>
      </c>
      <c r="F3312" s="18" t="n">
        <v>37658</v>
      </c>
      <c r="G3312" s="18" t="n">
        <v>37652</v>
      </c>
      <c r="H3312" s="18" t="n"/>
      <c r="I3312" s="18" t="n"/>
      <c r="J3312" s="19" t="n">
        <v>0</v>
      </c>
      <c r="K3312" s="35" t="n">
        <v>0.065</v>
      </c>
    </row>
    <row r="3313">
      <c r="A3313" s="36" t="inlineStr">
        <is>
          <t>AGA SPK-tilskudd</t>
        </is>
      </c>
      <c r="B3313" s="36" t="inlineStr">
        <is>
          <t>Region Øst</t>
        </is>
      </c>
      <c r="C3313" s="36" t="inlineStr">
        <is>
          <t>Sarpsborg ungdoms og familiesenter - behandling  Avdeling Østlund</t>
        </is>
      </c>
      <c r="D3313" s="26" t="n">
        <v>37074</v>
      </c>
      <c r="E3313" s="26" t="n">
        <v>29512</v>
      </c>
      <c r="F3313" s="26" t="n">
        <v>49395</v>
      </c>
      <c r="G3313" s="26" t="n">
        <v>22665</v>
      </c>
      <c r="H3313" s="26" t="n"/>
      <c r="I3313" s="26" t="n"/>
      <c r="J3313" s="19" t="n">
        <v>0</v>
      </c>
      <c r="K3313" s="37" t="n">
        <v>0.065</v>
      </c>
    </row>
    <row r="3314">
      <c r="A3314" s="34" t="inlineStr">
        <is>
          <t>AGA SPK-tilskudd</t>
        </is>
      </c>
      <c r="B3314" s="34" t="inlineStr">
        <is>
          <t>Region Øst</t>
        </is>
      </c>
      <c r="C3314" s="34" t="inlineStr">
        <is>
          <t>Sarpsborg ungdoms og familiesenter - behandling  Avdeling Østlund</t>
        </is>
      </c>
      <c r="D3314" s="18" t="n">
        <v>40600</v>
      </c>
      <c r="E3314" s="18" t="n">
        <v>41709</v>
      </c>
      <c r="F3314" s="18" t="n">
        <v>49387</v>
      </c>
      <c r="G3314" s="18" t="n">
        <v>28541</v>
      </c>
      <c r="H3314" s="18" t="n"/>
      <c r="I3314" s="18" t="n"/>
      <c r="J3314" s="19" t="n">
        <v>0</v>
      </c>
      <c r="K3314" s="35" t="n">
        <v>0.065</v>
      </c>
    </row>
    <row r="3315">
      <c r="A3315" s="36" t="inlineStr">
        <is>
          <t>AGA SPK-tilskudd</t>
        </is>
      </c>
      <c r="B3315" s="36" t="inlineStr">
        <is>
          <t>Region Øst</t>
        </is>
      </c>
      <c r="C3315" s="36" t="inlineStr">
        <is>
          <t>Sarpsborg ungdoms og familiesenter - behandling  Avdeling Østlund</t>
        </is>
      </c>
      <c r="D3315" s="26" t="n">
        <v>13599</v>
      </c>
      <c r="E3315" s="26" t="n"/>
      <c r="F3315" s="26" t="n"/>
      <c r="G3315" s="26" t="n"/>
      <c r="H3315" s="26" t="n"/>
      <c r="I3315" s="26" t="n"/>
      <c r="J3315" s="19" t="n">
        <v>0</v>
      </c>
      <c r="K3315" s="37" t="n">
        <v>0.065</v>
      </c>
    </row>
    <row r="3316">
      <c r="A3316" s="34" t="inlineStr">
        <is>
          <t>AGA SPK-tilskudd</t>
        </is>
      </c>
      <c r="B3316" s="34" t="inlineStr">
        <is>
          <t>Region Øst</t>
        </is>
      </c>
      <c r="C3316" s="34" t="inlineStr">
        <is>
          <t>Sarpsborg ungdoms og familiesenter - behandling  Avdeling Østlund</t>
        </is>
      </c>
      <c r="D3316" s="18" t="n">
        <v>18497</v>
      </c>
      <c r="E3316" s="18" t="n">
        <v>21084</v>
      </c>
      <c r="F3316" s="18" t="n">
        <v>5692</v>
      </c>
      <c r="G3316" s="18" t="n">
        <v>3244</v>
      </c>
      <c r="H3316" s="18" t="n"/>
      <c r="I3316" s="18" t="n"/>
      <c r="J3316" s="19" t="n">
        <v>0</v>
      </c>
      <c r="K3316" s="35" t="n">
        <v>0.065</v>
      </c>
    </row>
    <row r="3317">
      <c r="A3317" s="36" t="inlineStr">
        <is>
          <t>AGA SPK-tilskudd</t>
        </is>
      </c>
      <c r="B3317" s="36" t="inlineStr">
        <is>
          <t>Region Øst</t>
        </is>
      </c>
      <c r="C3317" s="36" t="inlineStr">
        <is>
          <t>Sarpsborg ungdoms og familiesenter - behandling  Avdeling Østlund</t>
        </is>
      </c>
      <c r="D3317" s="26" t="n">
        <v>10568</v>
      </c>
      <c r="E3317" s="26" t="n">
        <v>2462</v>
      </c>
      <c r="F3317" s="26" t="n">
        <v>7044</v>
      </c>
      <c r="G3317" s="26" t="n">
        <v>11802</v>
      </c>
      <c r="H3317" s="26" t="n"/>
      <c r="I3317" s="26" t="n"/>
      <c r="J3317" s="19" t="n">
        <v>0</v>
      </c>
      <c r="K3317" s="37" t="n">
        <v>0.065</v>
      </c>
    </row>
    <row r="3318">
      <c r="A3318" s="34" t="inlineStr">
        <is>
          <t>AGA SPK-tilskudd</t>
        </is>
      </c>
      <c r="B3318" s="34" t="inlineStr">
        <is>
          <t>Region Øst</t>
        </is>
      </c>
      <c r="C3318" s="34" t="inlineStr">
        <is>
          <t>Sarpsborg ungdoms og familiesenter - behandling  Avdeling Østlund</t>
        </is>
      </c>
      <c r="D3318" s="18" t="n">
        <v>1566</v>
      </c>
      <c r="E3318" s="18" t="n"/>
      <c r="F3318" s="18" t="n">
        <v>6884</v>
      </c>
      <c r="G3318" s="18" t="n">
        <v>3433</v>
      </c>
      <c r="H3318" s="18" t="n"/>
      <c r="I3318" s="18" t="n"/>
      <c r="J3318" s="19" t="n">
        <v>0</v>
      </c>
      <c r="K3318" s="35" t="n">
        <v>0.065</v>
      </c>
    </row>
    <row r="3319">
      <c r="A3319" s="36" t="inlineStr">
        <is>
          <t>AGA SPK-tilskudd</t>
        </is>
      </c>
      <c r="B3319" s="36" t="inlineStr">
        <is>
          <t>Region Øst</t>
        </is>
      </c>
      <c r="C3319" s="36" t="inlineStr">
        <is>
          <t>Sarpsborg ungdoms og familiesenter - behandling  Avdeling Østlund</t>
        </is>
      </c>
      <c r="D3319" s="26" t="n">
        <v>8866</v>
      </c>
      <c r="E3319" s="26" t="n">
        <v>1327</v>
      </c>
      <c r="F3319" s="26" t="n">
        <v>1286</v>
      </c>
      <c r="G3319" s="26" t="n">
        <v>3010</v>
      </c>
      <c r="H3319" s="26" t="n"/>
      <c r="I3319" s="26" t="n"/>
      <c r="J3319" s="19" t="n">
        <v>0</v>
      </c>
      <c r="K3319" s="37" t="n">
        <v>0.065</v>
      </c>
    </row>
    <row r="3320">
      <c r="A3320" s="34" t="inlineStr">
        <is>
          <t>AGA SPK-tilskudd</t>
        </is>
      </c>
      <c r="B3320" s="34" t="inlineStr">
        <is>
          <t>Region Øst</t>
        </is>
      </c>
      <c r="C3320" s="34" t="inlineStr">
        <is>
          <t>Sarpsborg ungdoms og familiesenter - behandling  Avdeling Østlund</t>
        </is>
      </c>
      <c r="D3320" s="18" t="n">
        <v>1978</v>
      </c>
      <c r="E3320" s="18" t="n">
        <v>5377</v>
      </c>
      <c r="F3320" s="18" t="n">
        <v>8025</v>
      </c>
      <c r="G3320" s="18" t="n">
        <v>3321</v>
      </c>
      <c r="H3320" s="18" t="n"/>
      <c r="I3320" s="18" t="n"/>
      <c r="J3320" s="19" t="n">
        <v>0</v>
      </c>
      <c r="K3320" s="35" t="n">
        <v>0.065</v>
      </c>
    </row>
    <row r="3321">
      <c r="A3321" s="36" t="inlineStr">
        <is>
          <t>AGA SPK-tilskudd</t>
        </is>
      </c>
      <c r="B3321" s="36" t="inlineStr">
        <is>
          <t>Region Øst</t>
        </is>
      </c>
      <c r="C3321" s="36" t="inlineStr">
        <is>
          <t>Sarpsborg ungdoms og familiesenter - behandling  Avdeling Østlund</t>
        </is>
      </c>
      <c r="D3321" s="26" t="n">
        <v>2860</v>
      </c>
      <c r="E3321" s="26" t="n">
        <v>450</v>
      </c>
      <c r="F3321" s="26" t="n">
        <v>4806</v>
      </c>
      <c r="G3321" s="26" t="n">
        <v>4222</v>
      </c>
      <c r="H3321" s="26" t="n"/>
      <c r="I3321" s="26" t="n"/>
      <c r="J3321" s="19" t="n">
        <v>0</v>
      </c>
      <c r="K3321" s="37" t="n">
        <v>0.065</v>
      </c>
    </row>
    <row r="3322">
      <c r="A3322" s="34" t="inlineStr">
        <is>
          <t>AGA SPK-tilskudd</t>
        </is>
      </c>
      <c r="B3322" s="34" t="inlineStr">
        <is>
          <t>Region Øst</t>
        </is>
      </c>
      <c r="C3322" s="34" t="inlineStr">
        <is>
          <t>Sarpsborg ungdoms og familiesenter - behandling  Avdeling Østlund</t>
        </is>
      </c>
      <c r="D3322" s="18" t="n"/>
      <c r="E3322" s="18" t="n">
        <v>120</v>
      </c>
      <c r="F3322" s="18" t="n"/>
      <c r="G3322" s="18" t="n"/>
      <c r="H3322" s="18" t="n"/>
      <c r="I3322" s="18" t="n"/>
      <c r="J3322" s="19" t="n">
        <v>0</v>
      </c>
      <c r="K3322" s="35" t="n">
        <v>0.065</v>
      </c>
    </row>
    <row r="3323">
      <c r="A3323" s="36" t="inlineStr">
        <is>
          <t>AGA SPK-tilskudd</t>
        </is>
      </c>
      <c r="B3323" s="36" t="inlineStr">
        <is>
          <t>Region Øst</t>
        </is>
      </c>
      <c r="C3323" s="36" t="inlineStr">
        <is>
          <t>Sarpsborg ungdoms og familiesenter - behandling  Avdeling Østlund</t>
        </is>
      </c>
      <c r="D3323" s="26" t="n">
        <v>-37036</v>
      </c>
      <c r="E3323" s="26" t="n">
        <v>-39585</v>
      </c>
      <c r="F3323" s="26" t="n">
        <v>-29747</v>
      </c>
      <c r="G3323" s="26" t="n">
        <v>-12650</v>
      </c>
      <c r="H3323" s="26" t="n"/>
      <c r="I3323" s="26" t="n"/>
      <c r="J3323" s="19" t="n">
        <v>0</v>
      </c>
      <c r="K3323" s="37" t="n">
        <v>0.065</v>
      </c>
    </row>
    <row r="3324">
      <c r="A3324" s="34" t="inlineStr">
        <is>
          <t>AGA SPK-tilskudd</t>
        </is>
      </c>
      <c r="B3324" s="34" t="inlineStr">
        <is>
          <t>Region Øst</t>
        </is>
      </c>
      <c r="C3324" s="34" t="inlineStr">
        <is>
          <t>Sarpsborg ungdoms og familiesenter - behandling  Avdeling Østlund</t>
        </is>
      </c>
      <c r="D3324" s="18" t="n">
        <v>-13684</v>
      </c>
      <c r="E3324" s="18" t="n"/>
      <c r="F3324" s="18" t="n"/>
      <c r="G3324" s="18" t="n"/>
      <c r="H3324" s="18" t="n"/>
      <c r="I3324" s="18" t="n"/>
      <c r="J3324" s="19" t="n">
        <v>0</v>
      </c>
      <c r="K3324" s="35" t="n">
        <v>0.065</v>
      </c>
    </row>
    <row r="3325">
      <c r="A3325" s="36" t="inlineStr">
        <is>
          <t>AGA SPK-tilskudd</t>
        </is>
      </c>
      <c r="B3325" s="36" t="inlineStr">
        <is>
          <t>Region Øst</t>
        </is>
      </c>
      <c r="C3325" s="36" t="inlineStr">
        <is>
          <t>Sarpsborg ungdoms og familiesenter - behandling  Avdeling Østlund</t>
        </is>
      </c>
      <c r="D3325" s="26" t="n">
        <v>-407273</v>
      </c>
      <c r="E3325" s="26" t="n">
        <v>-637275</v>
      </c>
      <c r="F3325" s="26" t="n">
        <v>-778834</v>
      </c>
      <c r="G3325" s="26" t="n">
        <v>-208677</v>
      </c>
      <c r="H3325" s="26" t="n"/>
      <c r="I3325" s="26" t="n"/>
      <c r="J3325" s="19" t="n">
        <v>0</v>
      </c>
      <c r="K3325" s="37" t="n">
        <v>0.065</v>
      </c>
    </row>
    <row r="3326">
      <c r="A3326" s="34" t="inlineStr">
        <is>
          <t>AGA SPK-tilskudd</t>
        </is>
      </c>
      <c r="B3326" s="34" t="inlineStr">
        <is>
          <t>Region Øst</t>
        </is>
      </c>
      <c r="C3326" s="34" t="inlineStr">
        <is>
          <t>Seksjon for kvalitet og godkjenning</t>
        </is>
      </c>
      <c r="D3326" s="18" t="n"/>
      <c r="E3326" s="18" t="n"/>
      <c r="F3326" s="18" t="n">
        <v>1249</v>
      </c>
      <c r="G3326" s="18" t="n"/>
      <c r="H3326" s="18" t="n"/>
      <c r="I3326" s="18" t="n"/>
      <c r="J3326" s="19" t="n">
        <v>0</v>
      </c>
      <c r="K3326" s="35" t="n">
        <v>0.065</v>
      </c>
    </row>
    <row r="3327">
      <c r="A3327" s="36" t="inlineStr">
        <is>
          <t>AGA SPK-tilskudd</t>
        </is>
      </c>
      <c r="B3327" s="36" t="inlineStr">
        <is>
          <t>Region Øst</t>
        </is>
      </c>
      <c r="C3327" s="36" t="inlineStr">
        <is>
          <t>Seljelia barne- og  familiesenter  Avdeling for beredskapshjem</t>
        </is>
      </c>
      <c r="D3327" s="26" t="n">
        <v>285</v>
      </c>
      <c r="E3327" s="26" t="n"/>
      <c r="F3327" s="26" t="n"/>
      <c r="G3327" s="26" t="n"/>
      <c r="H3327" s="26" t="n"/>
      <c r="I3327" s="26" t="n"/>
      <c r="J3327" s="19" t="n">
        <v>0</v>
      </c>
      <c r="K3327" s="37" t="n">
        <v>0.065</v>
      </c>
    </row>
    <row r="3328">
      <c r="A3328" s="34" t="inlineStr">
        <is>
          <t>AGA SPK-tilskudd</t>
        </is>
      </c>
      <c r="B3328" s="34" t="inlineStr">
        <is>
          <t>Region Øst</t>
        </is>
      </c>
      <c r="C3328" s="34" t="inlineStr">
        <is>
          <t>Seljelia barne- og  familiesenter  Foreldre- og barn avdeling</t>
        </is>
      </c>
      <c r="D3328" s="18" t="n">
        <v>1098</v>
      </c>
      <c r="E3328" s="18" t="n"/>
      <c r="F3328" s="18" t="n"/>
      <c r="G3328" s="18" t="n"/>
      <c r="H3328" s="18" t="n"/>
      <c r="I3328" s="18" t="n"/>
      <c r="J3328" s="19" t="n">
        <v>0</v>
      </c>
      <c r="K3328" s="35" t="n">
        <v>0.065</v>
      </c>
    </row>
    <row r="3329">
      <c r="A3329" s="36" t="inlineStr">
        <is>
          <t>AGA SPK-tilskudd</t>
        </is>
      </c>
      <c r="B3329" s="36" t="inlineStr">
        <is>
          <t>Region Øst</t>
        </is>
      </c>
      <c r="C3329" s="36" t="inlineStr">
        <is>
          <t>Seljelia barne- og  familiesenter  Foreldre- og barn avdeling</t>
        </is>
      </c>
      <c r="D3329" s="26" t="n">
        <v>800</v>
      </c>
      <c r="E3329" s="26" t="n"/>
      <c r="F3329" s="26" t="n"/>
      <c r="G3329" s="26" t="n"/>
      <c r="H3329" s="26" t="n"/>
      <c r="I3329" s="26" t="n"/>
      <c r="J3329" s="19" t="n">
        <v>0</v>
      </c>
      <c r="K3329" s="37" t="n">
        <v>0.065</v>
      </c>
    </row>
    <row r="3330">
      <c r="A3330" s="34" t="inlineStr">
        <is>
          <t>AGA SPK-tilskudd</t>
        </is>
      </c>
      <c r="B3330" s="34" t="inlineStr">
        <is>
          <t>Region Øst</t>
        </is>
      </c>
      <c r="C3330" s="34" t="inlineStr">
        <is>
          <t>Seljelia barne- og familiesenter Administrasjon</t>
        </is>
      </c>
      <c r="D3330" s="18" t="n"/>
      <c r="E3330" s="18" t="n"/>
      <c r="F3330" s="18" t="n">
        <v>-2448</v>
      </c>
      <c r="G3330" s="18" t="n"/>
      <c r="H3330" s="18" t="n"/>
      <c r="I3330" s="18" t="n"/>
      <c r="J3330" s="19" t="n">
        <v>0</v>
      </c>
      <c r="K3330" s="35" t="n">
        <v>0.065</v>
      </c>
    </row>
    <row r="3331">
      <c r="A3331" s="36" t="inlineStr">
        <is>
          <t>AGA SPK-tilskudd</t>
        </is>
      </c>
      <c r="B3331" s="36" t="inlineStr">
        <is>
          <t>Region Øst</t>
        </is>
      </c>
      <c r="C3331" s="36" t="inlineStr">
        <is>
          <t>Seljelia barne- og familiesenter Avdeling for PMTO</t>
        </is>
      </c>
      <c r="D3331" s="26" t="n"/>
      <c r="E3331" s="26" t="n"/>
      <c r="F3331" s="26" t="n">
        <v>-2694</v>
      </c>
      <c r="G3331" s="26" t="n"/>
      <c r="H3331" s="26" t="n"/>
      <c r="I3331" s="26" t="n"/>
      <c r="J3331" s="19" t="n">
        <v>0</v>
      </c>
      <c r="K3331" s="37" t="n">
        <v>0.065</v>
      </c>
    </row>
    <row r="3332">
      <c r="A3332" s="34" t="inlineStr">
        <is>
          <t>AGA SPK-tilskudd</t>
        </is>
      </c>
      <c r="B3332" s="34" t="inlineStr">
        <is>
          <t>Region Øst</t>
        </is>
      </c>
      <c r="C3332" s="34" t="inlineStr">
        <is>
          <t>Seljelia barne- og familiesenter Avdeling for beredskapshjem 1</t>
        </is>
      </c>
      <c r="D3332" s="18" t="n"/>
      <c r="E3332" s="18" t="n"/>
      <c r="F3332" s="18" t="n">
        <v>-37481</v>
      </c>
      <c r="G3332" s="18" t="n"/>
      <c r="H3332" s="18" t="n"/>
      <c r="I3332" s="18" t="n"/>
      <c r="J3332" s="19" t="n">
        <v>0</v>
      </c>
      <c r="K3332" s="35" t="n">
        <v>0.065</v>
      </c>
    </row>
    <row r="3333">
      <c r="A3333" s="36" t="inlineStr">
        <is>
          <t>AGA SPK-tilskudd</t>
        </is>
      </c>
      <c r="B3333" s="36" t="inlineStr">
        <is>
          <t>Region Øst</t>
        </is>
      </c>
      <c r="C3333" s="36" t="inlineStr">
        <is>
          <t>Seljelia barne- og familiesenter Avdeling for beredskapshjem 2</t>
        </is>
      </c>
      <c r="D3333" s="26" t="n"/>
      <c r="E3333" s="26" t="n"/>
      <c r="F3333" s="26" t="n">
        <v>-36953</v>
      </c>
      <c r="G3333" s="26" t="n"/>
      <c r="H3333" s="26" t="n"/>
      <c r="I3333" s="26" t="n"/>
      <c r="J3333" s="19" t="n">
        <v>0</v>
      </c>
      <c r="K3333" s="37" t="n">
        <v>0.065</v>
      </c>
    </row>
    <row r="3334">
      <c r="A3334" s="34" t="inlineStr">
        <is>
          <t>AGA SPK-tilskudd</t>
        </is>
      </c>
      <c r="B3334" s="34" t="inlineStr">
        <is>
          <t>Region Øst</t>
        </is>
      </c>
      <c r="C3334" s="34" t="inlineStr">
        <is>
          <t>Seljelia barne- og familiesenter Foreldre- og barn avdeling</t>
        </is>
      </c>
      <c r="D3334" s="18" t="n">
        <v>167</v>
      </c>
      <c r="E3334" s="18" t="n">
        <v>775</v>
      </c>
      <c r="F3334" s="18" t="n">
        <v>-16901</v>
      </c>
      <c r="G3334" s="18" t="n"/>
      <c r="H3334" s="18" t="n"/>
      <c r="I3334" s="18" t="n"/>
      <c r="J3334" s="19" t="n">
        <v>0</v>
      </c>
      <c r="K3334" s="35" t="n">
        <v>0.065</v>
      </c>
    </row>
    <row r="3335">
      <c r="A3335" s="36" t="inlineStr">
        <is>
          <t>AGA SPK-tilskudd</t>
        </is>
      </c>
      <c r="B3335" s="36" t="inlineStr">
        <is>
          <t>Region Øst</t>
        </is>
      </c>
      <c r="C3335" s="36" t="inlineStr">
        <is>
          <t>Seljelia barne- og familiesenter Foreldre- og barn avdeling</t>
        </is>
      </c>
      <c r="D3335" s="26" t="n">
        <v>100</v>
      </c>
      <c r="E3335" s="26" t="n">
        <v>409</v>
      </c>
      <c r="F3335" s="26" t="n"/>
      <c r="G3335" s="26" t="n"/>
      <c r="H3335" s="26" t="n"/>
      <c r="I3335" s="26" t="n"/>
      <c r="J3335" s="19" t="n">
        <v>0</v>
      </c>
      <c r="K3335" s="37" t="n">
        <v>0.065</v>
      </c>
    </row>
    <row r="3336">
      <c r="A3336" s="34" t="inlineStr">
        <is>
          <t>AGA SPK-tilskudd</t>
        </is>
      </c>
      <c r="B3336" s="34" t="inlineStr">
        <is>
          <t>Region Øst</t>
        </is>
      </c>
      <c r="C3336" s="34" t="inlineStr">
        <is>
          <t>ServiceTeamet</t>
        </is>
      </c>
      <c r="D3336" s="18" t="n"/>
      <c r="E3336" s="18" t="n"/>
      <c r="F3336" s="18" t="n">
        <v>51094</v>
      </c>
      <c r="G3336" s="18" t="n">
        <v>68778</v>
      </c>
      <c r="H3336" s="18" t="n">
        <v>63054</v>
      </c>
      <c r="I3336" s="18" t="n"/>
      <c r="J3336" s="19" t="n">
        <v>0</v>
      </c>
      <c r="K3336" s="35" t="n">
        <v>0.065</v>
      </c>
    </row>
    <row r="3337">
      <c r="A3337" s="36" t="inlineStr">
        <is>
          <t>AGA SPK-tilskudd</t>
        </is>
      </c>
      <c r="B3337" s="36" t="inlineStr">
        <is>
          <t>Region Øst</t>
        </is>
      </c>
      <c r="C3337" s="36" t="inlineStr">
        <is>
          <t>Serviceteamet Drift Portalen</t>
        </is>
      </c>
      <c r="D3337" s="26" t="n"/>
      <c r="E3337" s="26" t="n"/>
      <c r="F3337" s="26" t="n"/>
      <c r="G3337" s="26" t="n"/>
      <c r="H3337" s="26" t="n"/>
      <c r="I3337" s="26" t="n">
        <v>79744</v>
      </c>
      <c r="J3337" s="19" t="n">
        <v>90447.63839999998</v>
      </c>
      <c r="K3337" s="37" t="n">
        <v>0.065</v>
      </c>
    </row>
    <row r="3338">
      <c r="A3338" s="34" t="inlineStr">
        <is>
          <t>AGA SPK-tilskudd</t>
        </is>
      </c>
      <c r="B3338" s="34" t="inlineStr">
        <is>
          <t>Region Øst</t>
        </is>
      </c>
      <c r="C3338" s="34" t="inlineStr">
        <is>
          <t>Spisskompetansemiljø for trygghet og sikkerhet i institusjon for barn og ansatte</t>
        </is>
      </c>
      <c r="D3338" s="18" t="n">
        <v>97831</v>
      </c>
      <c r="E3338" s="18" t="n">
        <v>101274</v>
      </c>
      <c r="F3338" s="18" t="n">
        <v>82825</v>
      </c>
      <c r="G3338" s="18" t="n">
        <v>84889</v>
      </c>
      <c r="H3338" s="18" t="n">
        <v>108366</v>
      </c>
      <c r="I3338" s="18" t="n">
        <v>111661</v>
      </c>
      <c r="J3338" s="19" t="n">
        <v>117725.7649346977</v>
      </c>
      <c r="K3338" s="35" t="n">
        <v>0.02679797623997637</v>
      </c>
    </row>
    <row r="3339">
      <c r="A3339" s="36" t="inlineStr">
        <is>
          <t>AGA SPK-tilskudd</t>
        </is>
      </c>
      <c r="B3339" s="36" t="inlineStr">
        <is>
          <t>Region Øst</t>
        </is>
      </c>
      <c r="C3339" s="36" t="inlineStr">
        <is>
          <t>Spisskompetansemiljø for trygghet og sikkerhet i institusjon for barn og ansatte</t>
        </is>
      </c>
      <c r="D3339" s="26" t="n">
        <v>135083</v>
      </c>
      <c r="E3339" s="26" t="n">
        <v>299602</v>
      </c>
      <c r="F3339" s="26" t="n">
        <v>243101</v>
      </c>
      <c r="G3339" s="26" t="n">
        <v>508401</v>
      </c>
      <c r="H3339" s="26" t="n">
        <v>375506</v>
      </c>
      <c r="I3339" s="26" t="n">
        <v>165689</v>
      </c>
      <c r="J3339" s="19" t="n">
        <v>179792.2091298021</v>
      </c>
      <c r="K3339" s="37" t="n">
        <v>0.04169024198811533</v>
      </c>
    </row>
    <row r="3340">
      <c r="A3340" s="34" t="inlineStr">
        <is>
          <t>AGA SPK-tilskudd</t>
        </is>
      </c>
      <c r="B3340" s="34" t="inlineStr">
        <is>
          <t>Region Øst</t>
        </is>
      </c>
      <c r="C3340" s="34" t="inlineStr">
        <is>
          <t>Spisskompetansemiljø for trygghet og sikkerhet i institusjon for barn og ansatte</t>
        </is>
      </c>
      <c r="D3340" s="18" t="n">
        <v>11600</v>
      </c>
      <c r="E3340" s="18" t="n">
        <v>13599</v>
      </c>
      <c r="F3340" s="18" t="n">
        <v>14008</v>
      </c>
      <c r="G3340" s="18" t="n">
        <v>15134</v>
      </c>
      <c r="H3340" s="18" t="n">
        <v>19841</v>
      </c>
      <c r="I3340" s="18" t="n">
        <v>22144</v>
      </c>
      <c r="J3340" s="19" t="n">
        <v>28679.74636188444</v>
      </c>
      <c r="K3340" s="35" t="n">
        <v>0.1380454760264085</v>
      </c>
    </row>
    <row r="3341">
      <c r="A3341" s="36" t="inlineStr">
        <is>
          <t>AGA SPK-tilskudd</t>
        </is>
      </c>
      <c r="B3341" s="36" t="inlineStr">
        <is>
          <t>Region Øst</t>
        </is>
      </c>
      <c r="C3341" s="36" t="inlineStr">
        <is>
          <t>Spisskompetansemiljø for trygghet og sikkerhet i institusjon for barn og ansatte</t>
        </is>
      </c>
      <c r="D3341" s="26" t="n">
        <v>2850</v>
      </c>
      <c r="E3341" s="26" t="n">
        <v>9129</v>
      </c>
      <c r="F3341" s="26" t="n">
        <v>5976</v>
      </c>
      <c r="G3341" s="26" t="n">
        <v>168826</v>
      </c>
      <c r="H3341" s="26" t="n">
        <v>11255</v>
      </c>
      <c r="I3341" s="26" t="n">
        <v>2309</v>
      </c>
      <c r="J3341" s="19" t="n">
        <v>2122.538429496019</v>
      </c>
      <c r="K3341" s="37" t="n">
        <v>-0.04122695758673511</v>
      </c>
    </row>
    <row r="3342">
      <c r="A3342" s="34" t="inlineStr">
        <is>
          <t>AGA SPK-tilskudd</t>
        </is>
      </c>
      <c r="B3342" s="34" t="inlineStr">
        <is>
          <t>Region Øst</t>
        </is>
      </c>
      <c r="C3342" s="34" t="inlineStr">
        <is>
          <t>Spisskompetansemiljø for trygghet og sikkerhet i institusjon for barn og ansatte</t>
        </is>
      </c>
      <c r="D3342" s="18" t="n">
        <v>22367</v>
      </c>
      <c r="E3342" s="18" t="n">
        <v>20863</v>
      </c>
      <c r="F3342" s="18" t="n">
        <v>49810</v>
      </c>
      <c r="G3342" s="18" t="n">
        <v>59789</v>
      </c>
      <c r="H3342" s="18" t="n">
        <v>67309</v>
      </c>
      <c r="I3342" s="18" t="n">
        <v>61178</v>
      </c>
      <c r="J3342" s="19" t="n">
        <v>91493.51025050814</v>
      </c>
      <c r="K3342" s="35" t="n">
        <v>0.2229184789834946</v>
      </c>
    </row>
    <row r="3343">
      <c r="A3343" s="36" t="inlineStr">
        <is>
          <t>AGA SPK-tilskudd</t>
        </is>
      </c>
      <c r="B3343" s="36" t="inlineStr">
        <is>
          <t>Region Øst</t>
        </is>
      </c>
      <c r="C3343" s="36" t="inlineStr">
        <is>
          <t>Spisskompetansemiljø for trygghet og sikkerhet i institusjon for barn og ansatte</t>
        </is>
      </c>
      <c r="D3343" s="26" t="n">
        <v>39070</v>
      </c>
      <c r="E3343" s="26" t="n">
        <v>44452</v>
      </c>
      <c r="F3343" s="26" t="n">
        <v>107912</v>
      </c>
      <c r="G3343" s="26" t="n">
        <v>106179</v>
      </c>
      <c r="H3343" s="26" t="n">
        <v>124883</v>
      </c>
      <c r="I3343" s="26" t="n">
        <v>67487</v>
      </c>
      <c r="J3343" s="19" t="n">
        <v>83979.02101303345</v>
      </c>
      <c r="K3343" s="37" t="n">
        <v>0.1155148146563825</v>
      </c>
    </row>
    <row r="3344">
      <c r="A3344" s="34" t="inlineStr">
        <is>
          <t>AGA SPK-tilskudd</t>
        </is>
      </c>
      <c r="B3344" s="34" t="inlineStr">
        <is>
          <t>Region Øst</t>
        </is>
      </c>
      <c r="C3344" s="34" t="inlineStr">
        <is>
          <t>Spisskompetansemiljø for trygghet og sikkerhet i institusjon for barn og ansatte</t>
        </is>
      </c>
      <c r="D3344" s="18" t="n"/>
      <c r="E3344" s="18" t="n"/>
      <c r="F3344" s="18" t="n">
        <v>3004</v>
      </c>
      <c r="G3344" s="18" t="n">
        <v>4529</v>
      </c>
      <c r="H3344" s="18" t="n">
        <v>32890</v>
      </c>
      <c r="I3344" s="18" t="n"/>
      <c r="J3344" s="19" t="n">
        <v>0</v>
      </c>
      <c r="K3344" s="35" t="n">
        <v>0.065</v>
      </c>
    </row>
    <row r="3345">
      <c r="A3345" s="36" t="inlineStr">
        <is>
          <t>AGA SPK-tilskudd</t>
        </is>
      </c>
      <c r="B3345" s="36" t="inlineStr">
        <is>
          <t>Region Øst</t>
        </is>
      </c>
      <c r="C3345" s="36" t="inlineStr">
        <is>
          <t>Spisskompetansemiljø for trygghet og sikkerhet i institusjon for barn og ansatte</t>
        </is>
      </c>
      <c r="D3345" s="26" t="n">
        <v>6881</v>
      </c>
      <c r="E3345" s="26" t="n">
        <v>5272</v>
      </c>
      <c r="F3345" s="26" t="n">
        <v>6139</v>
      </c>
      <c r="G3345" s="26" t="n">
        <v>7577</v>
      </c>
      <c r="H3345" s="26" t="n">
        <v>4617</v>
      </c>
      <c r="I3345" s="26" t="n">
        <v>7361</v>
      </c>
      <c r="J3345" s="19" t="n">
        <v>7562.248103839872</v>
      </c>
      <c r="K3345" s="37" t="n">
        <v>0.01357771173493894</v>
      </c>
    </row>
    <row r="3346">
      <c r="A3346" s="34" t="inlineStr">
        <is>
          <t>AGA SPK-tilskudd</t>
        </is>
      </c>
      <c r="B3346" s="34" t="inlineStr">
        <is>
          <t>Region Øst</t>
        </is>
      </c>
      <c r="C3346" s="34" t="inlineStr">
        <is>
          <t>Spisskompetansemiljø for trygghet og sikkerhet i institusjon for barn og ansatte</t>
        </is>
      </c>
      <c r="D3346" s="18" t="n">
        <v>22171</v>
      </c>
      <c r="E3346" s="18" t="n">
        <v>18509</v>
      </c>
      <c r="F3346" s="18" t="n">
        <v>46257</v>
      </c>
      <c r="G3346" s="18" t="n">
        <v>51005</v>
      </c>
      <c r="H3346" s="18" t="n">
        <v>84879</v>
      </c>
      <c r="I3346" s="18" t="n">
        <v>52714</v>
      </c>
      <c r="J3346" s="19" t="n">
        <v>74538.77452683392</v>
      </c>
      <c r="K3346" s="35" t="n">
        <v>0.1891267203283191</v>
      </c>
    </row>
    <row r="3347">
      <c r="A3347" s="36" t="inlineStr">
        <is>
          <t>AGA SPK-tilskudd</t>
        </is>
      </c>
      <c r="B3347" s="36" t="inlineStr">
        <is>
          <t>Region Øst</t>
        </is>
      </c>
      <c r="C3347" s="36" t="inlineStr">
        <is>
          <t>Spisskompetansemiljø for trygghet og sikkerhet i institusjon for barn og ansatte</t>
        </is>
      </c>
      <c r="D3347" s="26" t="n"/>
      <c r="E3347" s="26" t="n"/>
      <c r="F3347" s="26" t="n">
        <v>3740</v>
      </c>
      <c r="G3347" s="26" t="n"/>
      <c r="H3347" s="26" t="n">
        <v>5870</v>
      </c>
      <c r="I3347" s="26" t="n"/>
      <c r="J3347" s="19" t="n">
        <v>0</v>
      </c>
      <c r="K3347" s="37" t="n">
        <v>0.065</v>
      </c>
    </row>
    <row r="3348">
      <c r="A3348" s="34" t="inlineStr">
        <is>
          <t>AGA SPK-tilskudd</t>
        </is>
      </c>
      <c r="B3348" s="34" t="inlineStr">
        <is>
          <t>Region Øst</t>
        </is>
      </c>
      <c r="C3348" s="34" t="inlineStr">
        <is>
          <t>Spisskompetansemiljø for trygghet og sikkerhet i institusjon for barn og ansatte</t>
        </is>
      </c>
      <c r="D3348" s="18" t="n">
        <v>675</v>
      </c>
      <c r="E3348" s="18" t="n">
        <v>-4800</v>
      </c>
      <c r="F3348" s="18" t="n">
        <v>5599</v>
      </c>
      <c r="G3348" s="18" t="n">
        <v>4800</v>
      </c>
      <c r="H3348" s="18" t="n">
        <v>10150</v>
      </c>
      <c r="I3348" s="18" t="n">
        <v>-2880</v>
      </c>
      <c r="J3348" s="19" t="n">
        <v>-3266.567999999999</v>
      </c>
      <c r="K3348" s="35" t="n">
        <v>0.065</v>
      </c>
    </row>
    <row r="3349">
      <c r="A3349" s="36" t="inlineStr">
        <is>
          <t>AGA SPK-tilskudd</t>
        </is>
      </c>
      <c r="B3349" s="36" t="inlineStr">
        <is>
          <t>Region Øst</t>
        </is>
      </c>
      <c r="C3349" s="36" t="inlineStr">
        <is>
          <t>Spisskompetansemiljø for trygghet og sikkerhet i institusjon for barn og ansatte</t>
        </is>
      </c>
      <c r="D3349" s="26" t="n"/>
      <c r="E3349" s="26" t="n">
        <v>-19640</v>
      </c>
      <c r="F3349" s="26" t="n">
        <v>-463933</v>
      </c>
      <c r="G3349" s="26" t="n">
        <v>-13021</v>
      </c>
      <c r="H3349" s="26" t="n">
        <v>-195596</v>
      </c>
      <c r="I3349" s="26" t="n">
        <v>-210045</v>
      </c>
      <c r="J3349" s="19" t="n">
        <v>-238238.290125</v>
      </c>
      <c r="K3349" s="37" t="n">
        <v>0.065</v>
      </c>
    </row>
    <row r="3350">
      <c r="A3350" s="34" t="inlineStr">
        <is>
          <t>AGA SPK-tilskudd</t>
        </is>
      </c>
      <c r="B3350" s="34" t="inlineStr">
        <is>
          <t>Region Øst</t>
        </is>
      </c>
      <c r="C3350" s="34" t="inlineStr">
        <is>
          <t>Spisskompetansemiljø for trygghet og sikkerhet i institusjon for barn og ansatte</t>
        </is>
      </c>
      <c r="D3350" s="18" t="n">
        <v>-217500</v>
      </c>
      <c r="E3350" s="18" t="n">
        <v>-542351</v>
      </c>
      <c r="F3350" s="18" t="n">
        <v>-726624</v>
      </c>
      <c r="G3350" s="18" t="n">
        <v>-335004</v>
      </c>
      <c r="H3350" s="18" t="n">
        <v>-885039</v>
      </c>
      <c r="I3350" s="18" t="n">
        <v>-718743</v>
      </c>
      <c r="J3350" s="19" t="n">
        <v>-815216.2791749999</v>
      </c>
      <c r="K3350" s="35" t="n">
        <v>0.065</v>
      </c>
    </row>
    <row r="3351">
      <c r="A3351" s="36" t="inlineStr">
        <is>
          <t>AGA SPK-tilskudd</t>
        </is>
      </c>
      <c r="B3351" s="36" t="inlineStr">
        <is>
          <t>Region Øst</t>
        </is>
      </c>
      <c r="C3351" s="36" t="inlineStr">
        <is>
          <t>Støttespillerne - Ambulant team</t>
        </is>
      </c>
      <c r="D3351" s="26" t="n"/>
      <c r="E3351" s="26" t="n">
        <v>34941</v>
      </c>
      <c r="F3351" s="26" t="n">
        <v>17781</v>
      </c>
      <c r="G3351" s="26" t="n">
        <v>-890</v>
      </c>
      <c r="H3351" s="26" t="n"/>
      <c r="I3351" s="26" t="n"/>
      <c r="J3351" s="19" t="n">
        <v>0</v>
      </c>
      <c r="K3351" s="37" t="n">
        <v>0.065</v>
      </c>
    </row>
    <row r="3352">
      <c r="A3352" s="34" t="inlineStr">
        <is>
          <t>AGA SPK-tilskudd</t>
        </is>
      </c>
      <c r="B3352" s="34" t="inlineStr">
        <is>
          <t>Region Øst</t>
        </is>
      </c>
      <c r="C3352" s="34" t="inlineStr">
        <is>
          <t>Støttespillerne - Ambulant team</t>
        </is>
      </c>
      <c r="D3352" s="18" t="n"/>
      <c r="E3352" s="18" t="n">
        <v>8703</v>
      </c>
      <c r="F3352" s="18" t="n">
        <v>29221</v>
      </c>
      <c r="G3352" s="18" t="n"/>
      <c r="H3352" s="18" t="n"/>
      <c r="I3352" s="18" t="n"/>
      <c r="J3352" s="19" t="n">
        <v>0</v>
      </c>
      <c r="K3352" s="35" t="n">
        <v>0.065</v>
      </c>
    </row>
    <row r="3353">
      <c r="A3353" s="36" t="inlineStr">
        <is>
          <t>AGA SPK-tilskudd</t>
        </is>
      </c>
      <c r="B3353" s="36" t="inlineStr">
        <is>
          <t>Region Øst</t>
        </is>
      </c>
      <c r="C3353" s="36" t="inlineStr">
        <is>
          <t>Støttespillerne - Ambulant team</t>
        </is>
      </c>
      <c r="D3353" s="26" t="n"/>
      <c r="E3353" s="26" t="n">
        <v>4397</v>
      </c>
      <c r="F3353" s="26" t="n">
        <v>3170</v>
      </c>
      <c r="G3353" s="26" t="n">
        <v>-102</v>
      </c>
      <c r="H3353" s="26" t="n"/>
      <c r="I3353" s="26" t="n"/>
      <c r="J3353" s="19" t="n">
        <v>0</v>
      </c>
      <c r="K3353" s="37" t="n">
        <v>0.065</v>
      </c>
    </row>
    <row r="3354">
      <c r="A3354" s="34" t="inlineStr">
        <is>
          <t>AGA SPK-tilskudd</t>
        </is>
      </c>
      <c r="B3354" s="34" t="inlineStr">
        <is>
          <t>Region Øst</t>
        </is>
      </c>
      <c r="C3354" s="34" t="inlineStr">
        <is>
          <t>Støttespillerne - Ambulant team</t>
        </is>
      </c>
      <c r="D3354" s="18" t="n"/>
      <c r="E3354" s="18" t="n"/>
      <c r="F3354" s="18" t="n">
        <v>1932</v>
      </c>
      <c r="G3354" s="18" t="n"/>
      <c r="H3354" s="18" t="n"/>
      <c r="I3354" s="18" t="n"/>
      <c r="J3354" s="19" t="n">
        <v>0</v>
      </c>
      <c r="K3354" s="35" t="n">
        <v>0.065</v>
      </c>
    </row>
    <row r="3355">
      <c r="A3355" s="36" t="inlineStr">
        <is>
          <t>AGA SPK-tilskudd</t>
        </is>
      </c>
      <c r="B3355" s="36" t="inlineStr">
        <is>
          <t>Region Øst</t>
        </is>
      </c>
      <c r="C3355" s="36" t="inlineStr">
        <is>
          <t>Støttespillerne - Ambulant team</t>
        </is>
      </c>
      <c r="D3355" s="26" t="n"/>
      <c r="E3355" s="26" t="n">
        <v>3117</v>
      </c>
      <c r="F3355" s="26" t="n">
        <v>1247</v>
      </c>
      <c r="G3355" s="26" t="n"/>
      <c r="H3355" s="26" t="n"/>
      <c r="I3355" s="26" t="n"/>
      <c r="J3355" s="19" t="n">
        <v>0</v>
      </c>
      <c r="K3355" s="37" t="n">
        <v>0.065</v>
      </c>
    </row>
    <row r="3356">
      <c r="A3356" s="34" t="inlineStr">
        <is>
          <t>AGA SPK-tilskudd</t>
        </is>
      </c>
      <c r="B3356" s="34" t="inlineStr">
        <is>
          <t>Region Øst</t>
        </is>
      </c>
      <c r="C3356" s="34" t="inlineStr">
        <is>
          <t>Støttespillerne - Ambulant team</t>
        </is>
      </c>
      <c r="D3356" s="18" t="n"/>
      <c r="E3356" s="18" t="n">
        <v>20896</v>
      </c>
      <c r="F3356" s="18" t="n">
        <v>11335</v>
      </c>
      <c r="G3356" s="18" t="n"/>
      <c r="H3356" s="18" t="n"/>
      <c r="I3356" s="18" t="n"/>
      <c r="J3356" s="19" t="n">
        <v>0</v>
      </c>
      <c r="K3356" s="35" t="n">
        <v>0.065</v>
      </c>
    </row>
    <row r="3357">
      <c r="A3357" s="36" t="inlineStr">
        <is>
          <t>AGA SPK-tilskudd</t>
        </is>
      </c>
      <c r="B3357" s="36" t="inlineStr">
        <is>
          <t>Region Øst</t>
        </is>
      </c>
      <c r="C3357" s="36" t="inlineStr">
        <is>
          <t>Støttespillerne - Ambulant team</t>
        </is>
      </c>
      <c r="D3357" s="26" t="n"/>
      <c r="E3357" s="26" t="n">
        <v>1621</v>
      </c>
      <c r="F3357" s="26" t="n"/>
      <c r="G3357" s="26" t="n"/>
      <c r="H3357" s="26" t="n"/>
      <c r="I3357" s="26" t="n"/>
      <c r="J3357" s="19" t="n">
        <v>0</v>
      </c>
      <c r="K3357" s="37" t="n">
        <v>0.065</v>
      </c>
    </row>
    <row r="3358">
      <c r="A3358" s="34" t="inlineStr">
        <is>
          <t>AGA SPK-tilskudd</t>
        </is>
      </c>
      <c r="B3358" s="34" t="inlineStr">
        <is>
          <t>Region Øst</t>
        </is>
      </c>
      <c r="C3358" s="34" t="inlineStr">
        <is>
          <t>Støttespillerne - Ambulant team</t>
        </is>
      </c>
      <c r="D3358" s="18" t="n"/>
      <c r="E3358" s="18" t="n"/>
      <c r="F3358" s="18" t="n">
        <v>849</v>
      </c>
      <c r="G3358" s="18" t="n"/>
      <c r="H3358" s="18" t="n"/>
      <c r="I3358" s="18" t="n"/>
      <c r="J3358" s="19" t="n">
        <v>0</v>
      </c>
      <c r="K3358" s="35" t="n">
        <v>0.065</v>
      </c>
    </row>
    <row r="3359">
      <c r="A3359" s="36" t="inlineStr">
        <is>
          <t>AGA SPK-tilskudd</t>
        </is>
      </c>
      <c r="B3359" s="36" t="inlineStr">
        <is>
          <t>Region Øst</t>
        </is>
      </c>
      <c r="C3359" s="36" t="inlineStr">
        <is>
          <t>Støttespillerne - Ambulant team</t>
        </is>
      </c>
      <c r="D3359" s="26" t="n"/>
      <c r="E3359" s="26" t="n">
        <v>10641</v>
      </c>
      <c r="F3359" s="26" t="n">
        <v>4363</v>
      </c>
      <c r="G3359" s="26" t="n"/>
      <c r="H3359" s="26" t="n"/>
      <c r="I3359" s="26" t="n"/>
      <c r="J3359" s="19" t="n">
        <v>0</v>
      </c>
      <c r="K3359" s="37" t="n">
        <v>0.065</v>
      </c>
    </row>
    <row r="3360">
      <c r="A3360" s="34" t="inlineStr">
        <is>
          <t>AGA SPK-tilskudd</t>
        </is>
      </c>
      <c r="B3360" s="34" t="inlineStr">
        <is>
          <t>Region Øst</t>
        </is>
      </c>
      <c r="C3360" s="34" t="inlineStr">
        <is>
          <t>Støttespillerne - Ambulant team</t>
        </is>
      </c>
      <c r="D3360" s="18" t="n"/>
      <c r="E3360" s="18" t="n"/>
      <c r="F3360" s="18" t="n">
        <v>257</v>
      </c>
      <c r="G3360" s="18" t="n"/>
      <c r="H3360" s="18" t="n"/>
      <c r="I3360" s="18" t="n"/>
      <c r="J3360" s="19" t="n">
        <v>0</v>
      </c>
      <c r="K3360" s="35" t="n">
        <v>0.065</v>
      </c>
    </row>
    <row r="3361">
      <c r="A3361" s="36" t="inlineStr">
        <is>
          <t>AGA SPK-tilskudd</t>
        </is>
      </c>
      <c r="B3361" s="36" t="inlineStr">
        <is>
          <t>Region Øst</t>
        </is>
      </c>
      <c r="C3361" s="36" t="inlineStr">
        <is>
          <t>Støttespillerne - Ambulant team</t>
        </is>
      </c>
      <c r="D3361" s="26" t="n"/>
      <c r="E3361" s="26" t="n">
        <v>-5800</v>
      </c>
      <c r="F3361" s="26" t="n">
        <v>-4400</v>
      </c>
      <c r="G3361" s="26" t="n">
        <v>200</v>
      </c>
      <c r="H3361" s="26" t="n"/>
      <c r="I3361" s="26" t="n"/>
      <c r="J3361" s="19" t="n">
        <v>0</v>
      </c>
      <c r="K3361" s="37" t="n">
        <v>0.065</v>
      </c>
    </row>
    <row r="3362">
      <c r="A3362" s="34" t="inlineStr">
        <is>
          <t>AGA SPK-tilskudd</t>
        </is>
      </c>
      <c r="B3362" s="34" t="inlineStr">
        <is>
          <t>Region Øst</t>
        </is>
      </c>
      <c r="C3362" s="34" t="inlineStr">
        <is>
          <t>Støttespillerne - Ambulant team</t>
        </is>
      </c>
      <c r="D3362" s="18" t="n"/>
      <c r="E3362" s="18" t="n"/>
      <c r="F3362" s="18" t="n">
        <v>-309330</v>
      </c>
      <c r="G3362" s="18" t="n">
        <v>-15025</v>
      </c>
      <c r="H3362" s="18" t="n"/>
      <c r="I3362" s="18" t="n"/>
      <c r="J3362" s="19" t="n">
        <v>0</v>
      </c>
      <c r="K3362" s="35" t="n">
        <v>0.065</v>
      </c>
    </row>
    <row r="3363">
      <c r="A3363" s="36" t="inlineStr">
        <is>
          <t>AGA SPK-tilskudd</t>
        </is>
      </c>
      <c r="B3363" s="36" t="inlineStr">
        <is>
          <t>Region Øst</t>
        </is>
      </c>
      <c r="C3363" s="36" t="inlineStr">
        <is>
          <t>Støttespillerne - Ambulant team</t>
        </is>
      </c>
      <c r="D3363" s="26" t="n"/>
      <c r="E3363" s="26" t="n">
        <v>-6273</v>
      </c>
      <c r="F3363" s="26" t="n">
        <v>-22250</v>
      </c>
      <c r="G3363" s="26" t="n">
        <v>-2204</v>
      </c>
      <c r="H3363" s="26" t="n"/>
      <c r="I3363" s="26" t="n"/>
      <c r="J3363" s="19" t="n">
        <v>0</v>
      </c>
      <c r="K3363" s="37" t="n">
        <v>0.065</v>
      </c>
    </row>
    <row r="3364">
      <c r="A3364" s="34" t="inlineStr">
        <is>
          <t>AGA SPK-tilskudd</t>
        </is>
      </c>
      <c r="B3364" s="34" t="inlineStr">
        <is>
          <t>Region Øst</t>
        </is>
      </c>
      <c r="C3364" s="34" t="inlineStr">
        <is>
          <t>Støttespillerne - Huset</t>
        </is>
      </c>
      <c r="D3364" s="18" t="n"/>
      <c r="E3364" s="18" t="n">
        <v>138850</v>
      </c>
      <c r="F3364" s="18" t="n">
        <v>154065</v>
      </c>
      <c r="G3364" s="18" t="n">
        <v>96226</v>
      </c>
      <c r="H3364" s="18" t="n"/>
      <c r="I3364" s="18" t="n"/>
      <c r="J3364" s="19" t="n">
        <v>0</v>
      </c>
      <c r="K3364" s="35" t="n">
        <v>0.065</v>
      </c>
    </row>
    <row r="3365">
      <c r="A3365" s="36" t="inlineStr">
        <is>
          <t>AGA SPK-tilskudd</t>
        </is>
      </c>
      <c r="B3365" s="36" t="inlineStr">
        <is>
          <t>Region Øst</t>
        </is>
      </c>
      <c r="C3365" s="36" t="inlineStr">
        <is>
          <t>Støttespillerne - Huset</t>
        </is>
      </c>
      <c r="D3365" s="26" t="n"/>
      <c r="E3365" s="26" t="n">
        <v>1114688</v>
      </c>
      <c r="F3365" s="26" t="n">
        <v>2245556</v>
      </c>
      <c r="G3365" s="26" t="n">
        <v>1435982</v>
      </c>
      <c r="H3365" s="26" t="n">
        <v>-4845</v>
      </c>
      <c r="I3365" s="26" t="n"/>
      <c r="J3365" s="19" t="n">
        <v>0</v>
      </c>
      <c r="K3365" s="37" t="n">
        <v>0.065</v>
      </c>
    </row>
    <row r="3366">
      <c r="A3366" s="34" t="inlineStr">
        <is>
          <t>AGA SPK-tilskudd</t>
        </is>
      </c>
      <c r="B3366" s="34" t="inlineStr">
        <is>
          <t>Region Øst</t>
        </is>
      </c>
      <c r="C3366" s="34" t="inlineStr">
        <is>
          <t>Støttespillerne - Huset</t>
        </is>
      </c>
      <c r="D3366" s="18" t="n"/>
      <c r="E3366" s="18" t="n">
        <v>19968</v>
      </c>
      <c r="F3366" s="18" t="n">
        <v>120732</v>
      </c>
      <c r="G3366" s="18" t="n">
        <v>46105</v>
      </c>
      <c r="H3366" s="18" t="n"/>
      <c r="I3366" s="18" t="n"/>
      <c r="J3366" s="19" t="n">
        <v>0</v>
      </c>
      <c r="K3366" s="35" t="n">
        <v>0.065</v>
      </c>
    </row>
    <row r="3367">
      <c r="A3367" s="36" t="inlineStr">
        <is>
          <t>AGA SPK-tilskudd</t>
        </is>
      </c>
      <c r="B3367" s="36" t="inlineStr">
        <is>
          <t>Region Øst</t>
        </is>
      </c>
      <c r="C3367" s="36" t="inlineStr">
        <is>
          <t>Støttespillerne - Huset</t>
        </is>
      </c>
      <c r="D3367" s="26" t="n"/>
      <c r="E3367" s="26" t="n">
        <v>24336</v>
      </c>
      <c r="F3367" s="26" t="n">
        <v>37029</v>
      </c>
      <c r="G3367" s="26" t="n">
        <v>27214</v>
      </c>
      <c r="H3367" s="26" t="n"/>
      <c r="I3367" s="26" t="n"/>
      <c r="J3367" s="19" t="n">
        <v>0</v>
      </c>
      <c r="K3367" s="37" t="n">
        <v>0.065</v>
      </c>
    </row>
    <row r="3368">
      <c r="A3368" s="34" t="inlineStr">
        <is>
          <t>AGA SPK-tilskudd</t>
        </is>
      </c>
      <c r="B3368" s="34" t="inlineStr">
        <is>
          <t>Region Øst</t>
        </is>
      </c>
      <c r="C3368" s="34" t="inlineStr">
        <is>
          <t>Støttespillerne - Huset</t>
        </is>
      </c>
      <c r="D3368" s="18" t="n"/>
      <c r="E3368" s="18" t="n">
        <v>2898</v>
      </c>
      <c r="F3368" s="18" t="n"/>
      <c r="G3368" s="18" t="n"/>
      <c r="H3368" s="18" t="n"/>
      <c r="I3368" s="18" t="n"/>
      <c r="J3368" s="19" t="n">
        <v>0</v>
      </c>
      <c r="K3368" s="35" t="n">
        <v>0.065</v>
      </c>
    </row>
    <row r="3369">
      <c r="A3369" s="36" t="inlineStr">
        <is>
          <t>AGA SPK-tilskudd</t>
        </is>
      </c>
      <c r="B3369" s="36" t="inlineStr">
        <is>
          <t>Region Øst</t>
        </is>
      </c>
      <c r="C3369" s="36" t="inlineStr">
        <is>
          <t>Støttespillerne - Huset</t>
        </is>
      </c>
      <c r="D3369" s="26" t="n"/>
      <c r="E3369" s="26" t="n">
        <v>770</v>
      </c>
      <c r="F3369" s="26" t="n">
        <v>5082</v>
      </c>
      <c r="G3369" s="26" t="n">
        <v>504</v>
      </c>
      <c r="H3369" s="26" t="n"/>
      <c r="I3369" s="26" t="n"/>
      <c r="J3369" s="19" t="n">
        <v>0</v>
      </c>
      <c r="K3369" s="37" t="n">
        <v>0.065</v>
      </c>
    </row>
    <row r="3370">
      <c r="A3370" s="34" t="inlineStr">
        <is>
          <t>AGA SPK-tilskudd</t>
        </is>
      </c>
      <c r="B3370" s="34" t="inlineStr">
        <is>
          <t>Region Øst</t>
        </is>
      </c>
      <c r="C3370" s="34" t="inlineStr">
        <is>
          <t>Støttespillerne - Huset</t>
        </is>
      </c>
      <c r="D3370" s="18" t="n"/>
      <c r="E3370" s="18" t="n">
        <v>1101</v>
      </c>
      <c r="F3370" s="18" t="n">
        <v>2778</v>
      </c>
      <c r="G3370" s="18" t="n">
        <v>729</v>
      </c>
      <c r="H3370" s="18" t="n"/>
      <c r="I3370" s="18" t="n"/>
      <c r="J3370" s="19" t="n">
        <v>0</v>
      </c>
      <c r="K3370" s="35" t="n">
        <v>0.065</v>
      </c>
    </row>
    <row r="3371">
      <c r="A3371" s="36" t="inlineStr">
        <is>
          <t>AGA SPK-tilskudd</t>
        </is>
      </c>
      <c r="B3371" s="36" t="inlineStr">
        <is>
          <t>Region Øst</t>
        </is>
      </c>
      <c r="C3371" s="36" t="inlineStr">
        <is>
          <t>Støttespillerne - Huset</t>
        </is>
      </c>
      <c r="D3371" s="26" t="n"/>
      <c r="E3371" s="26" t="n">
        <v>11075</v>
      </c>
      <c r="F3371" s="26" t="n"/>
      <c r="G3371" s="26" t="n">
        <v>2063</v>
      </c>
      <c r="H3371" s="26" t="n"/>
      <c r="I3371" s="26" t="n"/>
      <c r="J3371" s="19" t="n">
        <v>0</v>
      </c>
      <c r="K3371" s="37" t="n">
        <v>0.065</v>
      </c>
    </row>
    <row r="3372">
      <c r="A3372" s="34" t="inlineStr">
        <is>
          <t>AGA SPK-tilskudd</t>
        </is>
      </c>
      <c r="B3372" s="34" t="inlineStr">
        <is>
          <t>Region Øst</t>
        </is>
      </c>
      <c r="C3372" s="34" t="inlineStr">
        <is>
          <t>Støttespillerne - Huset</t>
        </is>
      </c>
      <c r="D3372" s="18" t="n"/>
      <c r="E3372" s="18" t="n">
        <v>24554</v>
      </c>
      <c r="F3372" s="18" t="n">
        <v>17806</v>
      </c>
      <c r="G3372" s="18" t="n">
        <v>2790</v>
      </c>
      <c r="H3372" s="18" t="n"/>
      <c r="I3372" s="18" t="n"/>
      <c r="J3372" s="19" t="n">
        <v>0</v>
      </c>
      <c r="K3372" s="35" t="n">
        <v>0.065</v>
      </c>
    </row>
    <row r="3373">
      <c r="A3373" s="36" t="inlineStr">
        <is>
          <t>AGA SPK-tilskudd</t>
        </is>
      </c>
      <c r="B3373" s="36" t="inlineStr">
        <is>
          <t>Region Øst</t>
        </is>
      </c>
      <c r="C3373" s="36" t="inlineStr">
        <is>
          <t>Støttespillerne - Huset</t>
        </is>
      </c>
      <c r="D3373" s="26" t="n"/>
      <c r="E3373" s="26" t="n">
        <v>673</v>
      </c>
      <c r="F3373" s="26" t="n">
        <v>1553</v>
      </c>
      <c r="G3373" s="26" t="n">
        <v>805</v>
      </c>
      <c r="H3373" s="26" t="n"/>
      <c r="I3373" s="26" t="n"/>
      <c r="J3373" s="19" t="n">
        <v>0</v>
      </c>
      <c r="K3373" s="37" t="n">
        <v>0.065</v>
      </c>
    </row>
    <row r="3374">
      <c r="A3374" s="34" t="inlineStr">
        <is>
          <t>AGA SPK-tilskudd</t>
        </is>
      </c>
      <c r="B3374" s="34" t="inlineStr">
        <is>
          <t>Region Øst</t>
        </is>
      </c>
      <c r="C3374" s="34" t="inlineStr">
        <is>
          <t>Støttespillerne - Huset</t>
        </is>
      </c>
      <c r="D3374" s="18" t="n"/>
      <c r="E3374" s="18" t="n">
        <v>5124</v>
      </c>
      <c r="F3374" s="18" t="n"/>
      <c r="G3374" s="18" t="n"/>
      <c r="H3374" s="18" t="n"/>
      <c r="I3374" s="18" t="n"/>
      <c r="J3374" s="19" t="n">
        <v>0</v>
      </c>
      <c r="K3374" s="35" t="n">
        <v>0.065</v>
      </c>
    </row>
    <row r="3375">
      <c r="A3375" s="36" t="inlineStr">
        <is>
          <t>AGA SPK-tilskudd</t>
        </is>
      </c>
      <c r="B3375" s="36" t="inlineStr">
        <is>
          <t>Region Øst</t>
        </is>
      </c>
      <c r="C3375" s="36" t="inlineStr">
        <is>
          <t>Støttespillerne - Huset</t>
        </is>
      </c>
      <c r="D3375" s="26" t="n"/>
      <c r="E3375" s="26" t="n">
        <v>-23177</v>
      </c>
      <c r="F3375" s="26" t="n">
        <v>-49428</v>
      </c>
      <c r="G3375" s="26" t="n">
        <v>-22110</v>
      </c>
      <c r="H3375" s="26" t="n"/>
      <c r="I3375" s="26" t="n"/>
      <c r="J3375" s="19" t="n">
        <v>0</v>
      </c>
      <c r="K3375" s="37" t="n">
        <v>0.065</v>
      </c>
    </row>
    <row r="3376">
      <c r="A3376" s="34" t="inlineStr">
        <is>
          <t>AGA SPK-tilskudd</t>
        </is>
      </c>
      <c r="B3376" s="34" t="inlineStr">
        <is>
          <t>Region Øst</t>
        </is>
      </c>
      <c r="C3376" s="34" t="inlineStr">
        <is>
          <t>Støttespillerne - Huset</t>
        </is>
      </c>
      <c r="D3376" s="18" t="n"/>
      <c r="E3376" s="18" t="n"/>
      <c r="F3376" s="18" t="n">
        <v>-140699</v>
      </c>
      <c r="G3376" s="18" t="n">
        <v>-258846</v>
      </c>
      <c r="H3376" s="18" t="n">
        <v>-5044</v>
      </c>
      <c r="I3376" s="18" t="n"/>
      <c r="J3376" s="19" t="n">
        <v>0</v>
      </c>
      <c r="K3376" s="35" t="n">
        <v>0.065</v>
      </c>
    </row>
    <row r="3377">
      <c r="A3377" s="36" t="inlineStr">
        <is>
          <t>AGA SPK-tilskudd</t>
        </is>
      </c>
      <c r="B3377" s="36" t="inlineStr">
        <is>
          <t>Region Øst</t>
        </is>
      </c>
      <c r="C3377" s="36" t="inlineStr">
        <is>
          <t>Støttespillerne - Huset</t>
        </is>
      </c>
      <c r="D3377" s="26" t="n"/>
      <c r="E3377" s="26" t="n">
        <v>-189414</v>
      </c>
      <c r="F3377" s="26" t="n">
        <v>-1394686</v>
      </c>
      <c r="G3377" s="26" t="n">
        <v>-667011</v>
      </c>
      <c r="H3377" s="26" t="n"/>
      <c r="I3377" s="26" t="n"/>
      <c r="J3377" s="19" t="n">
        <v>0</v>
      </c>
      <c r="K3377" s="37" t="n">
        <v>0.065</v>
      </c>
    </row>
    <row r="3378">
      <c r="A3378" s="34" t="inlineStr">
        <is>
          <t>AGA SPK-tilskudd</t>
        </is>
      </c>
      <c r="B3378" s="34" t="inlineStr">
        <is>
          <t>Region Øst</t>
        </is>
      </c>
      <c r="C3378" s="34" t="inlineStr">
        <is>
          <t>TFCO Lillestrøm</t>
        </is>
      </c>
      <c r="D3378" s="18" t="n">
        <v>45019</v>
      </c>
      <c r="E3378" s="18" t="n">
        <v>52588</v>
      </c>
      <c r="F3378" s="18" t="n">
        <v>41803</v>
      </c>
      <c r="G3378" s="18" t="n">
        <v>62897</v>
      </c>
      <c r="H3378" s="18" t="n">
        <v>3782</v>
      </c>
      <c r="I3378" s="18" t="n">
        <v>428</v>
      </c>
      <c r="J3378" s="19" t="n">
        <v>240.75</v>
      </c>
      <c r="K3378" s="35" t="n">
        <v>-0.25</v>
      </c>
    </row>
    <row r="3379">
      <c r="A3379" s="36" t="inlineStr">
        <is>
          <t>AGA SPK-tilskudd</t>
        </is>
      </c>
      <c r="B3379" s="36" t="inlineStr">
        <is>
          <t>Region Øst</t>
        </is>
      </c>
      <c r="C3379" s="36" t="inlineStr">
        <is>
          <t>TFCO Lillestrøm</t>
        </is>
      </c>
      <c r="D3379" s="26" t="n">
        <v>38633</v>
      </c>
      <c r="E3379" s="26" t="n">
        <v>63587</v>
      </c>
      <c r="F3379" s="26" t="n">
        <v>69291</v>
      </c>
      <c r="G3379" s="26" t="n">
        <v>139450</v>
      </c>
      <c r="H3379" s="26" t="n">
        <v>2284</v>
      </c>
      <c r="I3379" s="26" t="n"/>
      <c r="J3379" s="19" t="n">
        <v>0</v>
      </c>
      <c r="K3379" s="37" t="n">
        <v>0.065</v>
      </c>
    </row>
    <row r="3380">
      <c r="A3380" s="34" t="inlineStr">
        <is>
          <t>AGA SPK-tilskudd</t>
        </is>
      </c>
      <c r="B3380" s="34" t="inlineStr">
        <is>
          <t>Region Øst</t>
        </is>
      </c>
      <c r="C3380" s="34" t="inlineStr">
        <is>
          <t>TFCO Lillestrøm</t>
        </is>
      </c>
      <c r="D3380" s="18" t="n">
        <v>3600</v>
      </c>
      <c r="E3380" s="18" t="n">
        <v>5393</v>
      </c>
      <c r="F3380" s="18" t="n">
        <v>5558</v>
      </c>
      <c r="G3380" s="18" t="n">
        <v>9301</v>
      </c>
      <c r="H3380" s="18" t="n">
        <v>860</v>
      </c>
      <c r="I3380" s="18" t="n">
        <v>173</v>
      </c>
      <c r="J3380" s="19" t="n">
        <v>97.3125</v>
      </c>
      <c r="K3380" s="35" t="n">
        <v>-0.25</v>
      </c>
    </row>
    <row r="3381">
      <c r="A3381" s="36" t="inlineStr">
        <is>
          <t>AGA SPK-tilskudd</t>
        </is>
      </c>
      <c r="B3381" s="36" t="inlineStr">
        <is>
          <t>Region Øst</t>
        </is>
      </c>
      <c r="C3381" s="36" t="inlineStr">
        <is>
          <t>TFCO Lillestrøm</t>
        </is>
      </c>
      <c r="D3381" s="26" t="n">
        <v>649382</v>
      </c>
      <c r="E3381" s="26" t="n">
        <v>2203586</v>
      </c>
      <c r="F3381" s="26" t="n">
        <v>2373955</v>
      </c>
      <c r="G3381" s="26" t="n">
        <v>2926934</v>
      </c>
      <c r="H3381" s="26" t="n">
        <v>493193</v>
      </c>
      <c r="I3381" s="26" t="n"/>
      <c r="J3381" s="19" t="n">
        <v>0</v>
      </c>
      <c r="K3381" s="37" t="n">
        <v>0.065</v>
      </c>
    </row>
    <row r="3382">
      <c r="A3382" s="34" t="inlineStr">
        <is>
          <t>AGA SPK-tilskudd</t>
        </is>
      </c>
      <c r="B3382" s="34" t="inlineStr">
        <is>
          <t>Region Øst</t>
        </is>
      </c>
      <c r="C3382" s="34" t="inlineStr">
        <is>
          <t>TFCO Lillestrøm</t>
        </is>
      </c>
      <c r="D3382" s="18" t="n">
        <v>647766</v>
      </c>
      <c r="E3382" s="18" t="n">
        <v>796903</v>
      </c>
      <c r="F3382" s="18" t="n">
        <v>904085</v>
      </c>
      <c r="G3382" s="18" t="n">
        <v>1349543</v>
      </c>
      <c r="H3382" s="18" t="n"/>
      <c r="I3382" s="18" t="n"/>
      <c r="J3382" s="19" t="n">
        <v>0</v>
      </c>
      <c r="K3382" s="35" t="n">
        <v>0.065</v>
      </c>
    </row>
    <row r="3383">
      <c r="A3383" s="36" t="inlineStr">
        <is>
          <t>AGA SPK-tilskudd</t>
        </is>
      </c>
      <c r="B3383" s="36" t="inlineStr">
        <is>
          <t>Region Øst</t>
        </is>
      </c>
      <c r="C3383" s="36" t="inlineStr">
        <is>
          <t>TFCO Lillestrøm</t>
        </is>
      </c>
      <c r="D3383" s="26" t="n">
        <v>29526</v>
      </c>
      <c r="E3383" s="26" t="n">
        <v>85880</v>
      </c>
      <c r="F3383" s="26" t="n">
        <v>170857</v>
      </c>
      <c r="G3383" s="26" t="n">
        <v>189817</v>
      </c>
      <c r="H3383" s="26" t="n">
        <v>3241</v>
      </c>
      <c r="I3383" s="26" t="n"/>
      <c r="J3383" s="19" t="n">
        <v>0</v>
      </c>
      <c r="K3383" s="37" t="n">
        <v>0.065</v>
      </c>
    </row>
    <row r="3384">
      <c r="A3384" s="34" t="inlineStr">
        <is>
          <t>AGA SPK-tilskudd</t>
        </is>
      </c>
      <c r="B3384" s="34" t="inlineStr">
        <is>
          <t>Region Øst</t>
        </is>
      </c>
      <c r="C3384" s="34" t="inlineStr">
        <is>
          <t>TFCO Lillestrøm</t>
        </is>
      </c>
      <c r="D3384" s="18" t="n"/>
      <c r="E3384" s="18" t="n">
        <v>1097</v>
      </c>
      <c r="F3384" s="18" t="n">
        <v>2168</v>
      </c>
      <c r="G3384" s="18" t="n">
        <v>5584</v>
      </c>
      <c r="H3384" s="18" t="n"/>
      <c r="I3384" s="18" t="n"/>
      <c r="J3384" s="19" t="n">
        <v>0</v>
      </c>
      <c r="K3384" s="35" t="n">
        <v>0.065</v>
      </c>
    </row>
    <row r="3385">
      <c r="A3385" s="36" t="inlineStr">
        <is>
          <t>AGA SPK-tilskudd</t>
        </is>
      </c>
      <c r="B3385" s="36" t="inlineStr">
        <is>
          <t>Region Øst</t>
        </is>
      </c>
      <c r="C3385" s="36" t="inlineStr">
        <is>
          <t>TFCO Lillestrøm</t>
        </is>
      </c>
      <c r="D3385" s="26" t="n"/>
      <c r="E3385" s="26" t="n">
        <v>4628</v>
      </c>
      <c r="F3385" s="26" t="n">
        <v>3685</v>
      </c>
      <c r="G3385" s="26" t="n">
        <v>13527</v>
      </c>
      <c r="H3385" s="26" t="n"/>
      <c r="I3385" s="26" t="n"/>
      <c r="J3385" s="19" t="n">
        <v>0</v>
      </c>
      <c r="K3385" s="37" t="n">
        <v>0.065</v>
      </c>
    </row>
    <row r="3386">
      <c r="A3386" s="34" t="inlineStr">
        <is>
          <t>AGA SPK-tilskudd</t>
        </is>
      </c>
      <c r="B3386" s="34" t="inlineStr">
        <is>
          <t>Region Øst</t>
        </is>
      </c>
      <c r="C3386" s="34" t="inlineStr">
        <is>
          <t>TFCO Lillestrøm</t>
        </is>
      </c>
      <c r="D3386" s="18" t="n">
        <v>460</v>
      </c>
      <c r="E3386" s="18" t="n">
        <v>1515</v>
      </c>
      <c r="F3386" s="18" t="n">
        <v>4253</v>
      </c>
      <c r="G3386" s="18" t="n">
        <v>4703</v>
      </c>
      <c r="H3386" s="18" t="n"/>
      <c r="I3386" s="18" t="n"/>
      <c r="J3386" s="19" t="n">
        <v>0</v>
      </c>
      <c r="K3386" s="35" t="n">
        <v>0.065</v>
      </c>
    </row>
    <row r="3387">
      <c r="A3387" s="36" t="inlineStr">
        <is>
          <t>AGA SPK-tilskudd</t>
        </is>
      </c>
      <c r="B3387" s="36" t="inlineStr">
        <is>
          <t>Region Øst</t>
        </is>
      </c>
      <c r="C3387" s="36" t="inlineStr">
        <is>
          <t>TFCO Lillestrøm</t>
        </is>
      </c>
      <c r="D3387" s="26" t="n">
        <v>4080</v>
      </c>
      <c r="E3387" s="26" t="n">
        <v>11891</v>
      </c>
      <c r="F3387" s="26" t="n">
        <v>23177</v>
      </c>
      <c r="G3387" s="26" t="n">
        <v>53668</v>
      </c>
      <c r="H3387" s="26" t="n">
        <v>789</v>
      </c>
      <c r="I3387" s="26" t="n"/>
      <c r="J3387" s="19" t="n">
        <v>0</v>
      </c>
      <c r="K3387" s="37" t="n">
        <v>0.065</v>
      </c>
    </row>
    <row r="3388">
      <c r="A3388" s="34" t="inlineStr">
        <is>
          <t>AGA SPK-tilskudd</t>
        </is>
      </c>
      <c r="B3388" s="34" t="inlineStr">
        <is>
          <t>Region Øst</t>
        </is>
      </c>
      <c r="C3388" s="34" t="inlineStr">
        <is>
          <t>TFCO Lillestrøm</t>
        </is>
      </c>
      <c r="D3388" s="18" t="n">
        <v>111250</v>
      </c>
      <c r="E3388" s="18" t="n">
        <v>323668</v>
      </c>
      <c r="F3388" s="18" t="n">
        <v>273552</v>
      </c>
      <c r="G3388" s="18" t="n">
        <v>371105</v>
      </c>
      <c r="H3388" s="18" t="n">
        <v>14028</v>
      </c>
      <c r="I3388" s="18" t="n"/>
      <c r="J3388" s="19" t="n">
        <v>0</v>
      </c>
      <c r="K3388" s="35" t="n">
        <v>0.065</v>
      </c>
    </row>
    <row r="3389">
      <c r="A3389" s="36" t="inlineStr">
        <is>
          <t>AGA SPK-tilskudd</t>
        </is>
      </c>
      <c r="B3389" s="36" t="inlineStr">
        <is>
          <t>Region Øst</t>
        </is>
      </c>
      <c r="C3389" s="36" t="inlineStr">
        <is>
          <t>TFCO Lillestrøm</t>
        </is>
      </c>
      <c r="D3389" s="26" t="n">
        <v>26625</v>
      </c>
      <c r="E3389" s="26" t="n">
        <v>248357</v>
      </c>
      <c r="F3389" s="26" t="n">
        <v>75938</v>
      </c>
      <c r="G3389" s="26" t="n">
        <v>181750</v>
      </c>
      <c r="H3389" s="26" t="n">
        <v>2500</v>
      </c>
      <c r="I3389" s="26" t="n"/>
      <c r="J3389" s="19" t="n">
        <v>0</v>
      </c>
      <c r="K3389" s="37" t="n">
        <v>0.065</v>
      </c>
    </row>
    <row r="3390">
      <c r="A3390" s="34" t="inlineStr">
        <is>
          <t>AGA SPK-tilskudd</t>
        </is>
      </c>
      <c r="B3390" s="34" t="inlineStr">
        <is>
          <t>Region Øst</t>
        </is>
      </c>
      <c r="C3390" s="34" t="inlineStr">
        <is>
          <t>TFCO Lillestrøm</t>
        </is>
      </c>
      <c r="D3390" s="18" t="n"/>
      <c r="E3390" s="18" t="n">
        <v>4020</v>
      </c>
      <c r="F3390" s="18" t="n"/>
      <c r="G3390" s="18" t="n"/>
      <c r="H3390" s="18" t="n"/>
      <c r="I3390" s="18" t="n"/>
      <c r="J3390" s="19" t="n">
        <v>0</v>
      </c>
      <c r="K3390" s="35" t="n">
        <v>0.065</v>
      </c>
    </row>
    <row r="3391">
      <c r="A3391" s="36" t="inlineStr">
        <is>
          <t>AGA SPK-tilskudd</t>
        </is>
      </c>
      <c r="B3391" s="36" t="inlineStr">
        <is>
          <t>Region Øst</t>
        </is>
      </c>
      <c r="C3391" s="36" t="inlineStr">
        <is>
          <t>TFCO Lillestrøm</t>
        </is>
      </c>
      <c r="D3391" s="26" t="n"/>
      <c r="E3391" s="26" t="n">
        <v>1513</v>
      </c>
      <c r="F3391" s="26" t="n">
        <v>3982</v>
      </c>
      <c r="G3391" s="26" t="n">
        <v>-3280</v>
      </c>
      <c r="H3391" s="26" t="n"/>
      <c r="I3391" s="26" t="n"/>
      <c r="J3391" s="19" t="n">
        <v>0</v>
      </c>
      <c r="K3391" s="37" t="n">
        <v>0.065</v>
      </c>
    </row>
    <row r="3392">
      <c r="A3392" s="34" t="inlineStr">
        <is>
          <t>AGA SPK-tilskudd</t>
        </is>
      </c>
      <c r="B3392" s="34" t="inlineStr">
        <is>
          <t>Region Øst</t>
        </is>
      </c>
      <c r="C3392" s="34" t="inlineStr">
        <is>
          <t>TFCO Lillestrøm</t>
        </is>
      </c>
      <c r="D3392" s="18" t="n">
        <v>-13683</v>
      </c>
      <c r="E3392" s="18" t="n"/>
      <c r="F3392" s="18" t="n">
        <v>-257300</v>
      </c>
      <c r="G3392" s="18" t="n">
        <v>-383685</v>
      </c>
      <c r="H3392" s="18" t="n"/>
      <c r="I3392" s="18" t="n"/>
      <c r="J3392" s="19" t="n">
        <v>0</v>
      </c>
      <c r="K3392" s="35" t="n">
        <v>0.065</v>
      </c>
    </row>
    <row r="3393">
      <c r="A3393" s="36" t="inlineStr">
        <is>
          <t>AGA SPK-tilskudd</t>
        </is>
      </c>
      <c r="B3393" s="36" t="inlineStr">
        <is>
          <t>Region Øst</t>
        </is>
      </c>
      <c r="C3393" s="36" t="inlineStr">
        <is>
          <t>TFCO Lillestrøm</t>
        </is>
      </c>
      <c r="D3393" s="26" t="n"/>
      <c r="E3393" s="26" t="n">
        <v>-1827</v>
      </c>
      <c r="F3393" s="26" t="n">
        <v>-6830</v>
      </c>
      <c r="G3393" s="26" t="n">
        <v>-290482</v>
      </c>
      <c r="H3393" s="26" t="n">
        <v>-62919</v>
      </c>
      <c r="I3393" s="26" t="n">
        <v>-32487</v>
      </c>
      <c r="J3393" s="19" t="n">
        <v>-36847.56757499999</v>
      </c>
      <c r="K3393" s="37" t="n">
        <v>0.065</v>
      </c>
    </row>
    <row r="3394">
      <c r="A3394" s="34" t="inlineStr">
        <is>
          <t>AGA SPK-tilskudd</t>
        </is>
      </c>
      <c r="B3394" s="34" t="inlineStr">
        <is>
          <t>Region Øst</t>
        </is>
      </c>
      <c r="C3394" s="34" t="inlineStr">
        <is>
          <t>TFCO Sandvika</t>
        </is>
      </c>
      <c r="D3394" s="18" t="n">
        <v>80224</v>
      </c>
      <c r="E3394" s="18" t="n">
        <v>43223</v>
      </c>
      <c r="F3394" s="18" t="n">
        <v>31444</v>
      </c>
      <c r="G3394" s="18" t="n"/>
      <c r="H3394" s="18" t="n"/>
      <c r="I3394" s="18" t="n"/>
      <c r="J3394" s="19" t="n">
        <v>0</v>
      </c>
      <c r="K3394" s="35" t="n">
        <v>0.065</v>
      </c>
    </row>
    <row r="3395">
      <c r="A3395" s="36" t="inlineStr">
        <is>
          <t>AGA SPK-tilskudd</t>
        </is>
      </c>
      <c r="B3395" s="36" t="inlineStr">
        <is>
          <t>Region Øst</t>
        </is>
      </c>
      <c r="C3395" s="36" t="inlineStr">
        <is>
          <t>TFCO Sandvika</t>
        </is>
      </c>
      <c r="D3395" s="26" t="n">
        <v>33339</v>
      </c>
      <c r="E3395" s="26" t="n">
        <v>33283</v>
      </c>
      <c r="F3395" s="26" t="n">
        <v>65428</v>
      </c>
      <c r="G3395" s="26" t="n"/>
      <c r="H3395" s="26" t="n"/>
      <c r="I3395" s="26" t="n"/>
      <c r="J3395" s="19" t="n">
        <v>0</v>
      </c>
      <c r="K3395" s="37" t="n">
        <v>0.065</v>
      </c>
    </row>
    <row r="3396">
      <c r="A3396" s="34" t="inlineStr">
        <is>
          <t>AGA SPK-tilskudd</t>
        </is>
      </c>
      <c r="B3396" s="34" t="inlineStr">
        <is>
          <t>Region Øst</t>
        </is>
      </c>
      <c r="C3396" s="34" t="inlineStr">
        <is>
          <t>TFCO Sandvika</t>
        </is>
      </c>
      <c r="D3396" s="18" t="n">
        <v>6620</v>
      </c>
      <c r="E3396" s="18" t="n">
        <v>5317</v>
      </c>
      <c r="F3396" s="18" t="n">
        <v>5419</v>
      </c>
      <c r="G3396" s="18" t="n"/>
      <c r="H3396" s="18" t="n"/>
      <c r="I3396" s="18" t="n"/>
      <c r="J3396" s="19" t="n">
        <v>0</v>
      </c>
      <c r="K3396" s="35" t="n">
        <v>0.065</v>
      </c>
    </row>
    <row r="3397">
      <c r="A3397" s="36" t="inlineStr">
        <is>
          <t>AGA SPK-tilskudd</t>
        </is>
      </c>
      <c r="B3397" s="36" t="inlineStr">
        <is>
          <t>Region Øst</t>
        </is>
      </c>
      <c r="C3397" s="36" t="inlineStr">
        <is>
          <t>TFCO Sandvika</t>
        </is>
      </c>
      <c r="D3397" s="26" t="n">
        <v>1890388</v>
      </c>
      <c r="E3397" s="26" t="n">
        <v>2012802</v>
      </c>
      <c r="F3397" s="26" t="n">
        <v>1099520</v>
      </c>
      <c r="G3397" s="26" t="n">
        <v>3</v>
      </c>
      <c r="H3397" s="26" t="n"/>
      <c r="I3397" s="26" t="n"/>
      <c r="J3397" s="19" t="n">
        <v>0</v>
      </c>
      <c r="K3397" s="37" t="n">
        <v>0.065</v>
      </c>
    </row>
    <row r="3398">
      <c r="A3398" s="34" t="inlineStr">
        <is>
          <t>AGA SPK-tilskudd</t>
        </is>
      </c>
      <c r="B3398" s="34" t="inlineStr">
        <is>
          <t>Region Øst</t>
        </is>
      </c>
      <c r="C3398" s="34" t="inlineStr">
        <is>
          <t>TFCO Sandvika</t>
        </is>
      </c>
      <c r="D3398" s="18" t="n">
        <v>1023151</v>
      </c>
      <c r="E3398" s="18" t="n">
        <v>798310</v>
      </c>
      <c r="F3398" s="18" t="n">
        <v>812427</v>
      </c>
      <c r="G3398" s="18" t="n"/>
      <c r="H3398" s="18" t="n"/>
      <c r="I3398" s="18" t="n"/>
      <c r="J3398" s="19" t="n">
        <v>0</v>
      </c>
      <c r="K3398" s="35" t="n">
        <v>0.065</v>
      </c>
    </row>
    <row r="3399">
      <c r="A3399" s="36" t="inlineStr">
        <is>
          <t>AGA SPK-tilskudd</t>
        </is>
      </c>
      <c r="B3399" s="36" t="inlineStr">
        <is>
          <t>Region Øst</t>
        </is>
      </c>
      <c r="C3399" s="36" t="inlineStr">
        <is>
          <t>TFCO Sandvika</t>
        </is>
      </c>
      <c r="D3399" s="26" t="n">
        <v>49380</v>
      </c>
      <c r="E3399" s="26" t="n">
        <v>59462</v>
      </c>
      <c r="F3399" s="26" t="n">
        <v>55885</v>
      </c>
      <c r="G3399" s="26" t="n">
        <v>2107</v>
      </c>
      <c r="H3399" s="26" t="n"/>
      <c r="I3399" s="26" t="n"/>
      <c r="J3399" s="19" t="n">
        <v>0</v>
      </c>
      <c r="K3399" s="37" t="n">
        <v>0.065</v>
      </c>
    </row>
    <row r="3400">
      <c r="A3400" s="34" t="inlineStr">
        <is>
          <t>AGA SPK-tilskudd</t>
        </is>
      </c>
      <c r="B3400" s="34" t="inlineStr">
        <is>
          <t>Region Øst</t>
        </is>
      </c>
      <c r="C3400" s="34" t="inlineStr">
        <is>
          <t>TFCO Sandvika</t>
        </is>
      </c>
      <c r="D3400" s="18" t="n"/>
      <c r="E3400" s="18" t="n">
        <v>3136</v>
      </c>
      <c r="F3400" s="18" t="n">
        <v>3283</v>
      </c>
      <c r="G3400" s="18" t="n"/>
      <c r="H3400" s="18" t="n"/>
      <c r="I3400" s="18" t="n"/>
      <c r="J3400" s="19" t="n">
        <v>0</v>
      </c>
      <c r="K3400" s="35" t="n">
        <v>0.065</v>
      </c>
    </row>
    <row r="3401">
      <c r="A3401" s="36" t="inlineStr">
        <is>
          <t>AGA SPK-tilskudd</t>
        </is>
      </c>
      <c r="B3401" s="36" t="inlineStr">
        <is>
          <t>Region Øst</t>
        </is>
      </c>
      <c r="C3401" s="36" t="inlineStr">
        <is>
          <t>TFCO Sandvika</t>
        </is>
      </c>
      <c r="D3401" s="26" t="n">
        <v>2145</v>
      </c>
      <c r="E3401" s="26" t="n">
        <v>6647</v>
      </c>
      <c r="F3401" s="26" t="n">
        <v>2137</v>
      </c>
      <c r="G3401" s="26" t="n"/>
      <c r="H3401" s="26" t="n"/>
      <c r="I3401" s="26" t="n"/>
      <c r="J3401" s="19" t="n">
        <v>0</v>
      </c>
      <c r="K3401" s="37" t="n">
        <v>0.065</v>
      </c>
    </row>
    <row r="3402">
      <c r="A3402" s="34" t="inlineStr">
        <is>
          <t>AGA SPK-tilskudd</t>
        </is>
      </c>
      <c r="B3402" s="34" t="inlineStr">
        <is>
          <t>Region Øst</t>
        </is>
      </c>
      <c r="C3402" s="34" t="inlineStr">
        <is>
          <t>TFCO Sandvika</t>
        </is>
      </c>
      <c r="D3402" s="18" t="n">
        <v>8238</v>
      </c>
      <c r="E3402" s="18" t="n">
        <v>8879</v>
      </c>
      <c r="F3402" s="18" t="n">
        <v>7675</v>
      </c>
      <c r="G3402" s="18" t="n">
        <v>515</v>
      </c>
      <c r="H3402" s="18" t="n"/>
      <c r="I3402" s="18" t="n"/>
      <c r="J3402" s="19" t="n">
        <v>0</v>
      </c>
      <c r="K3402" s="35" t="n">
        <v>0.065</v>
      </c>
    </row>
    <row r="3403">
      <c r="A3403" s="36" t="inlineStr">
        <is>
          <t>AGA SPK-tilskudd</t>
        </is>
      </c>
      <c r="B3403" s="36" t="inlineStr">
        <is>
          <t>Region Øst</t>
        </is>
      </c>
      <c r="C3403" s="36" t="inlineStr">
        <is>
          <t>TFCO Sandvika</t>
        </is>
      </c>
      <c r="D3403" s="26" t="n">
        <v>365960</v>
      </c>
      <c r="E3403" s="26" t="n">
        <v>179619</v>
      </c>
      <c r="F3403" s="26" t="n">
        <v>137567</v>
      </c>
      <c r="G3403" s="26" t="n"/>
      <c r="H3403" s="26" t="n"/>
      <c r="I3403" s="26" t="n"/>
      <c r="J3403" s="19" t="n">
        <v>0</v>
      </c>
      <c r="K3403" s="37" t="n">
        <v>0.065</v>
      </c>
    </row>
    <row r="3404">
      <c r="A3404" s="34" t="inlineStr">
        <is>
          <t>AGA SPK-tilskudd</t>
        </is>
      </c>
      <c r="B3404" s="34" t="inlineStr">
        <is>
          <t>Region Øst</t>
        </is>
      </c>
      <c r="C3404" s="34" t="inlineStr">
        <is>
          <t>TFCO Sandvika</t>
        </is>
      </c>
      <c r="D3404" s="18" t="n">
        <v>120623</v>
      </c>
      <c r="E3404" s="18" t="n">
        <v>82625</v>
      </c>
      <c r="F3404" s="18" t="n">
        <v>68875</v>
      </c>
      <c r="G3404" s="18" t="n"/>
      <c r="H3404" s="18" t="n"/>
      <c r="I3404" s="18" t="n"/>
      <c r="J3404" s="19" t="n">
        <v>0</v>
      </c>
      <c r="K3404" s="35" t="n">
        <v>0.065</v>
      </c>
    </row>
    <row r="3405">
      <c r="A3405" s="36" t="inlineStr">
        <is>
          <t>AGA SPK-tilskudd</t>
        </is>
      </c>
      <c r="B3405" s="36" t="inlineStr">
        <is>
          <t>Region Øst</t>
        </is>
      </c>
      <c r="C3405" s="36" t="inlineStr">
        <is>
          <t>TFCO Sandvika</t>
        </is>
      </c>
      <c r="D3405" s="26" t="n"/>
      <c r="E3405" s="26" t="n"/>
      <c r="F3405" s="26" t="n">
        <v>5180</v>
      </c>
      <c r="G3405" s="26" t="n"/>
      <c r="H3405" s="26" t="n"/>
      <c r="I3405" s="26" t="n"/>
      <c r="J3405" s="19" t="n">
        <v>0</v>
      </c>
      <c r="K3405" s="37" t="n">
        <v>0.065</v>
      </c>
    </row>
    <row r="3406">
      <c r="A3406" s="34" t="inlineStr">
        <is>
          <t>AGA SPK-tilskudd</t>
        </is>
      </c>
      <c r="B3406" s="34" t="inlineStr">
        <is>
          <t>Region Øst</t>
        </is>
      </c>
      <c r="C3406" s="34" t="inlineStr">
        <is>
          <t>TFCO Sandvika</t>
        </is>
      </c>
      <c r="D3406" s="18" t="n">
        <v>9573</v>
      </c>
      <c r="E3406" s="18" t="n"/>
      <c r="F3406" s="18" t="n"/>
      <c r="G3406" s="18" t="n"/>
      <c r="H3406" s="18" t="n"/>
      <c r="I3406" s="18" t="n"/>
      <c r="J3406" s="19" t="n">
        <v>0</v>
      </c>
      <c r="K3406" s="35" t="n">
        <v>0.065</v>
      </c>
    </row>
    <row r="3407">
      <c r="A3407" s="36" t="inlineStr">
        <is>
          <t>AGA SPK-tilskudd</t>
        </is>
      </c>
      <c r="B3407" s="36" t="inlineStr">
        <is>
          <t>Region Øst</t>
        </is>
      </c>
      <c r="C3407" s="36" t="inlineStr">
        <is>
          <t>TFCO Sandvika</t>
        </is>
      </c>
      <c r="D3407" s="26" t="n">
        <v>2449</v>
      </c>
      <c r="E3407" s="26" t="n">
        <v>73365</v>
      </c>
      <c r="F3407" s="26" t="n">
        <v>-561</v>
      </c>
      <c r="G3407" s="26" t="n"/>
      <c r="H3407" s="26" t="n"/>
      <c r="I3407" s="26" t="n"/>
      <c r="J3407" s="19" t="n">
        <v>0</v>
      </c>
      <c r="K3407" s="37" t="n">
        <v>0.065</v>
      </c>
    </row>
    <row r="3408">
      <c r="A3408" s="34" t="inlineStr">
        <is>
          <t>AGA SPK-tilskudd</t>
        </is>
      </c>
      <c r="B3408" s="34" t="inlineStr">
        <is>
          <t>Region Øst</t>
        </is>
      </c>
      <c r="C3408" s="34" t="inlineStr">
        <is>
          <t>TFCO Sandvika</t>
        </is>
      </c>
      <c r="D3408" s="18" t="n"/>
      <c r="E3408" s="18" t="n"/>
      <c r="F3408" s="18" t="n">
        <v>-66683</v>
      </c>
      <c r="G3408" s="18" t="n"/>
      <c r="H3408" s="18" t="n"/>
      <c r="I3408" s="18" t="n"/>
      <c r="J3408" s="19" t="n">
        <v>0</v>
      </c>
      <c r="K3408" s="35" t="n">
        <v>0.065</v>
      </c>
    </row>
    <row r="3409">
      <c r="A3409" s="36" t="inlineStr">
        <is>
          <t>AGA SPK-tilskudd</t>
        </is>
      </c>
      <c r="B3409" s="36" t="inlineStr">
        <is>
          <t>Region Øst</t>
        </is>
      </c>
      <c r="C3409" s="36" t="inlineStr">
        <is>
          <t>TFCO Sandvika</t>
        </is>
      </c>
      <c r="D3409" s="26" t="n">
        <v>-22360</v>
      </c>
      <c r="E3409" s="26" t="n"/>
      <c r="F3409" s="26" t="n"/>
      <c r="G3409" s="26" t="n"/>
      <c r="H3409" s="26" t="n"/>
      <c r="I3409" s="26" t="n"/>
      <c r="J3409" s="19" t="n">
        <v>0</v>
      </c>
      <c r="K3409" s="37" t="n">
        <v>0.065</v>
      </c>
    </row>
    <row r="3410">
      <c r="A3410" s="34" t="inlineStr">
        <is>
          <t>AGA SPK-tilskudd</t>
        </is>
      </c>
      <c r="B3410" s="34" t="inlineStr">
        <is>
          <t>Region Øst</t>
        </is>
      </c>
      <c r="C3410" s="34" t="inlineStr">
        <is>
          <t>TFCO Sandvika</t>
        </is>
      </c>
      <c r="D3410" s="18" t="n">
        <v>-475776</v>
      </c>
      <c r="E3410" s="18" t="n">
        <v>-77698</v>
      </c>
      <c r="F3410" s="18" t="n">
        <v>-45946</v>
      </c>
      <c r="G3410" s="18" t="n">
        <v>-2920</v>
      </c>
      <c r="H3410" s="18" t="n"/>
      <c r="I3410" s="18" t="n"/>
      <c r="J3410" s="19" t="n">
        <v>0</v>
      </c>
      <c r="K3410" s="35" t="n">
        <v>0.065</v>
      </c>
    </row>
    <row r="3411">
      <c r="A3411" s="36" t="inlineStr">
        <is>
          <t>AGA SPK-tilskudd</t>
        </is>
      </c>
      <c r="B3411" s="36" t="inlineStr">
        <is>
          <t>Region Øst</t>
        </is>
      </c>
      <c r="C3411" s="36" t="inlineStr">
        <is>
          <t>Totalsum</t>
        </is>
      </c>
      <c r="D3411" s="26" t="n">
        <v>1505303670</v>
      </c>
      <c r="E3411" s="26" t="n">
        <v>1566790215</v>
      </c>
      <c r="F3411" s="26" t="n">
        <v>1619503517</v>
      </c>
      <c r="G3411" s="26" t="n">
        <v>1829507616</v>
      </c>
      <c r="H3411" s="26" t="n">
        <v>1999937228</v>
      </c>
      <c r="I3411" s="26" t="n">
        <v>2221428721</v>
      </c>
      <c r="J3411" s="19" t="n">
        <v>2595587580.403652</v>
      </c>
      <c r="K3411" s="37" t="n">
        <v>0.08094016002200677</v>
      </c>
    </row>
    <row r="3412">
      <c r="A3412" s="34" t="inlineStr">
        <is>
          <t>AGA SPK-tilskudd</t>
        </is>
      </c>
      <c r="B3412" s="34" t="inlineStr">
        <is>
          <t>Region Øst</t>
        </is>
      </c>
      <c r="C3412" s="34" t="inlineStr">
        <is>
          <t>Ås ungdomssenter  - MulitifunC-behandling  Avdeling Institusjon</t>
        </is>
      </c>
      <c r="D3412" s="18" t="n">
        <v>302318</v>
      </c>
      <c r="E3412" s="18" t="n">
        <v>249327</v>
      </c>
      <c r="F3412" s="18" t="n">
        <v>161232</v>
      </c>
      <c r="G3412" s="18" t="n">
        <v>90818</v>
      </c>
      <c r="H3412" s="18" t="n"/>
      <c r="I3412" s="18" t="n"/>
      <c r="J3412" s="19" t="n">
        <v>0</v>
      </c>
      <c r="K3412" s="35" t="n">
        <v>0.065</v>
      </c>
    </row>
    <row r="3413">
      <c r="A3413" s="36" t="inlineStr">
        <is>
          <t>AGA SPK-tilskudd</t>
        </is>
      </c>
      <c r="B3413" s="36" t="inlineStr">
        <is>
          <t>Region Øst</t>
        </is>
      </c>
      <c r="C3413" s="36" t="inlineStr">
        <is>
          <t>Ås ungdomssenter  - MulitifunC-behandling  Avdeling Institusjon</t>
        </is>
      </c>
      <c r="D3413" s="26" t="n">
        <v>136780</v>
      </c>
      <c r="E3413" s="26" t="n">
        <v>276159</v>
      </c>
      <c r="F3413" s="26" t="n">
        <v>169734</v>
      </c>
      <c r="G3413" s="26" t="n">
        <v>151784</v>
      </c>
      <c r="H3413" s="26" t="n"/>
      <c r="I3413" s="26" t="n"/>
      <c r="J3413" s="19" t="n">
        <v>0</v>
      </c>
      <c r="K3413" s="37" t="n">
        <v>0.065</v>
      </c>
    </row>
    <row r="3414">
      <c r="A3414" s="34" t="inlineStr">
        <is>
          <t>AGA SPK-tilskudd</t>
        </is>
      </c>
      <c r="B3414" s="34" t="inlineStr">
        <is>
          <t>Region Øst</t>
        </is>
      </c>
      <c r="C3414" s="34" t="inlineStr">
        <is>
          <t>Ås ungdomssenter  - MulitifunC-behandling  Avdeling Institusjon</t>
        </is>
      </c>
      <c r="D3414" s="18" t="n">
        <v>102138</v>
      </c>
      <c r="E3414" s="18" t="n">
        <v>72013</v>
      </c>
      <c r="F3414" s="18" t="n">
        <v>163495</v>
      </c>
      <c r="G3414" s="18" t="n">
        <v>7502</v>
      </c>
      <c r="H3414" s="18" t="n">
        <v>3496</v>
      </c>
      <c r="I3414" s="18" t="n"/>
      <c r="J3414" s="19" t="n">
        <v>0</v>
      </c>
      <c r="K3414" s="35" t="n">
        <v>0.065</v>
      </c>
    </row>
    <row r="3415">
      <c r="A3415" s="36" t="inlineStr">
        <is>
          <t>AGA SPK-tilskudd</t>
        </is>
      </c>
      <c r="B3415" s="36" t="inlineStr">
        <is>
          <t>Region Øst</t>
        </is>
      </c>
      <c r="C3415" s="36" t="inlineStr">
        <is>
          <t>Ås ungdomssenter  - MulitifunC-behandling  Avdeling Institusjon</t>
        </is>
      </c>
      <c r="D3415" s="26" t="n">
        <v>64100</v>
      </c>
      <c r="E3415" s="26" t="n">
        <v>65118</v>
      </c>
      <c r="F3415" s="26" t="n">
        <v>67894</v>
      </c>
      <c r="G3415" s="26" t="n">
        <v>32228</v>
      </c>
      <c r="H3415" s="26" t="n"/>
      <c r="I3415" s="26" t="n"/>
      <c r="J3415" s="19" t="n">
        <v>0</v>
      </c>
      <c r="K3415" s="37" t="n">
        <v>0.065</v>
      </c>
    </row>
    <row r="3416">
      <c r="A3416" s="34" t="inlineStr">
        <is>
          <t>AGA SPK-tilskudd</t>
        </is>
      </c>
      <c r="B3416" s="34" t="inlineStr">
        <is>
          <t>Region Øst</t>
        </is>
      </c>
      <c r="C3416" s="34" t="inlineStr">
        <is>
          <t>Ås ungdomssenter  - MulitifunC-behandling  Avdeling Institusjon</t>
        </is>
      </c>
      <c r="D3416" s="18" t="n">
        <v>1575</v>
      </c>
      <c r="E3416" s="18" t="n">
        <v>966</v>
      </c>
      <c r="F3416" s="18" t="n">
        <v>2012</v>
      </c>
      <c r="G3416" s="18" t="n"/>
      <c r="H3416" s="18" t="n"/>
      <c r="I3416" s="18" t="n"/>
      <c r="J3416" s="19" t="n">
        <v>0</v>
      </c>
      <c r="K3416" s="35" t="n">
        <v>0.065</v>
      </c>
    </row>
    <row r="3417">
      <c r="A3417" s="36" t="inlineStr">
        <is>
          <t>AGA SPK-tilskudd</t>
        </is>
      </c>
      <c r="B3417" s="36" t="inlineStr">
        <is>
          <t>Region Øst</t>
        </is>
      </c>
      <c r="C3417" s="36" t="inlineStr">
        <is>
          <t>Ås ungdomssenter  - MulitifunC-behandling  Avdeling Institusjon</t>
        </is>
      </c>
      <c r="D3417" s="26" t="n">
        <v>6020</v>
      </c>
      <c r="E3417" s="26" t="n">
        <v>891</v>
      </c>
      <c r="F3417" s="26" t="n">
        <v>1027</v>
      </c>
      <c r="G3417" s="26" t="n">
        <v>1400</v>
      </c>
      <c r="H3417" s="26" t="n"/>
      <c r="I3417" s="26" t="n"/>
      <c r="J3417" s="19" t="n">
        <v>0</v>
      </c>
      <c r="K3417" s="37" t="n">
        <v>0.065</v>
      </c>
    </row>
    <row r="3418">
      <c r="A3418" s="34" t="inlineStr">
        <is>
          <t>AGA SPK-tilskudd</t>
        </is>
      </c>
      <c r="B3418" s="34" t="inlineStr">
        <is>
          <t>Region Øst</t>
        </is>
      </c>
      <c r="C3418" s="34" t="inlineStr">
        <is>
          <t>Ås ungdomssenter  - MulitifunC-behandling  Avdeling Institusjon</t>
        </is>
      </c>
      <c r="D3418" s="18" t="n">
        <v>14544</v>
      </c>
      <c r="E3418" s="18" t="n">
        <v>6514</v>
      </c>
      <c r="F3418" s="18" t="n">
        <v>8243</v>
      </c>
      <c r="G3418" s="18" t="n">
        <v>372</v>
      </c>
      <c r="H3418" s="18" t="n">
        <v>2374</v>
      </c>
      <c r="I3418" s="18" t="n"/>
      <c r="J3418" s="19" t="n">
        <v>0</v>
      </c>
      <c r="K3418" s="35" t="n">
        <v>0.065</v>
      </c>
    </row>
    <row r="3419">
      <c r="A3419" s="36" t="inlineStr">
        <is>
          <t>AGA SPK-tilskudd</t>
        </is>
      </c>
      <c r="B3419" s="36" t="inlineStr">
        <is>
          <t>Region Øst</t>
        </is>
      </c>
      <c r="C3419" s="36" t="inlineStr">
        <is>
          <t>Ås ungdomssenter  - MulitifunC-behandling  Avdeling Institusjon</t>
        </is>
      </c>
      <c r="D3419" s="26" t="n">
        <v>8565</v>
      </c>
      <c r="E3419" s="26" t="n">
        <v>7301</v>
      </c>
      <c r="F3419" s="26" t="n">
        <v>18092</v>
      </c>
      <c r="G3419" s="26" t="n">
        <v>10106</v>
      </c>
      <c r="H3419" s="26" t="n"/>
      <c r="I3419" s="26" t="n"/>
      <c r="J3419" s="19" t="n">
        <v>0</v>
      </c>
      <c r="K3419" s="37" t="n">
        <v>0.065</v>
      </c>
    </row>
    <row r="3420">
      <c r="A3420" s="34" t="inlineStr">
        <is>
          <t>AGA SPK-tilskudd</t>
        </is>
      </c>
      <c r="B3420" s="34" t="inlineStr">
        <is>
          <t>Region Øst</t>
        </is>
      </c>
      <c r="C3420" s="34" t="inlineStr">
        <is>
          <t>Ås ungdomssenter  - MulitifunC-behandling  Avdeling Institusjon</t>
        </is>
      </c>
      <c r="D3420" s="18" t="n">
        <v>5368</v>
      </c>
      <c r="E3420" s="18" t="n">
        <v>24627</v>
      </c>
      <c r="F3420" s="18" t="n">
        <v>8768</v>
      </c>
      <c r="G3420" s="18" t="n">
        <v>26528</v>
      </c>
      <c r="H3420" s="18" t="n"/>
      <c r="I3420" s="18" t="n"/>
      <c r="J3420" s="19" t="n">
        <v>0</v>
      </c>
      <c r="K3420" s="35" t="n">
        <v>0.065</v>
      </c>
    </row>
    <row r="3421">
      <c r="A3421" s="36" t="inlineStr">
        <is>
          <t>AGA SPK-tilskudd</t>
        </is>
      </c>
      <c r="B3421" s="36" t="inlineStr">
        <is>
          <t>Region Øst</t>
        </is>
      </c>
      <c r="C3421" s="36" t="inlineStr">
        <is>
          <t>Ås ungdomssenter  - MulitifunC-behandling  Avdeling Institusjon</t>
        </is>
      </c>
      <c r="D3421" s="26" t="n">
        <v>5760</v>
      </c>
      <c r="E3421" s="26" t="n">
        <v>2472</v>
      </c>
      <c r="F3421" s="26" t="n">
        <v>2845</v>
      </c>
      <c r="G3421" s="26" t="n">
        <v>4281</v>
      </c>
      <c r="H3421" s="26" t="n">
        <v>929</v>
      </c>
      <c r="I3421" s="26" t="n"/>
      <c r="J3421" s="19" t="n">
        <v>0</v>
      </c>
      <c r="K3421" s="37" t="n">
        <v>0.065</v>
      </c>
    </row>
    <row r="3422">
      <c r="A3422" s="34" t="inlineStr">
        <is>
          <t>AGA SPK-tilskudd</t>
        </is>
      </c>
      <c r="B3422" s="34" t="inlineStr">
        <is>
          <t>Region Øst</t>
        </is>
      </c>
      <c r="C3422" s="34" t="inlineStr">
        <is>
          <t>Ås ungdomssenter  - MulitifunC-behandling  Avdeling Institusjon</t>
        </is>
      </c>
      <c r="D3422" s="18" t="n"/>
      <c r="E3422" s="18" t="n"/>
      <c r="F3422" s="18" t="n">
        <v>4080</v>
      </c>
      <c r="G3422" s="18" t="n"/>
      <c r="H3422" s="18" t="n"/>
      <c r="I3422" s="18" t="n"/>
      <c r="J3422" s="19" t="n">
        <v>0</v>
      </c>
      <c r="K3422" s="35" t="n">
        <v>0.065</v>
      </c>
    </row>
    <row r="3423">
      <c r="A3423" s="36" t="inlineStr">
        <is>
          <t>AGA SPK-tilskudd</t>
        </is>
      </c>
      <c r="B3423" s="36" t="inlineStr">
        <is>
          <t>Region Øst</t>
        </is>
      </c>
      <c r="C3423" s="36" t="inlineStr">
        <is>
          <t>Ås ungdomssenter  - MulitifunC-behandling  Avdeling Institusjon</t>
        </is>
      </c>
      <c r="D3423" s="26" t="n">
        <v>-16825</v>
      </c>
      <c r="E3423" s="26" t="n">
        <v>-38288</v>
      </c>
      <c r="F3423" s="26" t="n">
        <v>-33843</v>
      </c>
      <c r="G3423" s="26" t="n">
        <v>-15538</v>
      </c>
      <c r="H3423" s="26" t="n"/>
      <c r="I3423" s="26" t="n"/>
      <c r="J3423" s="19" t="n">
        <v>0</v>
      </c>
      <c r="K3423" s="37" t="n">
        <v>0.065</v>
      </c>
    </row>
    <row r="3424">
      <c r="A3424" s="34" t="inlineStr">
        <is>
          <t>AGA SPK-tilskudd</t>
        </is>
      </c>
      <c r="B3424" s="34" t="inlineStr">
        <is>
          <t>Region Øst</t>
        </is>
      </c>
      <c r="C3424" s="34" t="inlineStr">
        <is>
          <t>Ås ungdomssenter  - MulitifunC-behandling  Avdeling Institusjon</t>
        </is>
      </c>
      <c r="D3424" s="18" t="n">
        <v>-272965</v>
      </c>
      <c r="E3424" s="18" t="n">
        <v>-670648</v>
      </c>
      <c r="F3424" s="18" t="n">
        <v>-405876</v>
      </c>
      <c r="G3424" s="18" t="n">
        <v>-355934</v>
      </c>
      <c r="H3424" s="18" t="n"/>
      <c r="I3424" s="18" t="n"/>
      <c r="J3424" s="19" t="n">
        <v>0</v>
      </c>
      <c r="K3424" s="35" t="n">
        <v>0.065</v>
      </c>
    </row>
    <row r="3425">
      <c r="A3425" s="36" t="inlineStr">
        <is>
          <t>AGA SPK-tilskudd</t>
        </is>
      </c>
      <c r="B3425" s="36" t="inlineStr">
        <is>
          <t>Region Øst</t>
        </is>
      </c>
      <c r="C3425" s="36" t="inlineStr">
        <is>
          <t>Ås ungdomssenter  - MulitifunC-behandling  Avdeling Institusjon</t>
        </is>
      </c>
      <c r="D3425" s="26" t="n">
        <v>-1357253</v>
      </c>
      <c r="E3425" s="26" t="n">
        <v>-933292</v>
      </c>
      <c r="F3425" s="26" t="n">
        <v>-1525492</v>
      </c>
      <c r="G3425" s="26" t="n">
        <v>-853064</v>
      </c>
      <c r="H3425" s="26" t="n">
        <v>-32500</v>
      </c>
      <c r="I3425" s="26" t="n"/>
      <c r="J3425" s="19" t="n">
        <v>0</v>
      </c>
      <c r="K3425" s="37" t="n">
        <v>0.065</v>
      </c>
    </row>
    <row r="3426">
      <c r="A3426" s="34" t="inlineStr">
        <is>
          <t>AGA SPK-tilskudd</t>
        </is>
      </c>
      <c r="B3426" s="34" t="inlineStr">
        <is>
          <t>Region Øst</t>
        </is>
      </c>
      <c r="C3426" s="34" t="inlineStr">
        <is>
          <t>Ås ungdomssenter  - MulitifunC-behandling  Avdeling Oppfølging</t>
        </is>
      </c>
      <c r="D3426" s="18" t="n">
        <v>8472</v>
      </c>
      <c r="E3426" s="18" t="n">
        <v>3137</v>
      </c>
      <c r="F3426" s="18" t="n">
        <v>-3944</v>
      </c>
      <c r="G3426" s="18" t="n"/>
      <c r="H3426" s="18" t="n"/>
      <c r="I3426" s="18" t="n"/>
      <c r="J3426" s="19" t="n">
        <v>0</v>
      </c>
      <c r="K3426" s="35" t="n">
        <v>0.065</v>
      </c>
    </row>
    <row r="3427">
      <c r="A3427" s="36" t="inlineStr">
        <is>
          <t>AGA SPK-tilskudd</t>
        </is>
      </c>
      <c r="B3427" s="36" t="inlineStr">
        <is>
          <t>Region Øst</t>
        </is>
      </c>
      <c r="C3427" s="36" t="inlineStr">
        <is>
          <t>Ås ungdomssenter  - MulitifunC-behandling  Avdeling Oppfølging</t>
        </is>
      </c>
      <c r="D3427" s="26" t="n">
        <v>552</v>
      </c>
      <c r="E3427" s="26" t="n">
        <v>20766</v>
      </c>
      <c r="F3427" s="26" t="n">
        <v>4158</v>
      </c>
      <c r="G3427" s="26" t="n">
        <v>446</v>
      </c>
      <c r="H3427" s="26" t="n"/>
      <c r="I3427" s="26" t="n"/>
      <c r="J3427" s="19" t="n">
        <v>0</v>
      </c>
      <c r="K3427" s="37" t="n">
        <v>0.065</v>
      </c>
    </row>
    <row r="3428">
      <c r="A3428" s="34" t="inlineStr">
        <is>
          <t>AGA SPK-tilskudd</t>
        </is>
      </c>
      <c r="B3428" s="34" t="inlineStr">
        <is>
          <t>Region Øst</t>
        </is>
      </c>
      <c r="C3428" s="34" t="inlineStr">
        <is>
          <t>Ås ungdomssenter  - MulitifunC-behandling  Avdeling Oppfølging</t>
        </is>
      </c>
      <c r="D3428" s="18" t="n">
        <v>900</v>
      </c>
      <c r="E3428" s="18" t="n">
        <v>409</v>
      </c>
      <c r="F3428" s="18" t="n"/>
      <c r="G3428" s="18" t="n"/>
      <c r="H3428" s="18" t="n"/>
      <c r="I3428" s="18" t="n"/>
      <c r="J3428" s="19" t="n">
        <v>0</v>
      </c>
      <c r="K3428" s="35" t="n">
        <v>0.065</v>
      </c>
    </row>
    <row r="3429">
      <c r="A3429" s="36" t="inlineStr">
        <is>
          <t>AGA SPK-tilskudd</t>
        </is>
      </c>
      <c r="B3429" s="36" t="inlineStr">
        <is>
          <t>Region Øst</t>
        </is>
      </c>
      <c r="C3429" s="36" t="inlineStr">
        <is>
          <t>Ås ungdomssenter  - MulitifunC-behandling  Avdeling Oppfølging</t>
        </is>
      </c>
      <c r="D3429" s="26" t="n"/>
      <c r="E3429" s="26" t="n">
        <v>1554</v>
      </c>
      <c r="F3429" s="26" t="n">
        <v>5282</v>
      </c>
      <c r="G3429" s="26" t="n">
        <v>1141</v>
      </c>
      <c r="H3429" s="26" t="n"/>
      <c r="I3429" s="26" t="n"/>
      <c r="J3429" s="19" t="n">
        <v>0</v>
      </c>
      <c r="K3429" s="37" t="n">
        <v>0.065</v>
      </c>
    </row>
    <row r="3430">
      <c r="A3430" s="34" t="inlineStr">
        <is>
          <t>AGA SPK-tilskudd</t>
        </is>
      </c>
      <c r="B3430" s="34" t="inlineStr">
        <is>
          <t>Region Øst</t>
        </is>
      </c>
      <c r="C3430" s="34" t="inlineStr">
        <is>
          <t>Ås ungdomssenter  - MulitifunC-behandling  Avdeling Oppfølging</t>
        </is>
      </c>
      <c r="D3430" s="18" t="n"/>
      <c r="E3430" s="18" t="n">
        <v>75</v>
      </c>
      <c r="F3430" s="18" t="n">
        <v>200</v>
      </c>
      <c r="G3430" s="18" t="n"/>
      <c r="H3430" s="18" t="n"/>
      <c r="I3430" s="18" t="n"/>
      <c r="J3430" s="19" t="n">
        <v>0</v>
      </c>
      <c r="K3430" s="35" t="n">
        <v>0.065</v>
      </c>
    </row>
    <row r="3431">
      <c r="A3431" s="36" t="inlineStr">
        <is>
          <t>AGA SPK-tilskudd</t>
        </is>
      </c>
      <c r="B3431" s="36" t="inlineStr">
        <is>
          <t>Region Øst</t>
        </is>
      </c>
      <c r="C3431" s="36" t="inlineStr">
        <is>
          <t>Ås ungdomssenter  - MulitifunC-behandling  Avdeling Oppfølging</t>
        </is>
      </c>
      <c r="D3431" s="26" t="n"/>
      <c r="E3431" s="26" t="n"/>
      <c r="F3431" s="26" t="n"/>
      <c r="G3431" s="26" t="n">
        <v>1047</v>
      </c>
      <c r="H3431" s="26" t="n"/>
      <c r="I3431" s="26" t="n"/>
      <c r="J3431" s="19" t="n">
        <v>0</v>
      </c>
      <c r="K3431" s="37" t="n">
        <v>0.065</v>
      </c>
    </row>
    <row r="3432">
      <c r="A3432" s="34" t="inlineStr">
        <is>
          <t>AGA SPK-tilskudd</t>
        </is>
      </c>
      <c r="B3432" s="34" t="inlineStr">
        <is>
          <t>Region Øst</t>
        </is>
      </c>
      <c r="C3432" s="34" t="inlineStr">
        <is>
          <t>Ås ungdomssenter  - MulitifunC-behandling  Avdeling Oppfølging</t>
        </is>
      </c>
      <c r="D3432" s="18" t="n"/>
      <c r="E3432" s="18" t="n">
        <v>216</v>
      </c>
      <c r="F3432" s="18" t="n">
        <v>883</v>
      </c>
      <c r="G3432" s="18" t="n">
        <v>173</v>
      </c>
      <c r="H3432" s="18" t="n"/>
      <c r="I3432" s="18" t="n"/>
      <c r="J3432" s="19" t="n">
        <v>0</v>
      </c>
      <c r="K3432" s="35" t="n">
        <v>0.065</v>
      </c>
    </row>
    <row r="3433">
      <c r="A3433" s="36" t="inlineStr">
        <is>
          <t>AGA SPK-tilskudd</t>
        </is>
      </c>
      <c r="B3433" s="36" t="inlineStr">
        <is>
          <t>Region Øst</t>
        </is>
      </c>
      <c r="C3433" s="36" t="inlineStr">
        <is>
          <t>Ås ungdomssenter  - MulitifunC-behandling  Avdeling Oppfølging</t>
        </is>
      </c>
      <c r="D3433" s="26" t="n"/>
      <c r="E3433" s="26" t="n"/>
      <c r="F3433" s="26" t="n">
        <v>-195</v>
      </c>
      <c r="G3433" s="26" t="n"/>
      <c r="H3433" s="26" t="n"/>
      <c r="I3433" s="26" t="n"/>
      <c r="J3433" s="19" t="n">
        <v>0</v>
      </c>
      <c r="K3433" s="37" t="n">
        <v>0.065</v>
      </c>
    </row>
    <row r="3434">
      <c r="A3434" s="34" t="inlineStr">
        <is>
          <t>AGA SPK-tilskudd</t>
        </is>
      </c>
      <c r="B3434" s="34" t="inlineStr">
        <is>
          <t>Region Øst</t>
        </is>
      </c>
      <c r="C3434" s="34" t="inlineStr">
        <is>
          <t>Ås ungdomssenter  - MulitifunC-behandling  Avdeling Oppfølging</t>
        </is>
      </c>
      <c r="D3434" s="18" t="n">
        <v>-1800</v>
      </c>
      <c r="E3434" s="18" t="n">
        <v>-800</v>
      </c>
      <c r="F3434" s="18" t="n"/>
      <c r="G3434" s="18" t="n"/>
      <c r="H3434" s="18" t="n"/>
      <c r="I3434" s="18" t="n"/>
      <c r="J3434" s="19" t="n">
        <v>0</v>
      </c>
      <c r="K3434" s="35" t="n">
        <v>0.065</v>
      </c>
    </row>
    <row r="3435">
      <c r="A3435" s="36" t="inlineStr">
        <is>
          <t>AGA SPK-tilskudd</t>
        </is>
      </c>
      <c r="B3435" s="36" t="inlineStr">
        <is>
          <t>Region Øst</t>
        </is>
      </c>
      <c r="C3435" s="36" t="inlineStr">
        <is>
          <t>Ås ungdomssenter  - MulitifunC-behandling  Avdeling Oppfølging</t>
        </is>
      </c>
      <c r="D3435" s="26" t="n"/>
      <c r="E3435" s="26" t="n">
        <v>-24112</v>
      </c>
      <c r="F3435" s="26" t="n"/>
      <c r="G3435" s="26" t="n"/>
      <c r="H3435" s="26" t="n"/>
      <c r="I3435" s="26" t="n"/>
      <c r="J3435" s="19" t="n">
        <v>0</v>
      </c>
      <c r="K3435" s="37" t="n">
        <v>0.065</v>
      </c>
    </row>
    <row r="3436">
      <c r="A3436" s="34" t="inlineStr">
        <is>
          <t>AGA SPK-tilskudd</t>
        </is>
      </c>
      <c r="B3436" s="34" t="inlineStr">
        <is>
          <t>Region Øst</t>
        </is>
      </c>
      <c r="C3436" s="34" t="inlineStr">
        <is>
          <t>Ås ungdomssenter - Administrasjon</t>
        </is>
      </c>
      <c r="D3436" s="18" t="n">
        <v>32613</v>
      </c>
      <c r="E3436" s="18" t="n">
        <v>64368</v>
      </c>
      <c r="F3436" s="18" t="n">
        <v>44326</v>
      </c>
      <c r="G3436" s="18" t="n">
        <v>20619</v>
      </c>
      <c r="H3436" s="18" t="n"/>
      <c r="I3436" s="18" t="n"/>
      <c r="J3436" s="19" t="n">
        <v>0</v>
      </c>
      <c r="K3436" s="35" t="n">
        <v>0.065</v>
      </c>
    </row>
    <row r="3437">
      <c r="A3437" s="36" t="inlineStr">
        <is>
          <t>AGA SPK-tilskudd</t>
        </is>
      </c>
      <c r="B3437" s="36" t="inlineStr">
        <is>
          <t>Region Øst</t>
        </is>
      </c>
      <c r="C3437" s="36" t="inlineStr">
        <is>
          <t>Ås ungdomssenter - Administrasjon</t>
        </is>
      </c>
      <c r="D3437" s="26" t="n">
        <v>8688</v>
      </c>
      <c r="E3437" s="26" t="n">
        <v>10165</v>
      </c>
      <c r="F3437" s="26" t="n">
        <v>45118</v>
      </c>
      <c r="G3437" s="26" t="n">
        <v>25381</v>
      </c>
      <c r="H3437" s="26" t="n"/>
      <c r="I3437" s="26" t="n"/>
      <c r="J3437" s="19" t="n">
        <v>0</v>
      </c>
      <c r="K3437" s="37" t="n">
        <v>0.065</v>
      </c>
    </row>
    <row r="3438">
      <c r="A3438" s="34" t="inlineStr">
        <is>
          <t>AGA SPK-tilskudd</t>
        </is>
      </c>
      <c r="B3438" s="34" t="inlineStr">
        <is>
          <t>Region Øst</t>
        </is>
      </c>
      <c r="C3438" s="34" t="inlineStr">
        <is>
          <t>Ås ungdomssenter - Administrasjon</t>
        </is>
      </c>
      <c r="D3438" s="18" t="n">
        <v>4000</v>
      </c>
      <c r="E3438" s="18" t="n">
        <v>8794</v>
      </c>
      <c r="F3438" s="18" t="n">
        <v>7362</v>
      </c>
      <c r="G3438" s="18" t="n">
        <v>3983</v>
      </c>
      <c r="H3438" s="18" t="n"/>
      <c r="I3438" s="18" t="n"/>
      <c r="J3438" s="19" t="n">
        <v>0</v>
      </c>
      <c r="K3438" s="35" t="n">
        <v>0.065</v>
      </c>
    </row>
    <row r="3439">
      <c r="A3439" s="36" t="inlineStr">
        <is>
          <t>AGA SPK-tilskudd</t>
        </is>
      </c>
      <c r="B3439" s="36" t="inlineStr">
        <is>
          <t>Region Øst</t>
        </is>
      </c>
      <c r="C3439" s="36" t="inlineStr">
        <is>
          <t>Ås ungdomssenter - Administrasjon</t>
        </is>
      </c>
      <c r="D3439" s="26" t="n">
        <v>255</v>
      </c>
      <c r="E3439" s="26" t="n"/>
      <c r="F3439" s="26" t="n"/>
      <c r="G3439" s="26" t="n"/>
      <c r="H3439" s="26" t="n"/>
      <c r="I3439" s="26" t="n"/>
      <c r="J3439" s="19" t="n">
        <v>0</v>
      </c>
      <c r="K3439" s="37" t="n">
        <v>0.065</v>
      </c>
    </row>
    <row r="3440">
      <c r="A3440" s="34" t="inlineStr">
        <is>
          <t>AGA SPK-tilskudd</t>
        </is>
      </c>
      <c r="B3440" s="34" t="inlineStr">
        <is>
          <t>Region Øst</t>
        </is>
      </c>
      <c r="C3440" s="34" t="inlineStr">
        <is>
          <t>Ås ungdomssenter - Administrasjon</t>
        </is>
      </c>
      <c r="D3440" s="18" t="n"/>
      <c r="E3440" s="18" t="n">
        <v>8742</v>
      </c>
      <c r="F3440" s="18" t="n">
        <v>9888</v>
      </c>
      <c r="G3440" s="18" t="n">
        <v>6103</v>
      </c>
      <c r="H3440" s="18" t="n"/>
      <c r="I3440" s="18" t="n"/>
      <c r="J3440" s="19" t="n">
        <v>0</v>
      </c>
      <c r="K3440" s="35" t="n">
        <v>0.065</v>
      </c>
    </row>
    <row r="3441">
      <c r="A3441" s="36" t="inlineStr">
        <is>
          <t>AGA SPK-tilskudd</t>
        </is>
      </c>
      <c r="B3441" s="36" t="inlineStr">
        <is>
          <t>Region Øst</t>
        </is>
      </c>
      <c r="C3441" s="36" t="inlineStr">
        <is>
          <t>Ås ungdomssenter - Administrasjon</t>
        </is>
      </c>
      <c r="D3441" s="26" t="n"/>
      <c r="E3441" s="26" t="n"/>
      <c r="F3441" s="26" t="n">
        <v>6296</v>
      </c>
      <c r="G3441" s="26" t="n">
        <v>3047</v>
      </c>
      <c r="H3441" s="26" t="n"/>
      <c r="I3441" s="26" t="n"/>
      <c r="J3441" s="19" t="n">
        <v>0</v>
      </c>
      <c r="K3441" s="37" t="n">
        <v>0.065</v>
      </c>
    </row>
    <row r="3442">
      <c r="A3442" s="34" t="inlineStr">
        <is>
          <t>AGA SPK-tilskudd</t>
        </is>
      </c>
      <c r="B3442" s="34" t="inlineStr">
        <is>
          <t>Region Øst</t>
        </is>
      </c>
      <c r="C3442" s="34" t="inlineStr">
        <is>
          <t>Ås ungdomssenter - Administrasjon</t>
        </is>
      </c>
      <c r="D3442" s="18" t="n"/>
      <c r="E3442" s="18" t="n"/>
      <c r="F3442" s="18" t="n">
        <v>1155</v>
      </c>
      <c r="G3442" s="18" t="n"/>
      <c r="H3442" s="18" t="n"/>
      <c r="I3442" s="18" t="n"/>
      <c r="J3442" s="19" t="n">
        <v>0</v>
      </c>
      <c r="K3442" s="35" t="n">
        <v>0.065</v>
      </c>
    </row>
    <row r="3443">
      <c r="A3443" s="36" t="inlineStr">
        <is>
          <t>AGA SPK-tilskudd</t>
        </is>
      </c>
      <c r="B3443" s="36" t="inlineStr">
        <is>
          <t>Region Øst</t>
        </is>
      </c>
      <c r="C3443" s="36" t="inlineStr">
        <is>
          <t>Ås ungdomssenter - Administrasjon</t>
        </is>
      </c>
      <c r="D3443" s="26" t="n">
        <v>2493</v>
      </c>
      <c r="E3443" s="26" t="n">
        <v>4952</v>
      </c>
      <c r="F3443" s="26" t="n">
        <v>10089</v>
      </c>
      <c r="G3443" s="26" t="n">
        <v>4893</v>
      </c>
      <c r="H3443" s="26" t="n"/>
      <c r="I3443" s="26" t="n"/>
      <c r="J3443" s="19" t="n">
        <v>0</v>
      </c>
      <c r="K3443" s="37" t="n">
        <v>0.065</v>
      </c>
    </row>
    <row r="3444">
      <c r="A3444" s="34" t="inlineStr">
        <is>
          <t>AGA SPK-tilskudd</t>
        </is>
      </c>
      <c r="B3444" s="34" t="inlineStr">
        <is>
          <t>Region Øst</t>
        </is>
      </c>
      <c r="C3444" s="34" t="inlineStr">
        <is>
          <t>Ås ungdomssenter - Administrasjon</t>
        </is>
      </c>
      <c r="D3444" s="18" t="n"/>
      <c r="E3444" s="18" t="n">
        <v>1308</v>
      </c>
      <c r="F3444" s="18" t="n">
        <v>3063</v>
      </c>
      <c r="G3444" s="18" t="n">
        <v>2684</v>
      </c>
      <c r="H3444" s="18" t="n"/>
      <c r="I3444" s="18" t="n"/>
      <c r="J3444" s="19" t="n">
        <v>0</v>
      </c>
      <c r="K3444" s="35" t="n">
        <v>0.065</v>
      </c>
    </row>
    <row r="3445">
      <c r="A3445" s="36" t="inlineStr">
        <is>
          <t>AGA SPK-tilskudd</t>
        </is>
      </c>
      <c r="B3445" s="36" t="inlineStr">
        <is>
          <t>Region Øst</t>
        </is>
      </c>
      <c r="C3445" s="36" t="inlineStr">
        <is>
          <t>Ås ungdomssenter - Administrasjon</t>
        </is>
      </c>
      <c r="D3445" s="26" t="n">
        <v>4940</v>
      </c>
      <c r="E3445" s="26" t="n"/>
      <c r="F3445" s="26" t="n">
        <v>3397</v>
      </c>
      <c r="G3445" s="26" t="n"/>
      <c r="H3445" s="26" t="n"/>
      <c r="I3445" s="26" t="n"/>
      <c r="J3445" s="19" t="n">
        <v>0</v>
      </c>
      <c r="K3445" s="37" t="n">
        <v>0.065</v>
      </c>
    </row>
    <row r="3446">
      <c r="A3446" s="34" t="inlineStr">
        <is>
          <t>AGA SPK-tilskudd</t>
        </is>
      </c>
      <c r="B3446" s="34" t="inlineStr">
        <is>
          <t>Region Øst</t>
        </is>
      </c>
      <c r="C3446" s="34" t="inlineStr">
        <is>
          <t>Ås ungdomssenter - Administrasjon</t>
        </is>
      </c>
      <c r="D3446" s="18" t="n">
        <v>-7022</v>
      </c>
      <c r="E3446" s="18" t="n">
        <v>-7328</v>
      </c>
      <c r="F3446" s="18" t="n">
        <v>-9600</v>
      </c>
      <c r="G3446" s="18" t="n">
        <v>-4000</v>
      </c>
      <c r="H3446" s="18" t="n"/>
      <c r="I3446" s="18" t="n"/>
      <c r="J3446" s="19" t="n">
        <v>0</v>
      </c>
      <c r="K3446" s="35" t="n">
        <v>0.065</v>
      </c>
    </row>
    <row r="3447">
      <c r="A3447" s="36" t="inlineStr">
        <is>
          <t>AGA SPK-tilskudd</t>
        </is>
      </c>
      <c r="B3447" s="36" t="inlineStr">
        <is>
          <t>Region Øst</t>
        </is>
      </c>
      <c r="C3447" s="36" t="inlineStr">
        <is>
          <t>Ås ungdomssenter - Administrasjon</t>
        </is>
      </c>
      <c r="D3447" s="26" t="n"/>
      <c r="E3447" s="26" t="n">
        <v>-7012</v>
      </c>
      <c r="F3447" s="26" t="n">
        <v>-4576</v>
      </c>
      <c r="G3447" s="26" t="n"/>
      <c r="H3447" s="26" t="n"/>
      <c r="I3447" s="26" t="n"/>
      <c r="J3447" s="19" t="n">
        <v>0</v>
      </c>
      <c r="K3447" s="37" t="n">
        <v>0.065</v>
      </c>
    </row>
    <row r="3448">
      <c r="A3448" s="34" t="inlineStr">
        <is>
          <t>AGA SPK-tilskudd</t>
        </is>
      </c>
      <c r="B3448" s="34" t="inlineStr">
        <is>
          <t>Region Øst</t>
        </is>
      </c>
      <c r="C3448" s="34" t="inlineStr">
        <is>
          <t>Østfold ungdoms - og familiesenter - omsorg  Administrasjon</t>
        </is>
      </c>
      <c r="D3448" s="18" t="n">
        <v>51561</v>
      </c>
      <c r="E3448" s="18" t="n">
        <v>37849</v>
      </c>
      <c r="F3448" s="18" t="n">
        <v>21191</v>
      </c>
      <c r="G3448" s="18" t="n">
        <v>30037</v>
      </c>
      <c r="H3448" s="18" t="n">
        <v>31382</v>
      </c>
      <c r="I3448" s="18" t="n">
        <v>30442</v>
      </c>
      <c r="J3448" s="19" t="n">
        <v>24656.64155050461</v>
      </c>
      <c r="K3448" s="35" t="n">
        <v>-0.1000251565592983</v>
      </c>
    </row>
    <row r="3449">
      <c r="A3449" s="36" t="inlineStr">
        <is>
          <t>AGA SPK-tilskudd</t>
        </is>
      </c>
      <c r="B3449" s="36" t="inlineStr">
        <is>
          <t>Region Øst</t>
        </is>
      </c>
      <c r="C3449" s="36" t="inlineStr">
        <is>
          <t>Østfold ungdoms - og familiesenter - omsorg  Administrasjon</t>
        </is>
      </c>
      <c r="D3449" s="26" t="n">
        <v>27620</v>
      </c>
      <c r="E3449" s="26" t="n">
        <v>6585</v>
      </c>
      <c r="F3449" s="26" t="n">
        <v>18174</v>
      </c>
      <c r="G3449" s="26" t="n">
        <v>-14491</v>
      </c>
      <c r="H3449" s="26" t="n">
        <v>33847</v>
      </c>
      <c r="I3449" s="26" t="n">
        <v>22746</v>
      </c>
      <c r="J3449" s="19" t="n">
        <v>21046.38831398545</v>
      </c>
      <c r="K3449" s="37" t="n">
        <v>-0.03808594136344556</v>
      </c>
    </row>
    <row r="3450">
      <c r="A3450" s="34" t="inlineStr">
        <is>
          <t>AGA SPK-tilskudd</t>
        </is>
      </c>
      <c r="B3450" s="34" t="inlineStr">
        <is>
          <t>Region Øst</t>
        </is>
      </c>
      <c r="C3450" s="34" t="inlineStr">
        <is>
          <t>Østfold ungdoms - og familiesenter - omsorg  Administrasjon</t>
        </is>
      </c>
      <c r="D3450" s="18" t="n">
        <v>6000</v>
      </c>
      <c r="E3450" s="18" t="n">
        <v>4499</v>
      </c>
      <c r="F3450" s="18" t="n">
        <v>3272</v>
      </c>
      <c r="G3450" s="18" t="n">
        <v>4779</v>
      </c>
      <c r="H3450" s="18" t="n">
        <v>4995</v>
      </c>
      <c r="I3450" s="18" t="n">
        <v>5767</v>
      </c>
      <c r="J3450" s="19" t="n">
        <v>5676.353475378152</v>
      </c>
      <c r="K3450" s="35" t="n">
        <v>-0.00789019859157758</v>
      </c>
    </row>
    <row r="3451">
      <c r="A3451" s="36" t="inlineStr">
        <is>
          <t>AGA SPK-tilskudd</t>
        </is>
      </c>
      <c r="B3451" s="36" t="inlineStr">
        <is>
          <t>Region Øst</t>
        </is>
      </c>
      <c r="C3451" s="36" t="inlineStr">
        <is>
          <t>Østfold ungdoms - og familiesenter - omsorg  Administrasjon</t>
        </is>
      </c>
      <c r="D3451" s="26" t="n"/>
      <c r="E3451" s="26" t="n">
        <v>3193</v>
      </c>
      <c r="F3451" s="26" t="n"/>
      <c r="G3451" s="26" t="n"/>
      <c r="H3451" s="26" t="n"/>
      <c r="I3451" s="26" t="n">
        <v>7610</v>
      </c>
      <c r="J3451" s="19" t="n">
        <v>11748.36757256541</v>
      </c>
      <c r="K3451" s="37" t="n">
        <v>0.2425001062916434</v>
      </c>
    </row>
    <row r="3452">
      <c r="A3452" s="34" t="inlineStr">
        <is>
          <t>AGA SPK-tilskudd</t>
        </is>
      </c>
      <c r="B3452" s="34" t="inlineStr">
        <is>
          <t>Region Øst</t>
        </is>
      </c>
      <c r="C3452" s="34" t="inlineStr">
        <is>
          <t>Østfold ungdoms - og familiesenter - omsorg  Administrasjon</t>
        </is>
      </c>
      <c r="D3452" s="18" t="n"/>
      <c r="E3452" s="18" t="n">
        <v>16013</v>
      </c>
      <c r="F3452" s="18" t="n">
        <v>1331</v>
      </c>
      <c r="G3452" s="18" t="n">
        <v>7930</v>
      </c>
      <c r="H3452" s="18" t="n">
        <v>19830</v>
      </c>
      <c r="I3452" s="18" t="n">
        <v>19058</v>
      </c>
      <c r="J3452" s="19" t="n">
        <v>20791.20363756467</v>
      </c>
      <c r="K3452" s="35" t="n">
        <v>0.04448246835243541</v>
      </c>
    </row>
    <row r="3453">
      <c r="A3453" s="36" t="inlineStr">
        <is>
          <t>AGA SPK-tilskudd</t>
        </is>
      </c>
      <c r="B3453" s="36" t="inlineStr">
        <is>
          <t>Region Øst</t>
        </is>
      </c>
      <c r="C3453" s="36" t="inlineStr">
        <is>
          <t>Østfold ungdoms - og familiesenter - omsorg  Administrasjon</t>
        </is>
      </c>
      <c r="D3453" s="26" t="n">
        <v>1382</v>
      </c>
      <c r="E3453" s="26" t="n">
        <v>2978</v>
      </c>
      <c r="F3453" s="26" t="n">
        <v>1407</v>
      </c>
      <c r="G3453" s="26" t="n">
        <v>2463</v>
      </c>
      <c r="H3453" s="26" t="n">
        <v>6729</v>
      </c>
      <c r="I3453" s="26" t="n">
        <v>4749</v>
      </c>
      <c r="J3453" s="19" t="n">
        <v>7420.3125</v>
      </c>
      <c r="K3453" s="37" t="n">
        <v>0.25</v>
      </c>
    </row>
    <row r="3454">
      <c r="A3454" s="34" t="inlineStr">
        <is>
          <t>AGA SPK-tilskudd</t>
        </is>
      </c>
      <c r="B3454" s="34" t="inlineStr">
        <is>
          <t>Region Øst</t>
        </is>
      </c>
      <c r="C3454" s="34" t="inlineStr">
        <is>
          <t>Østfold ungdoms - og familiesenter - omsorg  Administrasjon</t>
        </is>
      </c>
      <c r="D3454" s="18" t="n">
        <v>4572</v>
      </c>
      <c r="E3454" s="18" t="n">
        <v>3822</v>
      </c>
      <c r="F3454" s="18" t="n">
        <v>36216</v>
      </c>
      <c r="G3454" s="18" t="n">
        <v>1743</v>
      </c>
      <c r="H3454" s="18" t="n">
        <v>15589</v>
      </c>
      <c r="I3454" s="18" t="n">
        <v>11737</v>
      </c>
      <c r="J3454" s="19" t="n">
        <v>17113.44556323691</v>
      </c>
      <c r="K3454" s="35" t="n">
        <v>0.2075084444302135</v>
      </c>
    </row>
    <row r="3455">
      <c r="A3455" s="36" t="inlineStr">
        <is>
          <t>AGA SPK-tilskudd</t>
        </is>
      </c>
      <c r="B3455" s="36" t="inlineStr">
        <is>
          <t>Region Øst</t>
        </is>
      </c>
      <c r="C3455" s="36" t="inlineStr">
        <is>
          <t>Østfold ungdoms - og familiesenter - omsorg  Administrasjon</t>
        </is>
      </c>
      <c r="D3455" s="26" t="n">
        <v>14926</v>
      </c>
      <c r="E3455" s="26" t="n">
        <v>14036</v>
      </c>
      <c r="F3455" s="26" t="n">
        <v>10305</v>
      </c>
      <c r="G3455" s="26" t="n">
        <v>12680</v>
      </c>
      <c r="H3455" s="26" t="n">
        <v>1580</v>
      </c>
      <c r="I3455" s="26" t="n">
        <v>7341</v>
      </c>
      <c r="J3455" s="19" t="n">
        <v>5526.878772361867</v>
      </c>
      <c r="K3455" s="37" t="n">
        <v>-0.1323144652483512</v>
      </c>
    </row>
    <row r="3456">
      <c r="A3456" s="34" t="inlineStr">
        <is>
          <t>AGA SPK-tilskudd</t>
        </is>
      </c>
      <c r="B3456" s="34" t="inlineStr">
        <is>
          <t>Region Øst</t>
        </is>
      </c>
      <c r="C3456" s="34" t="inlineStr">
        <is>
          <t>Østfold ungdoms - og familiesenter - omsorg  Administrasjon</t>
        </is>
      </c>
      <c r="D3456" s="18" t="n">
        <v>402</v>
      </c>
      <c r="E3456" s="18" t="n">
        <v>3193</v>
      </c>
      <c r="F3456" s="18" t="n">
        <v>735</v>
      </c>
      <c r="G3456" s="18" t="n">
        <v>2874</v>
      </c>
      <c r="H3456" s="18" t="n">
        <v>12772</v>
      </c>
      <c r="I3456" s="18" t="n">
        <v>9192</v>
      </c>
      <c r="J3456" s="19" t="n">
        <v>14362.5</v>
      </c>
      <c r="K3456" s="35" t="n">
        <v>0.25</v>
      </c>
    </row>
    <row r="3457">
      <c r="A3457" s="36" t="inlineStr">
        <is>
          <t>AGA SPK-tilskudd</t>
        </is>
      </c>
      <c r="B3457" s="36" t="inlineStr">
        <is>
          <t>Region Øst</t>
        </is>
      </c>
      <c r="C3457" s="36" t="inlineStr">
        <is>
          <t>Østfold ungdoms - og familiesenter - omsorg  Administrasjon</t>
        </is>
      </c>
      <c r="D3457" s="26" t="n">
        <v>9806</v>
      </c>
      <c r="E3457" s="26" t="n">
        <v>15713</v>
      </c>
      <c r="F3457" s="26" t="n">
        <v>12015</v>
      </c>
      <c r="G3457" s="26" t="n">
        <v>14001</v>
      </c>
      <c r="H3457" s="26" t="n">
        <v>3570</v>
      </c>
      <c r="I3457" s="26" t="n">
        <v>12278</v>
      </c>
      <c r="J3457" s="19" t="n">
        <v>13433.27560547093</v>
      </c>
      <c r="K3457" s="37" t="n">
        <v>0.04598907386796314</v>
      </c>
    </row>
    <row r="3458">
      <c r="A3458" s="34" t="inlineStr">
        <is>
          <t>AGA SPK-tilskudd</t>
        </is>
      </c>
      <c r="B3458" s="34" t="inlineStr">
        <is>
          <t>Region Øst</t>
        </is>
      </c>
      <c r="C3458" s="34" t="inlineStr">
        <is>
          <t>Østfold ungdoms - og familiesenter - omsorg  Administrasjon</t>
        </is>
      </c>
      <c r="D3458" s="18" t="n">
        <v>-908</v>
      </c>
      <c r="E3458" s="18" t="n">
        <v>-47388</v>
      </c>
      <c r="F3458" s="18" t="n">
        <v>-2602</v>
      </c>
      <c r="G3458" s="18" t="n"/>
      <c r="H3458" s="18" t="n"/>
      <c r="I3458" s="18" t="n">
        <v>-10984</v>
      </c>
      <c r="J3458" s="19" t="n">
        <v>-12458.3274</v>
      </c>
      <c r="K3458" s="35" t="n">
        <v>0.065</v>
      </c>
    </row>
    <row r="3459">
      <c r="A3459" s="36" t="inlineStr">
        <is>
          <t>AGA SPK-tilskudd</t>
        </is>
      </c>
      <c r="B3459" s="36" t="inlineStr">
        <is>
          <t>Region Øst</t>
        </is>
      </c>
      <c r="C3459" s="36" t="inlineStr">
        <is>
          <t>Østfold ungdoms - og familiesenter - omsorg  avdeling Eika</t>
        </is>
      </c>
      <c r="D3459" s="26" t="n">
        <v>918</v>
      </c>
      <c r="E3459" s="26" t="n"/>
      <c r="F3459" s="26" t="n"/>
      <c r="G3459" s="26" t="n"/>
      <c r="H3459" s="26" t="n"/>
      <c r="I3459" s="26" t="n"/>
      <c r="J3459" s="19" t="n">
        <v>0</v>
      </c>
      <c r="K3459" s="37" t="n">
        <v>0.065</v>
      </c>
    </row>
    <row r="3460">
      <c r="A3460" s="34" t="inlineStr">
        <is>
          <t>AGA SPK-tilskudd</t>
        </is>
      </c>
      <c r="B3460" s="34" t="inlineStr">
        <is>
          <t>Region Øst</t>
        </is>
      </c>
      <c r="C3460" s="34" t="inlineStr">
        <is>
          <t>Østfold ungdoms - og familiesenter - omsorg  avdeling Eika</t>
        </is>
      </c>
      <c r="D3460" s="18" t="n">
        <v>294</v>
      </c>
      <c r="E3460" s="18" t="n"/>
      <c r="F3460" s="18" t="n"/>
      <c r="G3460" s="18" t="n"/>
      <c r="H3460" s="18" t="n"/>
      <c r="I3460" s="18" t="n"/>
      <c r="J3460" s="19" t="n">
        <v>0</v>
      </c>
      <c r="K3460" s="35" t="n">
        <v>0.065</v>
      </c>
    </row>
    <row r="3461">
      <c r="A3461" s="36" t="inlineStr">
        <is>
          <t>AGA SPK-tilskudd</t>
        </is>
      </c>
      <c r="B3461" s="36" t="inlineStr">
        <is>
          <t>Region Øst</t>
        </is>
      </c>
      <c r="C3461" s="36" t="inlineStr">
        <is>
          <t>Østfold ungdoms - og familiesenter - omsorg  avdeling Eika</t>
        </is>
      </c>
      <c r="D3461" s="26" t="n">
        <v>96</v>
      </c>
      <c r="E3461" s="26" t="n"/>
      <c r="F3461" s="26" t="n"/>
      <c r="G3461" s="26" t="n"/>
      <c r="H3461" s="26" t="n"/>
      <c r="I3461" s="26" t="n"/>
      <c r="J3461" s="19" t="n">
        <v>0</v>
      </c>
      <c r="K3461" s="37" t="n">
        <v>0.065</v>
      </c>
    </row>
    <row r="3462">
      <c r="A3462" s="34" t="inlineStr">
        <is>
          <t>AGA SPK-tilskudd</t>
        </is>
      </c>
      <c r="B3462" s="34" t="inlineStr">
        <is>
          <t>Region Øst</t>
        </is>
      </c>
      <c r="C3462" s="34" t="inlineStr">
        <is>
          <t>Østfold ungdoms - og familiesenter - omsorg, avdeling Kurland ungdomshjem</t>
        </is>
      </c>
      <c r="D3462" s="18" t="n">
        <v>131123</v>
      </c>
      <c r="E3462" s="18" t="n">
        <v>23567</v>
      </c>
      <c r="F3462" s="18" t="n">
        <v>50316</v>
      </c>
      <c r="G3462" s="18" t="n">
        <v>165365</v>
      </c>
      <c r="H3462" s="18" t="n">
        <v>159742</v>
      </c>
      <c r="I3462" s="18" t="n">
        <v>151946</v>
      </c>
      <c r="J3462" s="19" t="n">
        <v>161173.4230080675</v>
      </c>
      <c r="K3462" s="35" t="n">
        <v>0.02991664946518213</v>
      </c>
    </row>
    <row r="3463">
      <c r="A3463" s="36" t="inlineStr">
        <is>
          <t>AGA SPK-tilskudd</t>
        </is>
      </c>
      <c r="B3463" s="36" t="inlineStr">
        <is>
          <t>Region Øst</t>
        </is>
      </c>
      <c r="C3463" s="36" t="inlineStr">
        <is>
          <t>Østfold ungdoms - og familiesenter - omsorg, avdeling Kurland ungdomshjem</t>
        </is>
      </c>
      <c r="D3463" s="26" t="n">
        <v>3066</v>
      </c>
      <c r="E3463" s="26" t="n"/>
      <c r="F3463" s="26" t="n">
        <v>10356</v>
      </c>
      <c r="G3463" s="26" t="n">
        <v>204064</v>
      </c>
      <c r="H3463" s="26" t="n"/>
      <c r="I3463" s="26" t="n">
        <v>29621</v>
      </c>
      <c r="J3463" s="19" t="n">
        <v>46282.8125</v>
      </c>
      <c r="K3463" s="37" t="n">
        <v>0.25</v>
      </c>
    </row>
    <row r="3464">
      <c r="A3464" s="34" t="inlineStr">
        <is>
          <t>AGA SPK-tilskudd</t>
        </is>
      </c>
      <c r="B3464" s="34" t="inlineStr">
        <is>
          <t>Region Øst</t>
        </is>
      </c>
      <c r="C3464" s="34" t="inlineStr">
        <is>
          <t>Østfold ungdoms - og familiesenter - omsorg, avdeling Kurland ungdomshjem</t>
        </is>
      </c>
      <c r="D3464" s="18" t="n">
        <v>28543</v>
      </c>
      <c r="E3464" s="18" t="n">
        <v>2038</v>
      </c>
      <c r="F3464" s="18" t="n">
        <v>10735</v>
      </c>
      <c r="G3464" s="18" t="n">
        <v>41827</v>
      </c>
      <c r="H3464" s="18" t="n">
        <v>38204</v>
      </c>
      <c r="I3464" s="18" t="n">
        <v>20308</v>
      </c>
      <c r="J3464" s="19" t="n">
        <v>17722.87480491421</v>
      </c>
      <c r="K3464" s="35" t="n">
        <v>-0.06581367107540781</v>
      </c>
    </row>
    <row r="3465">
      <c r="A3465" s="36" t="inlineStr">
        <is>
          <t>AGA SPK-tilskudd</t>
        </is>
      </c>
      <c r="B3465" s="36" t="inlineStr">
        <is>
          <t>Region Øst</t>
        </is>
      </c>
      <c r="C3465" s="36" t="inlineStr">
        <is>
          <t>Østfold ungdoms - og familiesenter - omsorg, avdeling Kurland ungdomshjem</t>
        </is>
      </c>
      <c r="D3465" s="26" t="n">
        <v>37500</v>
      </c>
      <c r="E3465" s="26" t="n">
        <v>15224</v>
      </c>
      <c r="F3465" s="26" t="n">
        <v>15747</v>
      </c>
      <c r="G3465" s="26" t="n">
        <v>77241</v>
      </c>
      <c r="H3465" s="26" t="n">
        <v>94628</v>
      </c>
      <c r="I3465" s="26" t="n">
        <v>92253</v>
      </c>
      <c r="J3465" s="19" t="n">
        <v>132239.1929550429</v>
      </c>
      <c r="K3465" s="37" t="n">
        <v>0.1972637848657315</v>
      </c>
    </row>
    <row r="3466">
      <c r="A3466" s="34" t="inlineStr">
        <is>
          <t>AGA SPK-tilskudd</t>
        </is>
      </c>
      <c r="B3466" s="34" t="inlineStr">
        <is>
          <t>Region Øst</t>
        </is>
      </c>
      <c r="C3466" s="34" t="inlineStr">
        <is>
          <t>Østfold ungdoms - og familiesenter - omsorg, avdeling Kurland ungdomshjem</t>
        </is>
      </c>
      <c r="D3466" s="18" t="n">
        <v>1475</v>
      </c>
      <c r="E3466" s="18" t="n"/>
      <c r="F3466" s="18" t="n"/>
      <c r="G3466" s="18" t="n"/>
      <c r="H3466" s="18" t="n"/>
      <c r="I3466" s="18" t="n"/>
      <c r="J3466" s="19" t="n">
        <v>0</v>
      </c>
      <c r="K3466" s="35" t="n">
        <v>0.065</v>
      </c>
    </row>
    <row r="3467">
      <c r="A3467" s="36" t="inlineStr">
        <is>
          <t>AGA SPK-tilskudd</t>
        </is>
      </c>
      <c r="B3467" s="36" t="inlineStr">
        <is>
          <t>Region Øst</t>
        </is>
      </c>
      <c r="C3467" s="36" t="inlineStr">
        <is>
          <t>Østfold ungdoms - og familiesenter - omsorg, avdeling Kurland ungdomshjem</t>
        </is>
      </c>
      <c r="D3467" s="26" t="n">
        <v>36413</v>
      </c>
      <c r="E3467" s="26" t="n"/>
      <c r="F3467" s="26" t="n"/>
      <c r="G3467" s="26" t="n"/>
      <c r="H3467" s="26" t="n"/>
      <c r="I3467" s="26" t="n"/>
      <c r="J3467" s="19" t="n">
        <v>0</v>
      </c>
      <c r="K3467" s="37" t="n">
        <v>0.065</v>
      </c>
    </row>
    <row r="3468">
      <c r="A3468" s="34" t="inlineStr">
        <is>
          <t>AGA SPK-tilskudd</t>
        </is>
      </c>
      <c r="B3468" s="34" t="inlineStr">
        <is>
          <t>Region Øst</t>
        </is>
      </c>
      <c r="C3468" s="34" t="inlineStr">
        <is>
          <t>Østfold ungdoms - og familiesenter - omsorg, avdeling Kurland ungdomshjem</t>
        </is>
      </c>
      <c r="D3468" s="18" t="n">
        <v>18792</v>
      </c>
      <c r="E3468" s="18" t="n">
        <v>8938</v>
      </c>
      <c r="F3468" s="18" t="n">
        <v>663</v>
      </c>
      <c r="G3468" s="18" t="n">
        <v>11342</v>
      </c>
      <c r="H3468" s="18" t="n">
        <v>7447</v>
      </c>
      <c r="I3468" s="18" t="n">
        <v>7564</v>
      </c>
      <c r="J3468" s="19" t="n">
        <v>5256.091618080575</v>
      </c>
      <c r="K3468" s="35" t="n">
        <v>-0.1664038439950294</v>
      </c>
    </row>
    <row r="3469">
      <c r="A3469" s="36" t="inlineStr">
        <is>
          <t>AGA SPK-tilskudd</t>
        </is>
      </c>
      <c r="B3469" s="36" t="inlineStr">
        <is>
          <t>Region Øst</t>
        </is>
      </c>
      <c r="C3469" s="36" t="inlineStr">
        <is>
          <t>Østfold ungdoms - og familiesenter - omsorg, avdeling Kurland ungdomshjem</t>
        </is>
      </c>
      <c r="D3469" s="26" t="n">
        <v>1878</v>
      </c>
      <c r="E3469" s="26" t="n">
        <v>1595</v>
      </c>
      <c r="F3469" s="26" t="n">
        <v>2008</v>
      </c>
      <c r="G3469" s="26" t="n">
        <v>12068</v>
      </c>
      <c r="H3469" s="26" t="n">
        <v>4284</v>
      </c>
      <c r="I3469" s="26" t="n">
        <v>3326</v>
      </c>
      <c r="J3469" s="19" t="n">
        <v>4180.352531937822</v>
      </c>
      <c r="K3469" s="37" t="n">
        <v>0.1211025267599137</v>
      </c>
    </row>
    <row r="3470">
      <c r="A3470" s="34" t="inlineStr">
        <is>
          <t>AGA SPK-tilskudd</t>
        </is>
      </c>
      <c r="B3470" s="34" t="inlineStr">
        <is>
          <t>Region Øst</t>
        </is>
      </c>
      <c r="C3470" s="34" t="inlineStr">
        <is>
          <t>Østfold ungdoms - og familiesenter - omsorg, avdeling Kurland ungdomshjem</t>
        </is>
      </c>
      <c r="D3470" s="18" t="n">
        <v>1401</v>
      </c>
      <c r="E3470" s="18" t="n"/>
      <c r="F3470" s="18" t="n">
        <v>7748</v>
      </c>
      <c r="G3470" s="18" t="n"/>
      <c r="H3470" s="18" t="n">
        <v>9898</v>
      </c>
      <c r="I3470" s="18" t="n">
        <v>13949</v>
      </c>
      <c r="J3470" s="19" t="n">
        <v>21795.3125</v>
      </c>
      <c r="K3470" s="35" t="n">
        <v>0.25</v>
      </c>
    </row>
    <row r="3471">
      <c r="A3471" s="36" t="inlineStr">
        <is>
          <t>AGA SPK-tilskudd</t>
        </is>
      </c>
      <c r="B3471" s="36" t="inlineStr">
        <is>
          <t>Region Øst</t>
        </is>
      </c>
      <c r="C3471" s="36" t="inlineStr">
        <is>
          <t>Østfold ungdoms - og familiesenter - omsorg, avdeling Kurland ungdomshjem</t>
        </is>
      </c>
      <c r="D3471" s="26" t="n">
        <v>6860</v>
      </c>
      <c r="E3471" s="26" t="n"/>
      <c r="F3471" s="26" t="n">
        <v>328</v>
      </c>
      <c r="G3471" s="26" t="n">
        <v>3669</v>
      </c>
      <c r="H3471" s="26" t="n">
        <v>6178</v>
      </c>
      <c r="I3471" s="26" t="n">
        <v>15351</v>
      </c>
      <c r="J3471" s="19" t="n">
        <v>21186.62082283674</v>
      </c>
      <c r="K3471" s="37" t="n">
        <v>0.1747961407981202</v>
      </c>
    </row>
    <row r="3472">
      <c r="A3472" s="34" t="inlineStr">
        <is>
          <t>AGA SPK-tilskudd</t>
        </is>
      </c>
      <c r="B3472" s="34" t="inlineStr">
        <is>
          <t>Region Øst</t>
        </is>
      </c>
      <c r="C3472" s="34" t="inlineStr">
        <is>
          <t>Østfold ungdoms - og familiesenter - omsorg, avdeling Kurland ungdomshjem</t>
        </is>
      </c>
      <c r="D3472" s="18" t="n">
        <v>4480</v>
      </c>
      <c r="E3472" s="18" t="n">
        <v>1740</v>
      </c>
      <c r="F3472" s="18" t="n">
        <v>1206</v>
      </c>
      <c r="G3472" s="18" t="n">
        <v>5258</v>
      </c>
      <c r="H3472" s="18" t="n">
        <v>5692</v>
      </c>
      <c r="I3472" s="18" t="n">
        <v>7980</v>
      </c>
      <c r="J3472" s="19" t="n">
        <v>10052.9342541214</v>
      </c>
      <c r="K3472" s="35" t="n">
        <v>0.1223930671820461</v>
      </c>
    </row>
    <row r="3473">
      <c r="A3473" s="36" t="inlineStr">
        <is>
          <t>AGA SPK-tilskudd</t>
        </is>
      </c>
      <c r="B3473" s="36" t="inlineStr">
        <is>
          <t>Region Øst</t>
        </is>
      </c>
      <c r="C3473" s="36" t="inlineStr">
        <is>
          <t>Østfold ungdoms - og familiesenter - omsorg, avdeling Kurland ungdomshjem</t>
        </is>
      </c>
      <c r="D3473" s="26" t="n"/>
      <c r="E3473" s="26" t="n"/>
      <c r="F3473" s="26" t="n">
        <v>3199</v>
      </c>
      <c r="G3473" s="26" t="n"/>
      <c r="H3473" s="26" t="n"/>
      <c r="I3473" s="26" t="n">
        <v>5049</v>
      </c>
      <c r="J3473" s="19" t="n">
        <v>5726.702024999999</v>
      </c>
      <c r="K3473" s="37" t="n">
        <v>0.065</v>
      </c>
    </row>
    <row r="3474">
      <c r="A3474" s="34" t="inlineStr">
        <is>
          <t>AGA SPK-tilskudd</t>
        </is>
      </c>
      <c r="B3474" s="34" t="inlineStr">
        <is>
          <t>Region Øst</t>
        </is>
      </c>
      <c r="C3474" s="34" t="inlineStr">
        <is>
          <t>Østfold ungdoms - og familiesenter - omsorg, avdeling Kurland ungdomshjem</t>
        </is>
      </c>
      <c r="D3474" s="18" t="n">
        <v>274</v>
      </c>
      <c r="E3474" s="18" t="n"/>
      <c r="F3474" s="18" t="n"/>
      <c r="G3474" s="18" t="n"/>
      <c r="H3474" s="18" t="n">
        <v>299</v>
      </c>
      <c r="I3474" s="18" t="n"/>
      <c r="J3474" s="19" t="n">
        <v>0</v>
      </c>
      <c r="K3474" s="35" t="n">
        <v>0.065</v>
      </c>
    </row>
    <row r="3475">
      <c r="A3475" s="36" t="inlineStr">
        <is>
          <t>AGA SPK-tilskudd</t>
        </is>
      </c>
      <c r="B3475" s="36" t="inlineStr">
        <is>
          <t>Region Øst</t>
        </is>
      </c>
      <c r="C3475" s="36" t="inlineStr">
        <is>
          <t>Østfold ungdoms - og familiesenter - omsorg, avdeling Kurland ungdomshjem</t>
        </is>
      </c>
      <c r="D3475" s="26" t="n"/>
      <c r="E3475" s="26" t="n">
        <v>239</v>
      </c>
      <c r="F3475" s="26" t="n"/>
      <c r="G3475" s="26" t="n">
        <v>9850</v>
      </c>
      <c r="H3475" s="26" t="n"/>
      <c r="I3475" s="26" t="n">
        <v>1161</v>
      </c>
      <c r="J3475" s="19" t="n">
        <v>1814.0625</v>
      </c>
      <c r="K3475" s="37" t="n">
        <v>0.25</v>
      </c>
    </row>
    <row r="3476">
      <c r="A3476" s="34" t="inlineStr">
        <is>
          <t>AGA SPK-tilskudd</t>
        </is>
      </c>
      <c r="B3476" s="34" t="inlineStr">
        <is>
          <t>Region Øst</t>
        </is>
      </c>
      <c r="C3476" s="34" t="inlineStr">
        <is>
          <t>Østfold ungdoms - og familiesenter - omsorg, avdeling Kurland ungdomshjem</t>
        </is>
      </c>
      <c r="D3476" s="18" t="n"/>
      <c r="E3476" s="18" t="n"/>
      <c r="F3476" s="18" t="n"/>
      <c r="G3476" s="18" t="n"/>
      <c r="H3476" s="18" t="n"/>
      <c r="I3476" s="18" t="n">
        <v>-8700</v>
      </c>
      <c r="J3476" s="19" t="n">
        <v>-9867.757499999998</v>
      </c>
      <c r="K3476" s="35" t="n">
        <v>0.065</v>
      </c>
    </row>
    <row r="3477">
      <c r="A3477" s="36" t="inlineStr">
        <is>
          <t>AGA SPK-tilskudd</t>
        </is>
      </c>
      <c r="B3477" s="36" t="inlineStr">
        <is>
          <t>Region Øst</t>
        </is>
      </c>
      <c r="C3477" s="36" t="inlineStr">
        <is>
          <t>Østfold ungdoms - og familiesenter - omsorg, avdeling Kurland ungdomshjem</t>
        </is>
      </c>
      <c r="D3477" s="26" t="n">
        <v>-8911</v>
      </c>
      <c r="E3477" s="26" t="n">
        <v>-297866</v>
      </c>
      <c r="F3477" s="26" t="n">
        <v>-424874</v>
      </c>
      <c r="G3477" s="26" t="n"/>
      <c r="H3477" s="26" t="n">
        <v>-44736</v>
      </c>
      <c r="I3477" s="26" t="n">
        <v>-9208</v>
      </c>
      <c r="J3477" s="19" t="n">
        <v>-10443.9438</v>
      </c>
      <c r="K3477" s="37" t="n">
        <v>0.065</v>
      </c>
    </row>
    <row r="3478">
      <c r="A3478" s="34" t="inlineStr">
        <is>
          <t>AGA SPK-tilskudd</t>
        </is>
      </c>
      <c r="B3478" s="34" t="inlineStr">
        <is>
          <t>Region Øst</t>
        </is>
      </c>
      <c r="C3478" s="34" t="inlineStr">
        <is>
          <t>Østfold ungdoms - og familiesenter - omsorg, avdeling Kurland ungdomshjem</t>
        </is>
      </c>
      <c r="D3478" s="18" t="n">
        <v>-458141</v>
      </c>
      <c r="E3478" s="18" t="n">
        <v>-78662</v>
      </c>
      <c r="F3478" s="18" t="n">
        <v>-26456</v>
      </c>
      <c r="G3478" s="18" t="n">
        <v>-1589705</v>
      </c>
      <c r="H3478" s="18" t="n">
        <v>-400674</v>
      </c>
      <c r="I3478" s="18" t="n">
        <v>-463113</v>
      </c>
      <c r="J3478" s="19" t="n">
        <v>-525274.3424249999</v>
      </c>
      <c r="K3478" s="35" t="n">
        <v>0.065</v>
      </c>
    </row>
    <row r="3479">
      <c r="A3479" s="36" t="inlineStr">
        <is>
          <t>AGA SPK-tilskudd</t>
        </is>
      </c>
      <c r="B3479" s="36" t="inlineStr">
        <is>
          <t>Region Øst</t>
        </is>
      </c>
      <c r="C3479" s="36" t="inlineStr">
        <is>
          <t>Østfold ungdoms- og familiesenter - avdeling Fossen</t>
        </is>
      </c>
      <c r="D3479" s="26" t="n"/>
      <c r="E3479" s="26" t="n"/>
      <c r="F3479" s="26" t="n"/>
      <c r="G3479" s="26" t="n">
        <v>1508</v>
      </c>
      <c r="H3479" s="26" t="n">
        <v>87808</v>
      </c>
      <c r="I3479" s="26" t="n">
        <v>138637</v>
      </c>
      <c r="J3479" s="19" t="n">
        <v>157245.551325</v>
      </c>
      <c r="K3479" s="37" t="n">
        <v>0.065</v>
      </c>
    </row>
    <row r="3480">
      <c r="A3480" s="34" t="inlineStr">
        <is>
          <t>AGA SPK-tilskudd</t>
        </is>
      </c>
      <c r="B3480" s="34" t="inlineStr">
        <is>
          <t>Region Øst</t>
        </is>
      </c>
      <c r="C3480" s="34" t="inlineStr">
        <is>
          <t>Østfold ungdoms- og familiesenter - avdeling Fossen</t>
        </is>
      </c>
      <c r="D3480" s="18" t="n"/>
      <c r="E3480" s="18" t="n"/>
      <c r="F3480" s="18" t="n"/>
      <c r="G3480" s="18" t="n"/>
      <c r="H3480" s="18" t="n">
        <v>1038</v>
      </c>
      <c r="I3480" s="18" t="n">
        <v>27265</v>
      </c>
      <c r="J3480" s="19" t="n">
        <v>30924.64462499999</v>
      </c>
      <c r="K3480" s="35" t="n">
        <v>0.065</v>
      </c>
    </row>
    <row r="3481">
      <c r="A3481" s="36" t="inlineStr">
        <is>
          <t>AGA SPK-tilskudd</t>
        </is>
      </c>
      <c r="B3481" s="36" t="inlineStr">
        <is>
          <t>Region Øst</t>
        </is>
      </c>
      <c r="C3481" s="36" t="inlineStr">
        <is>
          <t>Østfold ungdoms- og familiesenter - avdeling Fossen</t>
        </is>
      </c>
      <c r="D3481" s="26" t="n"/>
      <c r="E3481" s="26" t="n"/>
      <c r="F3481" s="26" t="n"/>
      <c r="G3481" s="26" t="n"/>
      <c r="H3481" s="26" t="n">
        <v>5195</v>
      </c>
      <c r="I3481" s="26" t="n">
        <v>15837</v>
      </c>
      <c r="J3481" s="19" t="n">
        <v>17962.721325</v>
      </c>
      <c r="K3481" s="37" t="n">
        <v>0.065</v>
      </c>
    </row>
    <row r="3482">
      <c r="A3482" s="34" t="inlineStr">
        <is>
          <t>AGA SPK-tilskudd</t>
        </is>
      </c>
      <c r="B3482" s="34" t="inlineStr">
        <is>
          <t>Region Øst</t>
        </is>
      </c>
      <c r="C3482" s="34" t="inlineStr">
        <is>
          <t>Østfold ungdoms- og familiesenter - avdeling Fossen</t>
        </is>
      </c>
      <c r="D3482" s="18" t="n"/>
      <c r="E3482" s="18" t="n"/>
      <c r="F3482" s="18" t="n"/>
      <c r="G3482" s="18" t="n">
        <v>266</v>
      </c>
      <c r="H3482" s="18" t="n">
        <v>33294</v>
      </c>
      <c r="I3482" s="18" t="n">
        <v>59686</v>
      </c>
      <c r="J3482" s="19" t="n">
        <v>67697.35334999999</v>
      </c>
      <c r="K3482" s="35" t="n">
        <v>0.065</v>
      </c>
    </row>
    <row r="3483">
      <c r="A3483" s="36" t="inlineStr">
        <is>
          <t>AGA SPK-tilskudd</t>
        </is>
      </c>
      <c r="B3483" s="36" t="inlineStr">
        <is>
          <t>Region Øst</t>
        </is>
      </c>
      <c r="C3483" s="36" t="inlineStr">
        <is>
          <t>Østfold ungdoms- og familiesenter - avdeling Fossen</t>
        </is>
      </c>
      <c r="D3483" s="26" t="n"/>
      <c r="E3483" s="26" t="n"/>
      <c r="F3483" s="26" t="n"/>
      <c r="G3483" s="26" t="n">
        <v>1071</v>
      </c>
      <c r="H3483" s="26" t="n">
        <v>2401</v>
      </c>
      <c r="I3483" s="26" t="n">
        <v>651</v>
      </c>
      <c r="J3483" s="19" t="n">
        <v>738.3804749999999</v>
      </c>
      <c r="K3483" s="37" t="n">
        <v>0.065</v>
      </c>
    </row>
    <row r="3484">
      <c r="A3484" s="34" t="inlineStr">
        <is>
          <t>AGA SPK-tilskudd</t>
        </is>
      </c>
      <c r="B3484" s="34" t="inlineStr">
        <is>
          <t>Region Øst</t>
        </is>
      </c>
      <c r="C3484" s="34" t="inlineStr">
        <is>
          <t>Østfold ungdoms- og familiesenter - avdeling Fossen</t>
        </is>
      </c>
      <c r="D3484" s="18" t="n"/>
      <c r="E3484" s="18" t="n"/>
      <c r="F3484" s="18" t="n"/>
      <c r="G3484" s="18" t="n"/>
      <c r="H3484" s="18" t="n">
        <v>587</v>
      </c>
      <c r="I3484" s="18" t="n"/>
      <c r="J3484" s="19" t="n">
        <v>0</v>
      </c>
      <c r="K3484" s="35" t="n">
        <v>0.065</v>
      </c>
    </row>
    <row r="3485">
      <c r="A3485" s="36" t="inlineStr">
        <is>
          <t>AGA SPK-tilskudd</t>
        </is>
      </c>
      <c r="B3485" s="36" t="inlineStr">
        <is>
          <t>Region Øst</t>
        </is>
      </c>
      <c r="C3485" s="36" t="inlineStr">
        <is>
          <t>Østfold ungdoms- og familiesenter - avdeling Fossen</t>
        </is>
      </c>
      <c r="D3485" s="26" t="n"/>
      <c r="E3485" s="26" t="n"/>
      <c r="F3485" s="26" t="n"/>
      <c r="G3485" s="26" t="n"/>
      <c r="H3485" s="26" t="n">
        <v>3998</v>
      </c>
      <c r="I3485" s="26" t="n">
        <v>14904</v>
      </c>
      <c r="J3485" s="19" t="n">
        <v>16904.4894</v>
      </c>
      <c r="K3485" s="37" t="n">
        <v>0.065</v>
      </c>
    </row>
    <row r="3486">
      <c r="A3486" s="34" t="inlineStr">
        <is>
          <t>AGA SPK-tilskudd</t>
        </is>
      </c>
      <c r="B3486" s="34" t="inlineStr">
        <is>
          <t>Region Øst</t>
        </is>
      </c>
      <c r="C3486" s="34" t="inlineStr">
        <is>
          <t>Østfold ungdoms- og familiesenter - avdeling Fossen</t>
        </is>
      </c>
      <c r="D3486" s="18" t="n"/>
      <c r="E3486" s="18" t="n"/>
      <c r="F3486" s="18" t="n"/>
      <c r="G3486" s="18" t="n"/>
      <c r="H3486" s="18" t="n"/>
      <c r="I3486" s="18" t="n">
        <v>6923</v>
      </c>
      <c r="J3486" s="19" t="n">
        <v>7852.239674999999</v>
      </c>
      <c r="K3486" s="35" t="n">
        <v>0.065</v>
      </c>
    </row>
    <row r="3487">
      <c r="A3487" s="36" t="inlineStr">
        <is>
          <t>AGA SPK-tilskudd</t>
        </is>
      </c>
      <c r="B3487" s="36" t="inlineStr">
        <is>
          <t>Region Øst</t>
        </is>
      </c>
      <c r="C3487" s="36" t="inlineStr">
        <is>
          <t>Østfold ungdoms- og familiesenter - avdeling Fossen</t>
        </is>
      </c>
      <c r="D3487" s="26" t="n"/>
      <c r="E3487" s="26" t="n"/>
      <c r="F3487" s="26" t="n"/>
      <c r="G3487" s="26" t="n">
        <v>300</v>
      </c>
      <c r="H3487" s="26" t="n">
        <v>1101</v>
      </c>
      <c r="I3487" s="26" t="n">
        <v>260</v>
      </c>
      <c r="J3487" s="19" t="n">
        <v>294.8985</v>
      </c>
      <c r="K3487" s="37" t="n">
        <v>0.065</v>
      </c>
    </row>
    <row r="3488">
      <c r="A3488" s="34" t="inlineStr">
        <is>
          <t>AGA SPK-tilskudd</t>
        </is>
      </c>
      <c r="B3488" s="34" t="inlineStr">
        <is>
          <t>Region Øst</t>
        </is>
      </c>
      <c r="C3488" s="34" t="inlineStr">
        <is>
          <t>Østfold ungdoms- og familiesenter - avdeling Fossen</t>
        </is>
      </c>
      <c r="D3488" s="18" t="n"/>
      <c r="E3488" s="18" t="n"/>
      <c r="F3488" s="18" t="n"/>
      <c r="G3488" s="18" t="n">
        <v>-200</v>
      </c>
      <c r="H3488" s="18" t="n">
        <v>-4000</v>
      </c>
      <c r="I3488" s="18" t="n">
        <v>3200</v>
      </c>
      <c r="J3488" s="19" t="n">
        <v>3629.52</v>
      </c>
      <c r="K3488" s="35" t="n">
        <v>0.065</v>
      </c>
    </row>
    <row r="3489">
      <c r="A3489" s="36" t="inlineStr">
        <is>
          <t>AGA SPK-tilskudd</t>
        </is>
      </c>
      <c r="B3489" s="36" t="inlineStr">
        <is>
          <t>Region Øst</t>
        </is>
      </c>
      <c r="C3489" s="36" t="inlineStr">
        <is>
          <t>Østfold ungdoms- og familiesenter - avdeling Fossen</t>
        </is>
      </c>
      <c r="D3489" s="26" t="n"/>
      <c r="E3489" s="26" t="n"/>
      <c r="F3489" s="26" t="n"/>
      <c r="G3489" s="26" t="n"/>
      <c r="H3489" s="26" t="n">
        <v>-38120</v>
      </c>
      <c r="I3489" s="26" t="n">
        <v>-321665</v>
      </c>
      <c r="J3489" s="19" t="n">
        <v>-364840.4846249999</v>
      </c>
      <c r="K3489" s="37" t="n">
        <v>0.065</v>
      </c>
    </row>
    <row r="3490">
      <c r="A3490" s="34" t="inlineStr">
        <is>
          <t>AGA SPK-tilskudd</t>
        </is>
      </c>
      <c r="B3490" s="34" t="inlineStr">
        <is>
          <t>Region Øst</t>
        </is>
      </c>
      <c r="C3490" s="34" t="inlineStr">
        <is>
          <t>Østfold ungdoms- og familiesenter - avdeling Fossen</t>
        </is>
      </c>
      <c r="D3490" s="18" t="n"/>
      <c r="E3490" s="18" t="n"/>
      <c r="F3490" s="18" t="n"/>
      <c r="G3490" s="18" t="n"/>
      <c r="H3490" s="18" t="n">
        <v>-21532</v>
      </c>
      <c r="I3490" s="18" t="n">
        <v>-1157370</v>
      </c>
      <c r="J3490" s="19" t="n">
        <v>-1312717.98825</v>
      </c>
      <c r="K3490" s="35" t="n">
        <v>0.065</v>
      </c>
    </row>
    <row r="3491">
      <c r="A3491" s="36" t="inlineStr">
        <is>
          <t>AGA SPK-tilskudd</t>
        </is>
      </c>
      <c r="B3491" s="36" t="inlineStr">
        <is>
          <t>Region Øst</t>
        </is>
      </c>
      <c r="C3491" s="36" t="inlineStr">
        <is>
          <t>Østfold ungdoms- og familiesenter - omsorg, avdeling Alfheim ungdomshjem</t>
        </is>
      </c>
      <c r="D3491" s="26" t="n">
        <v>142562</v>
      </c>
      <c r="E3491" s="26" t="n">
        <v>143666</v>
      </c>
      <c r="F3491" s="26" t="n">
        <v>116651</v>
      </c>
      <c r="G3491" s="26" t="n">
        <v>132327</v>
      </c>
      <c r="H3491" s="26" t="n">
        <v>143794</v>
      </c>
      <c r="I3491" s="26" t="n">
        <v>144354</v>
      </c>
      <c r="J3491" s="19" t="n">
        <v>145077.0913311008</v>
      </c>
      <c r="K3491" s="37" t="n">
        <v>0.002501448082890878</v>
      </c>
    </row>
    <row r="3492">
      <c r="A3492" s="34" t="inlineStr">
        <is>
          <t>AGA SPK-tilskudd</t>
        </is>
      </c>
      <c r="B3492" s="34" t="inlineStr">
        <is>
          <t>Region Øst</t>
        </is>
      </c>
      <c r="C3492" s="34" t="inlineStr">
        <is>
          <t>Østfold ungdoms- og familiesenter - omsorg, avdeling Alfheim ungdomshjem</t>
        </is>
      </c>
      <c r="D3492" s="18" t="n">
        <v>141059</v>
      </c>
      <c r="E3492" s="18" t="n">
        <v>172545</v>
      </c>
      <c r="F3492" s="18" t="n">
        <v>201102</v>
      </c>
      <c r="G3492" s="18" t="n">
        <v>292907</v>
      </c>
      <c r="H3492" s="18" t="n">
        <v>167605</v>
      </c>
      <c r="I3492" s="18" t="n">
        <v>79221</v>
      </c>
      <c r="J3492" s="19" t="n">
        <v>62895.00093994562</v>
      </c>
      <c r="K3492" s="35" t="n">
        <v>-0.1089790736974837</v>
      </c>
    </row>
    <row r="3493">
      <c r="A3493" s="36" t="inlineStr">
        <is>
          <t>AGA SPK-tilskudd</t>
        </is>
      </c>
      <c r="B3493" s="36" t="inlineStr">
        <is>
          <t>Region Øst</t>
        </is>
      </c>
      <c r="C3493" s="36" t="inlineStr">
        <is>
          <t>Østfold ungdoms- og familiesenter - omsorg, avdeling Alfheim ungdomshjem</t>
        </is>
      </c>
      <c r="D3493" s="26" t="n">
        <v>18777</v>
      </c>
      <c r="E3493" s="26" t="n">
        <v>30071</v>
      </c>
      <c r="F3493" s="26" t="n">
        <v>42834</v>
      </c>
      <c r="G3493" s="26" t="n">
        <v>79099</v>
      </c>
      <c r="H3493" s="26" t="n">
        <v>80128</v>
      </c>
      <c r="I3493" s="26" t="n">
        <v>23719</v>
      </c>
      <c r="J3493" s="19" t="n">
        <v>26042.60612585165</v>
      </c>
      <c r="K3493" s="37" t="n">
        <v>0.04783773366622057</v>
      </c>
    </row>
    <row r="3494">
      <c r="A3494" s="34" t="inlineStr">
        <is>
          <t>AGA SPK-tilskudd</t>
        </is>
      </c>
      <c r="B3494" s="34" t="inlineStr">
        <is>
          <t>Region Øst</t>
        </is>
      </c>
      <c r="C3494" s="34" t="inlineStr">
        <is>
          <t>Østfold ungdoms- og familiesenter - omsorg, avdeling Alfheim ungdomshjem</t>
        </is>
      </c>
      <c r="D3494" s="18" t="n">
        <v>38100</v>
      </c>
      <c r="E3494" s="18" t="n">
        <v>38853</v>
      </c>
      <c r="F3494" s="18" t="n">
        <v>39366</v>
      </c>
      <c r="G3494" s="18" t="n">
        <v>57848</v>
      </c>
      <c r="H3494" s="18" t="n">
        <v>57575</v>
      </c>
      <c r="I3494" s="18" t="n">
        <v>72512</v>
      </c>
      <c r="J3494" s="19" t="n">
        <v>93800.21786974907</v>
      </c>
      <c r="K3494" s="35" t="n">
        <v>0.137357462904423</v>
      </c>
    </row>
    <row r="3495">
      <c r="A3495" s="36" t="inlineStr">
        <is>
          <t>AGA SPK-tilskudd</t>
        </is>
      </c>
      <c r="B3495" s="36" t="inlineStr">
        <is>
          <t>Region Øst</t>
        </is>
      </c>
      <c r="C3495" s="36" t="inlineStr">
        <is>
          <t>Østfold ungdoms- og familiesenter - omsorg, avdeling Alfheim ungdomshjem</t>
        </is>
      </c>
      <c r="D3495" s="26" t="n"/>
      <c r="E3495" s="26" t="n">
        <v>1261</v>
      </c>
      <c r="F3495" s="26" t="n"/>
      <c r="G3495" s="26" t="n">
        <v>10270</v>
      </c>
      <c r="H3495" s="26" t="n">
        <v>1622</v>
      </c>
      <c r="I3495" s="26" t="n"/>
      <c r="J3495" s="19" t="n">
        <v>0</v>
      </c>
      <c r="K3495" s="37" t="n">
        <v>0.065</v>
      </c>
    </row>
    <row r="3496">
      <c r="A3496" s="34" t="inlineStr">
        <is>
          <t>AGA SPK-tilskudd</t>
        </is>
      </c>
      <c r="B3496" s="34" t="inlineStr">
        <is>
          <t>Region Øst</t>
        </is>
      </c>
      <c r="C3496" s="34" t="inlineStr">
        <is>
          <t>Østfold ungdoms- og familiesenter - omsorg, avdeling Alfheim ungdomshjem</t>
        </is>
      </c>
      <c r="D3496" s="18" t="n">
        <v>1055</v>
      </c>
      <c r="E3496" s="18" t="n">
        <v>1938</v>
      </c>
      <c r="F3496" s="18" t="n">
        <v>4738</v>
      </c>
      <c r="G3496" s="18" t="n">
        <v>4613</v>
      </c>
      <c r="H3496" s="18" t="n">
        <v>3876</v>
      </c>
      <c r="I3496" s="18" t="n">
        <v>3421</v>
      </c>
      <c r="J3496" s="19" t="n">
        <v>5345.3125</v>
      </c>
      <c r="K3496" s="35" t="n">
        <v>0.25</v>
      </c>
    </row>
    <row r="3497">
      <c r="A3497" s="36" t="inlineStr">
        <is>
          <t>AGA SPK-tilskudd</t>
        </is>
      </c>
      <c r="B3497" s="36" t="inlineStr">
        <is>
          <t>Region Øst</t>
        </is>
      </c>
      <c r="C3497" s="36" t="inlineStr">
        <is>
          <t>Østfold ungdoms- og familiesenter - omsorg, avdeling Alfheim ungdomshjem</t>
        </is>
      </c>
      <c r="D3497" s="26" t="n">
        <v>4472</v>
      </c>
      <c r="E3497" s="26" t="n">
        <v>6498</v>
      </c>
      <c r="F3497" s="26" t="n">
        <v>4496</v>
      </c>
      <c r="G3497" s="26" t="n">
        <v>18954</v>
      </c>
      <c r="H3497" s="26" t="n">
        <v>11472</v>
      </c>
      <c r="I3497" s="26" t="n">
        <v>1147</v>
      </c>
      <c r="J3497" s="19" t="n">
        <v>665.5613088249193</v>
      </c>
      <c r="K3497" s="37" t="n">
        <v>-0.2382502425600485</v>
      </c>
    </row>
    <row r="3498">
      <c r="A3498" s="34" t="inlineStr">
        <is>
          <t>AGA SPK-tilskudd</t>
        </is>
      </c>
      <c r="B3498" s="34" t="inlineStr">
        <is>
          <t>Region Øst</t>
        </is>
      </c>
      <c r="C3498" s="34" t="inlineStr">
        <is>
          <t>Østfold ungdoms- og familiesenter - omsorg, avdeling Alfheim ungdomshjem</t>
        </is>
      </c>
      <c r="D3498" s="18" t="n">
        <v>8985</v>
      </c>
      <c r="E3498" s="18" t="n"/>
      <c r="F3498" s="18" t="n">
        <v>5960</v>
      </c>
      <c r="G3498" s="18" t="n">
        <v>1491</v>
      </c>
      <c r="H3498" s="18" t="n">
        <v>14067</v>
      </c>
      <c r="I3498" s="18" t="n">
        <v>15571</v>
      </c>
      <c r="J3498" s="19" t="n">
        <v>19401.52528096425</v>
      </c>
      <c r="K3498" s="35" t="n">
        <v>0.1162454063238896</v>
      </c>
    </row>
    <row r="3499">
      <c r="A3499" s="36" t="inlineStr">
        <is>
          <t>AGA SPK-tilskudd</t>
        </is>
      </c>
      <c r="B3499" s="36" t="inlineStr">
        <is>
          <t>Region Øst</t>
        </is>
      </c>
      <c r="C3499" s="36" t="inlineStr">
        <is>
          <t>Østfold ungdoms- og familiesenter - omsorg, avdeling Alfheim ungdomshjem</t>
        </is>
      </c>
      <c r="D3499" s="26" t="n">
        <v>11097</v>
      </c>
      <c r="E3499" s="26" t="n">
        <v>6825</v>
      </c>
      <c r="F3499" s="26" t="n">
        <v>2619</v>
      </c>
      <c r="G3499" s="26" t="n">
        <v>7148</v>
      </c>
      <c r="H3499" s="26" t="n">
        <v>519</v>
      </c>
      <c r="I3499" s="26" t="n">
        <v>12168</v>
      </c>
      <c r="J3499" s="19" t="n">
        <v>12624.80407630406</v>
      </c>
      <c r="K3499" s="37" t="n">
        <v>0.01859777458485667</v>
      </c>
    </row>
    <row r="3500">
      <c r="A3500" s="34" t="inlineStr">
        <is>
          <t>AGA SPK-tilskudd</t>
        </is>
      </c>
      <c r="B3500" s="34" t="inlineStr">
        <is>
          <t>Region Øst</t>
        </is>
      </c>
      <c r="C3500" s="34" t="inlineStr">
        <is>
          <t>Østfold ungdoms- og familiesenter - omsorg, avdeling Alfheim ungdomshjem</t>
        </is>
      </c>
      <c r="D3500" s="18" t="n">
        <v>1535</v>
      </c>
      <c r="E3500" s="18" t="n">
        <v>2214</v>
      </c>
      <c r="F3500" s="18" t="n">
        <v>1628</v>
      </c>
      <c r="G3500" s="18" t="n">
        <v>6621</v>
      </c>
      <c r="H3500" s="18" t="n">
        <v>5226</v>
      </c>
      <c r="I3500" s="18" t="n">
        <v>1926</v>
      </c>
      <c r="J3500" s="19" t="n">
        <v>2108.99448457995</v>
      </c>
      <c r="K3500" s="35" t="n">
        <v>0.04642855114830136</v>
      </c>
    </row>
    <row r="3501">
      <c r="A3501" s="36" t="inlineStr">
        <is>
          <t>AGA SPK-tilskudd</t>
        </is>
      </c>
      <c r="B3501" s="36" t="inlineStr">
        <is>
          <t>Region Øst</t>
        </is>
      </c>
      <c r="C3501" s="36" t="inlineStr">
        <is>
          <t>Østfold ungdoms- og familiesenter - omsorg, avdeling Alfheim ungdomshjem</t>
        </is>
      </c>
      <c r="D3501" s="26" t="n">
        <v>1840</v>
      </c>
      <c r="E3501" s="26" t="n"/>
      <c r="F3501" s="26" t="n"/>
      <c r="G3501" s="26" t="n">
        <v>2843</v>
      </c>
      <c r="H3501" s="26" t="n"/>
      <c r="I3501" s="26" t="n"/>
      <c r="J3501" s="19" t="n">
        <v>0</v>
      </c>
      <c r="K3501" s="37" t="n">
        <v>0.065</v>
      </c>
    </row>
    <row r="3502">
      <c r="A3502" s="34" t="inlineStr">
        <is>
          <t>AGA SPK-tilskudd</t>
        </is>
      </c>
      <c r="B3502" s="34" t="inlineStr">
        <is>
          <t>Region Øst</t>
        </is>
      </c>
      <c r="C3502" s="34" t="inlineStr">
        <is>
          <t>Østfold ungdoms- og familiesenter - omsorg, avdeling Alfheim ungdomshjem</t>
        </is>
      </c>
      <c r="D3502" s="18" t="n"/>
      <c r="E3502" s="18" t="n"/>
      <c r="F3502" s="18" t="n"/>
      <c r="G3502" s="18" t="n"/>
      <c r="H3502" s="18" t="n">
        <v>-38031</v>
      </c>
      <c r="I3502" s="18" t="n">
        <v>-76203</v>
      </c>
      <c r="J3502" s="19" t="n">
        <v>-86431.34767499998</v>
      </c>
      <c r="K3502" s="35" t="n">
        <v>0.065</v>
      </c>
    </row>
    <row r="3503">
      <c r="A3503" s="36" t="inlineStr">
        <is>
          <t>AGA SPK-tilskudd</t>
        </is>
      </c>
      <c r="B3503" s="36" t="inlineStr">
        <is>
          <t>Region Øst</t>
        </is>
      </c>
      <c r="C3503" s="36" t="inlineStr">
        <is>
          <t>Østfold ungdoms- og familiesenter - omsorg, avdeling Alfheim ungdomshjem</t>
        </is>
      </c>
      <c r="D3503" s="26" t="n">
        <v>2264</v>
      </c>
      <c r="E3503" s="26" t="n">
        <v>861</v>
      </c>
      <c r="F3503" s="26" t="n">
        <v>572</v>
      </c>
      <c r="G3503" s="26" t="n">
        <v>6139</v>
      </c>
      <c r="H3503" s="26" t="n"/>
      <c r="I3503" s="26" t="n">
        <v>356</v>
      </c>
      <c r="J3503" s="19" t="n">
        <v>200.25</v>
      </c>
      <c r="K3503" s="37" t="n">
        <v>-0.25</v>
      </c>
    </row>
    <row r="3504">
      <c r="A3504" s="34" t="inlineStr">
        <is>
          <t>AGA SPK-tilskudd</t>
        </is>
      </c>
      <c r="B3504" s="34" t="inlineStr">
        <is>
          <t>Region Øst</t>
        </is>
      </c>
      <c r="C3504" s="34" t="inlineStr">
        <is>
          <t>Østfold ungdoms- og familiesenter - omsorg, avdeling Alfheim ungdomshjem</t>
        </is>
      </c>
      <c r="D3504" s="18" t="n"/>
      <c r="E3504" s="18" t="n"/>
      <c r="F3504" s="18" t="n"/>
      <c r="G3504" s="18" t="n"/>
      <c r="H3504" s="18" t="n">
        <v>-76970</v>
      </c>
      <c r="I3504" s="18" t="n">
        <v>-153940</v>
      </c>
      <c r="J3504" s="19" t="n">
        <v>-174602.5965</v>
      </c>
      <c r="K3504" s="35" t="n">
        <v>0.065</v>
      </c>
    </row>
    <row r="3505">
      <c r="A3505" s="36" t="inlineStr">
        <is>
          <t>AGA SPK-tilskudd</t>
        </is>
      </c>
      <c r="B3505" s="36" t="inlineStr">
        <is>
          <t>Region Øst</t>
        </is>
      </c>
      <c r="C3505" s="36" t="inlineStr">
        <is>
          <t>Østfold ungdoms- og familiesenter - omsorg, avdeling Alfheim ungdomshjem</t>
        </is>
      </c>
      <c r="D3505" s="26" t="n"/>
      <c r="E3505" s="26" t="n"/>
      <c r="F3505" s="26" t="n"/>
      <c r="G3505" s="26" t="n"/>
      <c r="H3505" s="26" t="n"/>
      <c r="I3505" s="26" t="n">
        <v>-5000</v>
      </c>
      <c r="J3505" s="19" t="n">
        <v>-5671.124999999999</v>
      </c>
      <c r="K3505" s="37" t="n">
        <v>0.065</v>
      </c>
    </row>
    <row r="3506">
      <c r="A3506" s="34" t="inlineStr">
        <is>
          <t>AGA SPK-tilskudd</t>
        </is>
      </c>
      <c r="B3506" s="34" t="inlineStr">
        <is>
          <t>Region Øst</t>
        </is>
      </c>
      <c r="C3506" s="34" t="inlineStr">
        <is>
          <t>Østfold ungdoms- og familiesenter - omsorg, avdeling Alfheim ungdomshjem</t>
        </is>
      </c>
      <c r="D3506" s="18" t="n">
        <v>-275518</v>
      </c>
      <c r="E3506" s="18" t="n">
        <v>-740896</v>
      </c>
      <c r="F3506" s="18" t="n">
        <v>-844009</v>
      </c>
      <c r="G3506" s="18" t="n">
        <v>-80510</v>
      </c>
      <c r="H3506" s="18" t="n"/>
      <c r="I3506" s="18" t="n">
        <v>-161500</v>
      </c>
      <c r="J3506" s="19" t="n">
        <v>-183177.3375</v>
      </c>
      <c r="K3506" s="35" t="n">
        <v>0.065</v>
      </c>
    </row>
    <row r="3507">
      <c r="A3507" s="36" t="inlineStr">
        <is>
          <t>AGA SPK-tilskudd</t>
        </is>
      </c>
      <c r="B3507" s="36" t="inlineStr">
        <is>
          <t>Region Øst</t>
        </is>
      </c>
      <c r="C3507" s="36" t="inlineStr">
        <is>
          <t>Østfold ungdoms- og familiesenter - omsorg, avdeling Alfheim ungdomshjem</t>
        </is>
      </c>
      <c r="D3507" s="26" t="n">
        <v>-187673</v>
      </c>
      <c r="E3507" s="26" t="n">
        <v>-655722</v>
      </c>
      <c r="F3507" s="26" t="n">
        <v>-878505</v>
      </c>
      <c r="G3507" s="26" t="n">
        <v>-767997</v>
      </c>
      <c r="H3507" s="26" t="n">
        <v>-456549</v>
      </c>
      <c r="I3507" s="26" t="n">
        <v>-657507</v>
      </c>
      <c r="J3507" s="19" t="n">
        <v>-745760.8770749999</v>
      </c>
      <c r="K3507" s="37" t="n">
        <v>0.065</v>
      </c>
    </row>
    <row r="3508">
      <c r="A3508" s="34" t="inlineStr">
        <is>
          <t>AGA SPK-tilskudd</t>
        </is>
      </c>
      <c r="B3508" s="34" t="inlineStr">
        <is>
          <t>Region Øst</t>
        </is>
      </c>
      <c r="C3508" s="34" t="inlineStr">
        <is>
          <t>Østfold ungdoms- og familiesenter - omsorg, avdeling Dal</t>
        </is>
      </c>
      <c r="D3508" s="18" t="n">
        <v>7801</v>
      </c>
      <c r="E3508" s="18" t="n">
        <v>88906</v>
      </c>
      <c r="F3508" s="18" t="n">
        <v>68051</v>
      </c>
      <c r="G3508" s="18" t="n">
        <v>123335</v>
      </c>
      <c r="H3508" s="18" t="n">
        <v>155299</v>
      </c>
      <c r="I3508" s="18" t="n">
        <v>142356</v>
      </c>
      <c r="J3508" s="19" t="n">
        <v>222431.25</v>
      </c>
      <c r="K3508" s="35" t="n">
        <v>0.25</v>
      </c>
    </row>
    <row r="3509">
      <c r="A3509" s="36" t="inlineStr">
        <is>
          <t>AGA SPK-tilskudd</t>
        </is>
      </c>
      <c r="B3509" s="36" t="inlineStr">
        <is>
          <t>Region Øst</t>
        </is>
      </c>
      <c r="C3509" s="36" t="inlineStr">
        <is>
          <t>Østfold ungdoms- og familiesenter - omsorg, avdeling Dal</t>
        </is>
      </c>
      <c r="D3509" s="26" t="n"/>
      <c r="E3509" s="26" t="n"/>
      <c r="F3509" s="26" t="n">
        <v>76751</v>
      </c>
      <c r="G3509" s="26" t="n">
        <v>86696</v>
      </c>
      <c r="H3509" s="26" t="n">
        <v>405722</v>
      </c>
      <c r="I3509" s="26" t="n">
        <v>149022</v>
      </c>
      <c r="J3509" s="19" t="n">
        <v>169024.47795</v>
      </c>
      <c r="K3509" s="37" t="n">
        <v>0.065</v>
      </c>
    </row>
    <row r="3510">
      <c r="A3510" s="34" t="inlineStr">
        <is>
          <t>AGA SPK-tilskudd</t>
        </is>
      </c>
      <c r="B3510" s="34" t="inlineStr">
        <is>
          <t>Region Øst</t>
        </is>
      </c>
      <c r="C3510" s="34" t="inlineStr">
        <is>
          <t>Østfold ungdoms- og familiesenter - omsorg, avdeling Dal</t>
        </is>
      </c>
      <c r="D3510" s="18" t="n"/>
      <c r="E3510" s="18" t="n">
        <v>6529</v>
      </c>
      <c r="F3510" s="18" t="n">
        <v>17526</v>
      </c>
      <c r="G3510" s="18" t="n">
        <v>37749</v>
      </c>
      <c r="H3510" s="18" t="n">
        <v>23554</v>
      </c>
      <c r="I3510" s="18" t="n">
        <v>29834</v>
      </c>
      <c r="J3510" s="19" t="n">
        <v>46615.625</v>
      </c>
      <c r="K3510" s="35" t="n">
        <v>0.25</v>
      </c>
    </row>
    <row r="3511">
      <c r="A3511" s="36" t="inlineStr">
        <is>
          <t>AGA SPK-tilskudd</t>
        </is>
      </c>
      <c r="B3511" s="36" t="inlineStr">
        <is>
          <t>Region Øst</t>
        </is>
      </c>
      <c r="C3511" s="36" t="inlineStr">
        <is>
          <t>Østfold ungdoms- og familiesenter - omsorg, avdeling Dal</t>
        </is>
      </c>
      <c r="D3511" s="26" t="n">
        <v>900</v>
      </c>
      <c r="E3511" s="26" t="n">
        <v>15031</v>
      </c>
      <c r="F3511" s="26" t="n">
        <v>14908</v>
      </c>
      <c r="G3511" s="26" t="n">
        <v>35843</v>
      </c>
      <c r="H3511" s="26" t="n">
        <v>55084</v>
      </c>
      <c r="I3511" s="26" t="n">
        <v>57524</v>
      </c>
      <c r="J3511" s="19" t="n">
        <v>89881.25</v>
      </c>
      <c r="K3511" s="37" t="n">
        <v>0.25</v>
      </c>
    </row>
    <row r="3512">
      <c r="A3512" s="34" t="inlineStr">
        <is>
          <t>AGA SPK-tilskudd</t>
        </is>
      </c>
      <c r="B3512" s="34" t="inlineStr">
        <is>
          <t>Region Øst</t>
        </is>
      </c>
      <c r="C3512" s="34" t="inlineStr">
        <is>
          <t>Østfold ungdoms- og familiesenter - omsorg, avdeling Dal</t>
        </is>
      </c>
      <c r="D3512" s="18" t="n"/>
      <c r="E3512" s="18" t="n">
        <v>1261</v>
      </c>
      <c r="F3512" s="18" t="n"/>
      <c r="G3512" s="18" t="n"/>
      <c r="H3512" s="18" t="n"/>
      <c r="I3512" s="18" t="n"/>
      <c r="J3512" s="19" t="n">
        <v>0</v>
      </c>
      <c r="K3512" s="35" t="n">
        <v>0.065</v>
      </c>
    </row>
    <row r="3513">
      <c r="A3513" s="36" t="inlineStr">
        <is>
          <t>AGA SPK-tilskudd</t>
        </is>
      </c>
      <c r="B3513" s="36" t="inlineStr">
        <is>
          <t>Region Øst</t>
        </is>
      </c>
      <c r="C3513" s="36" t="inlineStr">
        <is>
          <t>Østfold ungdoms- og familiesenter - omsorg, avdeling Dal</t>
        </is>
      </c>
      <c r="D3513" s="26" t="n"/>
      <c r="E3513" s="26" t="n">
        <v>693</v>
      </c>
      <c r="F3513" s="26" t="n">
        <v>53</v>
      </c>
      <c r="G3513" s="26" t="n">
        <v>5097</v>
      </c>
      <c r="H3513" s="26" t="n">
        <v>5625</v>
      </c>
      <c r="I3513" s="26" t="n">
        <v>1089</v>
      </c>
      <c r="J3513" s="19" t="n">
        <v>1365.133745410003</v>
      </c>
      <c r="K3513" s="37" t="n">
        <v>0.1196277689732501</v>
      </c>
    </row>
    <row r="3514">
      <c r="A3514" s="34" t="inlineStr">
        <is>
          <t>AGA SPK-tilskudd</t>
        </is>
      </c>
      <c r="B3514" s="34" t="inlineStr">
        <is>
          <t>Region Øst</t>
        </is>
      </c>
      <c r="C3514" s="34" t="inlineStr">
        <is>
          <t>Østfold ungdoms- og familiesenter - omsorg, avdeling Dal</t>
        </is>
      </c>
      <c r="D3514" s="18" t="n"/>
      <c r="E3514" s="18" t="n">
        <v>880</v>
      </c>
      <c r="F3514" s="18" t="n">
        <v>2242</v>
      </c>
      <c r="G3514" s="18" t="n">
        <v>4607</v>
      </c>
      <c r="H3514" s="18" t="n"/>
      <c r="I3514" s="18" t="n">
        <v>3858</v>
      </c>
      <c r="J3514" s="19" t="n">
        <v>6028.125</v>
      </c>
      <c r="K3514" s="35" t="n">
        <v>0.25</v>
      </c>
    </row>
    <row r="3515">
      <c r="A3515" s="36" t="inlineStr">
        <is>
          <t>AGA SPK-tilskudd</t>
        </is>
      </c>
      <c r="B3515" s="36" t="inlineStr">
        <is>
          <t>Region Øst</t>
        </is>
      </c>
      <c r="C3515" s="36" t="inlineStr">
        <is>
          <t>Østfold ungdoms- og familiesenter - omsorg, avdeling Dal</t>
        </is>
      </c>
      <c r="D3515" s="26" t="n">
        <v>4266</v>
      </c>
      <c r="E3515" s="26" t="n"/>
      <c r="F3515" s="26" t="n">
        <v>3278</v>
      </c>
      <c r="G3515" s="26" t="n"/>
      <c r="H3515" s="26" t="n">
        <v>9666</v>
      </c>
      <c r="I3515" s="26" t="n">
        <v>14668</v>
      </c>
      <c r="J3515" s="19" t="n">
        <v>22918.75</v>
      </c>
      <c r="K3515" s="37" t="n">
        <v>0.25</v>
      </c>
    </row>
    <row r="3516">
      <c r="A3516" s="34" t="inlineStr">
        <is>
          <t>AGA SPK-tilskudd</t>
        </is>
      </c>
      <c r="B3516" s="34" t="inlineStr">
        <is>
          <t>Region Øst</t>
        </is>
      </c>
      <c r="C3516" s="34" t="inlineStr">
        <is>
          <t>Østfold ungdoms- og familiesenter - omsorg, avdeling Dal</t>
        </is>
      </c>
      <c r="D3516" s="18" t="n">
        <v>2437</v>
      </c>
      <c r="E3516" s="18" t="n">
        <v>2966</v>
      </c>
      <c r="F3516" s="18" t="n">
        <v>5177</v>
      </c>
      <c r="G3516" s="18" t="n">
        <v>2054</v>
      </c>
      <c r="H3516" s="18" t="n">
        <v>10576</v>
      </c>
      <c r="I3516" s="18" t="n">
        <v>4787</v>
      </c>
      <c r="J3516" s="19" t="n">
        <v>6271.141307015883</v>
      </c>
      <c r="K3516" s="35" t="n">
        <v>0.1445679472542198</v>
      </c>
    </row>
    <row r="3517">
      <c r="A3517" s="36" t="inlineStr">
        <is>
          <t>AGA SPK-tilskudd</t>
        </is>
      </c>
      <c r="B3517" s="36" t="inlineStr">
        <is>
          <t>Region Øst</t>
        </is>
      </c>
      <c r="C3517" s="36" t="inlineStr">
        <is>
          <t>Østfold ungdoms- og familiesenter - omsorg, avdeling Dal</t>
        </is>
      </c>
      <c r="D3517" s="26" t="n"/>
      <c r="E3517" s="26" t="n">
        <v>618</v>
      </c>
      <c r="F3517" s="26" t="n">
        <v>627</v>
      </c>
      <c r="G3517" s="26" t="n">
        <v>2355</v>
      </c>
      <c r="H3517" s="26" t="n">
        <v>2924</v>
      </c>
      <c r="I3517" s="26" t="n">
        <v>2359</v>
      </c>
      <c r="J3517" s="19" t="n">
        <v>3685.9375</v>
      </c>
      <c r="K3517" s="37" t="n">
        <v>0.25</v>
      </c>
    </row>
    <row r="3518">
      <c r="A3518" s="34" t="inlineStr">
        <is>
          <t>AGA SPK-tilskudd</t>
        </is>
      </c>
      <c r="B3518" s="34" t="inlineStr">
        <is>
          <t>Region Øst</t>
        </is>
      </c>
      <c r="C3518" s="34" t="inlineStr">
        <is>
          <t>Østfold ungdoms- og familiesenter - omsorg, avdeling Dal</t>
        </is>
      </c>
      <c r="D3518" s="18" t="n"/>
      <c r="E3518" s="18" t="n"/>
      <c r="F3518" s="18" t="n"/>
      <c r="G3518" s="18" t="n">
        <v>2390</v>
      </c>
      <c r="H3518" s="18" t="n"/>
      <c r="I3518" s="18" t="n"/>
      <c r="J3518" s="19" t="n">
        <v>0</v>
      </c>
      <c r="K3518" s="35" t="n">
        <v>0.065</v>
      </c>
    </row>
    <row r="3519">
      <c r="A3519" s="36" t="inlineStr">
        <is>
          <t>AGA SPK-tilskudd</t>
        </is>
      </c>
      <c r="B3519" s="36" t="inlineStr">
        <is>
          <t>Region Øst</t>
        </is>
      </c>
      <c r="C3519" s="36" t="inlineStr">
        <is>
          <t>Østfold ungdoms- og familiesenter - omsorg, avdeling Dal</t>
        </is>
      </c>
      <c r="D3519" s="26" t="n"/>
      <c r="E3519" s="26" t="n"/>
      <c r="F3519" s="26" t="n"/>
      <c r="G3519" s="26" t="n">
        <v>-2390</v>
      </c>
      <c r="H3519" s="26" t="n"/>
      <c r="I3519" s="26" t="n"/>
      <c r="J3519" s="19" t="n">
        <v>0</v>
      </c>
      <c r="K3519" s="37" t="n">
        <v>0.065</v>
      </c>
    </row>
    <row r="3520">
      <c r="A3520" s="34" t="inlineStr">
        <is>
          <t>AGA SPK-tilskudd</t>
        </is>
      </c>
      <c r="B3520" s="34" t="inlineStr">
        <is>
          <t>Region Øst</t>
        </is>
      </c>
      <c r="C3520" s="34" t="inlineStr">
        <is>
          <t>Østfold ungdoms- og familiesenter - omsorg, avdeling Dal</t>
        </is>
      </c>
      <c r="D3520" s="18" t="n"/>
      <c r="E3520" s="18" t="n">
        <v>199</v>
      </c>
      <c r="F3520" s="18" t="n">
        <v>2554</v>
      </c>
      <c r="G3520" s="18" t="n">
        <v>2583</v>
      </c>
      <c r="H3520" s="18" t="n">
        <v>-2400</v>
      </c>
      <c r="I3520" s="18" t="n">
        <v>2400</v>
      </c>
      <c r="J3520" s="19" t="n">
        <v>3750</v>
      </c>
      <c r="K3520" s="35" t="n">
        <v>0.25</v>
      </c>
    </row>
    <row r="3521">
      <c r="A3521" s="36" t="inlineStr">
        <is>
          <t>AGA SPK-tilskudd</t>
        </is>
      </c>
      <c r="B3521" s="36" t="inlineStr">
        <is>
          <t>Region Øst</t>
        </is>
      </c>
      <c r="C3521" s="36" t="inlineStr">
        <is>
          <t>Østfold ungdoms- og familiesenter - omsorg, avdeling Dal</t>
        </is>
      </c>
      <c r="D3521" s="26" t="n"/>
      <c r="E3521" s="26" t="n">
        <v>-184125</v>
      </c>
      <c r="F3521" s="26" t="n"/>
      <c r="G3521" s="26" t="n"/>
      <c r="H3521" s="26" t="n">
        <v>-284940</v>
      </c>
      <c r="I3521" s="26" t="n">
        <v>-133254</v>
      </c>
      <c r="J3521" s="19" t="n">
        <v>-151140.01815</v>
      </c>
      <c r="K3521" s="37" t="n">
        <v>0.065</v>
      </c>
    </row>
    <row r="3522">
      <c r="A3522" s="34" t="inlineStr">
        <is>
          <t>AGA SPK-tilskudd</t>
        </is>
      </c>
      <c r="B3522" s="34" t="inlineStr">
        <is>
          <t>Region Øst</t>
        </is>
      </c>
      <c r="C3522" s="34" t="inlineStr">
        <is>
          <t>Østfold ungdoms- og familiesenter - omsorg, avdeling Dal</t>
        </is>
      </c>
      <c r="D3522" s="18" t="n"/>
      <c r="E3522" s="18" t="n">
        <v>-9986</v>
      </c>
      <c r="F3522" s="18" t="n">
        <v>-150261</v>
      </c>
      <c r="G3522" s="18" t="n">
        <v>-309907</v>
      </c>
      <c r="H3522" s="18" t="n">
        <v>-1319283</v>
      </c>
      <c r="I3522" s="18" t="n">
        <v>-943897</v>
      </c>
      <c r="J3522" s="19" t="n">
        <v>-1070591.574825</v>
      </c>
      <c r="K3522" s="35" t="n">
        <v>0.065</v>
      </c>
    </row>
    <row r="3523">
      <c r="A3523" s="36" t="inlineStr">
        <is>
          <t>AGA SPK-tilskudd</t>
        </is>
      </c>
      <c r="B3523" s="36" t="inlineStr">
        <is>
          <t>Region Øst</t>
        </is>
      </c>
      <c r="C3523" s="36" t="inlineStr">
        <is>
          <t>Østfold ungdoms- og familiesenter - omsorg, avdeling Rokkeveien ungdomshjem</t>
        </is>
      </c>
      <c r="D3523" s="26" t="n">
        <v>140161</v>
      </c>
      <c r="E3523" s="26" t="n">
        <v>131249</v>
      </c>
      <c r="F3523" s="26" t="n">
        <v>129936</v>
      </c>
      <c r="G3523" s="26" t="n">
        <v>137304</v>
      </c>
      <c r="H3523" s="26" t="n">
        <v>146499</v>
      </c>
      <c r="I3523" s="26" t="n">
        <v>144432</v>
      </c>
      <c r="J3523" s="19" t="n">
        <v>146176.6215531267</v>
      </c>
      <c r="K3523" s="37" t="n">
        <v>0.006021465915425184</v>
      </c>
    </row>
    <row r="3524">
      <c r="A3524" s="34" t="inlineStr">
        <is>
          <t>AGA SPK-tilskudd</t>
        </is>
      </c>
      <c r="B3524" s="34" t="inlineStr">
        <is>
          <t>Region Øst</t>
        </is>
      </c>
      <c r="C3524" s="34" t="inlineStr">
        <is>
          <t>Østfold ungdoms- og familiesenter - omsorg, avdeling Rokkeveien ungdomshjem</t>
        </is>
      </c>
      <c r="D3524" s="18" t="n">
        <v>111268</v>
      </c>
      <c r="E3524" s="18" t="n">
        <v>12193</v>
      </c>
      <c r="F3524" s="18" t="n">
        <v>67157</v>
      </c>
      <c r="G3524" s="18" t="n">
        <v>148232</v>
      </c>
      <c r="H3524" s="18" t="n">
        <v>171738</v>
      </c>
      <c r="I3524" s="18" t="n">
        <v>308995</v>
      </c>
      <c r="J3524" s="19" t="n">
        <v>464926.092208327</v>
      </c>
      <c r="K3524" s="35" t="n">
        <v>0.2266374900752917</v>
      </c>
    </row>
    <row r="3525">
      <c r="A3525" s="36" t="inlineStr">
        <is>
          <t>AGA SPK-tilskudd</t>
        </is>
      </c>
      <c r="B3525" s="36" t="inlineStr">
        <is>
          <t>Region Øst</t>
        </is>
      </c>
      <c r="C3525" s="36" t="inlineStr">
        <is>
          <t>Østfold ungdoms- og familiesenter - omsorg, avdeling Rokkeveien ungdomshjem</t>
        </is>
      </c>
      <c r="D3525" s="26" t="n">
        <v>24699</v>
      </c>
      <c r="E3525" s="26" t="n">
        <v>10132</v>
      </c>
      <c r="F3525" s="26" t="n">
        <v>20189</v>
      </c>
      <c r="G3525" s="26" t="n">
        <v>18299</v>
      </c>
      <c r="H3525" s="26" t="n">
        <v>29049</v>
      </c>
      <c r="I3525" s="26" t="n">
        <v>13578</v>
      </c>
      <c r="J3525" s="19" t="n">
        <v>10688.04756858025</v>
      </c>
      <c r="K3525" s="37" t="n">
        <v>-0.1127800743954369</v>
      </c>
    </row>
    <row r="3526">
      <c r="A3526" s="34" t="inlineStr">
        <is>
          <t>AGA SPK-tilskudd</t>
        </is>
      </c>
      <c r="B3526" s="34" t="inlineStr">
        <is>
          <t>Region Øst</t>
        </is>
      </c>
      <c r="C3526" s="34" t="inlineStr">
        <is>
          <t>Østfold ungdoms- og familiesenter - omsorg, avdeling Rokkeveien ungdomshjem</t>
        </is>
      </c>
      <c r="D3526" s="18" t="n">
        <v>36900</v>
      </c>
      <c r="E3526" s="18" t="n">
        <v>37210</v>
      </c>
      <c r="F3526" s="18" t="n">
        <v>40491</v>
      </c>
      <c r="G3526" s="18" t="n">
        <v>57348</v>
      </c>
      <c r="H3526" s="18" t="n">
        <v>63415</v>
      </c>
      <c r="I3526" s="18" t="n">
        <v>67039</v>
      </c>
      <c r="J3526" s="19" t="n">
        <v>85123.2098864185</v>
      </c>
      <c r="K3526" s="35" t="n">
        <v>0.1268347518249038</v>
      </c>
    </row>
    <row r="3527">
      <c r="A3527" s="36" t="inlineStr">
        <is>
          <t>AGA SPK-tilskudd</t>
        </is>
      </c>
      <c r="B3527" s="36" t="inlineStr">
        <is>
          <t>Region Øst</t>
        </is>
      </c>
      <c r="C3527" s="36" t="inlineStr">
        <is>
          <t>Østfold ungdoms- og familiesenter - omsorg, avdeling Rokkeveien ungdomshjem</t>
        </is>
      </c>
      <c r="D3527" s="26" t="n"/>
      <c r="E3527" s="26" t="n">
        <v>1261</v>
      </c>
      <c r="F3527" s="26" t="n"/>
      <c r="G3527" s="26" t="n"/>
      <c r="H3527" s="26" t="n"/>
      <c r="I3527" s="26" t="n">
        <v>7927</v>
      </c>
      <c r="J3527" s="19" t="n">
        <v>12385.9375</v>
      </c>
      <c r="K3527" s="37" t="n">
        <v>0.25</v>
      </c>
    </row>
    <row r="3528">
      <c r="A3528" s="34" t="inlineStr">
        <is>
          <t>AGA SPK-tilskudd</t>
        </is>
      </c>
      <c r="B3528" s="34" t="inlineStr">
        <is>
          <t>Region Øst</t>
        </is>
      </c>
      <c r="C3528" s="34" t="inlineStr">
        <is>
          <t>Østfold ungdoms- og familiesenter - omsorg, avdeling Rokkeveien ungdomshjem</t>
        </is>
      </c>
      <c r="D3528" s="18" t="n"/>
      <c r="E3528" s="18" t="n"/>
      <c r="F3528" s="18" t="n">
        <v>7089</v>
      </c>
      <c r="G3528" s="18" t="n">
        <v>10071</v>
      </c>
      <c r="H3528" s="18" t="n">
        <v>1609</v>
      </c>
      <c r="I3528" s="18" t="n">
        <v>2900</v>
      </c>
      <c r="J3528" s="19" t="n">
        <v>3289.2525</v>
      </c>
      <c r="K3528" s="35" t="n">
        <v>0.065</v>
      </c>
    </row>
    <row r="3529">
      <c r="A3529" s="36" t="inlineStr">
        <is>
          <t>AGA SPK-tilskudd</t>
        </is>
      </c>
      <c r="B3529" s="36" t="inlineStr">
        <is>
          <t>Region Øst</t>
        </is>
      </c>
      <c r="C3529" s="36" t="inlineStr">
        <is>
          <t>Østfold ungdoms- og familiesenter - omsorg, avdeling Rokkeveien ungdomshjem</t>
        </is>
      </c>
      <c r="D3529" s="26" t="n"/>
      <c r="E3529" s="26" t="n">
        <v>758</v>
      </c>
      <c r="F3529" s="26" t="n">
        <v>3042</v>
      </c>
      <c r="G3529" s="26" t="n">
        <v>5160</v>
      </c>
      <c r="H3529" s="26" t="n">
        <v>1643</v>
      </c>
      <c r="I3529" s="26" t="n">
        <v>1475</v>
      </c>
      <c r="J3529" s="19" t="n">
        <v>2057.564355056213</v>
      </c>
      <c r="K3529" s="37" t="n">
        <v>0.1810837755146215</v>
      </c>
    </row>
    <row r="3530">
      <c r="A3530" s="34" t="inlineStr">
        <is>
          <t>AGA SPK-tilskudd</t>
        </is>
      </c>
      <c r="B3530" s="34" t="inlineStr">
        <is>
          <t>Region Øst</t>
        </is>
      </c>
      <c r="C3530" s="34" t="inlineStr">
        <is>
          <t>Østfold ungdoms- og familiesenter - omsorg, avdeling Rokkeveien ungdomshjem</t>
        </is>
      </c>
      <c r="D3530" s="18" t="n">
        <v>7005</v>
      </c>
      <c r="E3530" s="18" t="n"/>
      <c r="F3530" s="18" t="n">
        <v>6556</v>
      </c>
      <c r="G3530" s="18" t="n">
        <v>4277</v>
      </c>
      <c r="H3530" s="18" t="n">
        <v>10956</v>
      </c>
      <c r="I3530" s="18" t="n">
        <v>14506</v>
      </c>
      <c r="J3530" s="19" t="n">
        <v>19409.01459137203</v>
      </c>
      <c r="K3530" s="35" t="n">
        <v>0.1567190997167491</v>
      </c>
    </row>
    <row r="3531">
      <c r="A3531" s="36" t="inlineStr">
        <is>
          <t>AGA SPK-tilskudd</t>
        </is>
      </c>
      <c r="B3531" s="36" t="inlineStr">
        <is>
          <t>Region Øst</t>
        </is>
      </c>
      <c r="C3531" s="36" t="inlineStr">
        <is>
          <t>Østfold ungdoms- og familiesenter - omsorg, avdeling Rokkeveien ungdomshjem</t>
        </is>
      </c>
      <c r="D3531" s="26" t="n">
        <v>5621</v>
      </c>
      <c r="E3531" s="26" t="n">
        <v>8097</v>
      </c>
      <c r="F3531" s="26" t="n">
        <v>5360</v>
      </c>
      <c r="G3531" s="26" t="n">
        <v>239</v>
      </c>
      <c r="H3531" s="26" t="n">
        <v>7655</v>
      </c>
      <c r="I3531" s="26" t="n">
        <v>5874</v>
      </c>
      <c r="J3531" s="19" t="n">
        <v>5978.360295455601</v>
      </c>
      <c r="K3531" s="37" t="n">
        <v>0.008844129995859484</v>
      </c>
    </row>
    <row r="3532">
      <c r="A3532" s="34" t="inlineStr">
        <is>
          <t>AGA SPK-tilskudd</t>
        </is>
      </c>
      <c r="B3532" s="34" t="inlineStr">
        <is>
          <t>Region Øst</t>
        </is>
      </c>
      <c r="C3532" s="34" t="inlineStr">
        <is>
          <t>Østfold ungdoms- og familiesenter - omsorg, avdeling Rokkeveien ungdomshjem</t>
        </is>
      </c>
      <c r="D3532" s="18" t="n">
        <v>245</v>
      </c>
      <c r="E3532" s="18" t="n">
        <v>194</v>
      </c>
      <c r="F3532" s="18" t="n">
        <v>1702</v>
      </c>
      <c r="G3532" s="18" t="n">
        <v>3261</v>
      </c>
      <c r="H3532" s="18" t="n">
        <v>1115</v>
      </c>
      <c r="I3532" s="18" t="n">
        <v>1743</v>
      </c>
      <c r="J3532" s="19" t="n">
        <v>2723.4375</v>
      </c>
      <c r="K3532" s="35" t="n">
        <v>0.25</v>
      </c>
    </row>
    <row r="3533">
      <c r="A3533" s="36" t="inlineStr">
        <is>
          <t>AGA SPK-tilskudd</t>
        </is>
      </c>
      <c r="B3533" s="36" t="inlineStr">
        <is>
          <t>Region Øst</t>
        </is>
      </c>
      <c r="C3533" s="36" t="inlineStr">
        <is>
          <t>Østfold ungdoms- og familiesenter - omsorg, avdeling Rokkeveien ungdomshjem</t>
        </is>
      </c>
      <c r="D3533" s="26" t="n"/>
      <c r="E3533" s="26" t="n"/>
      <c r="F3533" s="26" t="n">
        <v>3040</v>
      </c>
      <c r="G3533" s="26" t="n"/>
      <c r="H3533" s="26" t="n"/>
      <c r="I3533" s="26" t="n"/>
      <c r="J3533" s="19" t="n">
        <v>0</v>
      </c>
      <c r="K3533" s="37" t="n">
        <v>0.065</v>
      </c>
    </row>
    <row r="3534">
      <c r="A3534" s="34" t="inlineStr">
        <is>
          <t>AGA SPK-tilskudd</t>
        </is>
      </c>
      <c r="B3534" s="34" t="inlineStr">
        <is>
          <t>Region Øst</t>
        </is>
      </c>
      <c r="C3534" s="34" t="inlineStr">
        <is>
          <t>Østfold ungdoms- og familiesenter - omsorg, avdeling Rokkeveien ungdomshjem</t>
        </is>
      </c>
      <c r="D3534" s="18" t="n">
        <v>-100</v>
      </c>
      <c r="E3534" s="18" t="n"/>
      <c r="F3534" s="18" t="n">
        <v>475</v>
      </c>
      <c r="G3534" s="18" t="n">
        <v>5842</v>
      </c>
      <c r="H3534" s="18" t="n"/>
      <c r="I3534" s="18" t="n">
        <v>1718</v>
      </c>
      <c r="J3534" s="19" t="n">
        <v>1948.59855</v>
      </c>
      <c r="K3534" s="35" t="n">
        <v>0.065</v>
      </c>
    </row>
    <row r="3535">
      <c r="A3535" s="36" t="inlineStr">
        <is>
          <t>AGA SPK-tilskudd</t>
        </is>
      </c>
      <c r="B3535" s="36" t="inlineStr">
        <is>
          <t>Region Øst</t>
        </is>
      </c>
      <c r="C3535" s="36" t="inlineStr">
        <is>
          <t>Østfold ungdoms- og familiesenter - omsorg, avdeling Rokkeveien ungdomshjem</t>
        </is>
      </c>
      <c r="D3535" s="26" t="n">
        <v>-146805</v>
      </c>
      <c r="E3535" s="26" t="n">
        <v>-2338</v>
      </c>
      <c r="F3535" s="26" t="n">
        <v>-365795</v>
      </c>
      <c r="G3535" s="26" t="n">
        <v>-37119</v>
      </c>
      <c r="H3535" s="26" t="n">
        <v>-551917</v>
      </c>
      <c r="I3535" s="26" t="n">
        <v>-285812</v>
      </c>
      <c r="J3535" s="19" t="n">
        <v>-324175.1157</v>
      </c>
      <c r="K3535" s="37" t="n">
        <v>0.065</v>
      </c>
    </row>
    <row r="3536">
      <c r="A3536" s="34" t="inlineStr">
        <is>
          <t>AGA SPK-tilskudd</t>
        </is>
      </c>
      <c r="B3536" s="34" t="inlineStr">
        <is>
          <t>Region Øst</t>
        </is>
      </c>
      <c r="C3536" s="34" t="inlineStr">
        <is>
          <t>Østfold ungdoms- og familiesenter - omsorg, avdeling Rokkeveien ungdomshjem</t>
        </is>
      </c>
      <c r="D3536" s="18" t="n">
        <v>-350469</v>
      </c>
      <c r="E3536" s="18" t="n">
        <v>-806875</v>
      </c>
      <c r="F3536" s="18" t="n">
        <v>-1144773</v>
      </c>
      <c r="G3536" s="18" t="n">
        <v>-1023442</v>
      </c>
      <c r="H3536" s="18" t="n">
        <v>-861759</v>
      </c>
      <c r="I3536" s="18" t="n">
        <v>-1392196</v>
      </c>
      <c r="J3536" s="19" t="n">
        <v>-1579063.5081</v>
      </c>
      <c r="K3536" s="35" t="n">
        <v>0.065</v>
      </c>
    </row>
    <row r="3537">
      <c r="A3537" s="36" t="inlineStr">
        <is>
          <t>AGA SPK-tilskudd</t>
        </is>
      </c>
      <c r="B3537" s="36" t="inlineStr">
        <is>
          <t>Region Øst</t>
        </is>
      </c>
      <c r="C3537" s="36" t="inlineStr">
        <is>
          <t>Østfold ungdoms- og familiesenter - omsorg, avdeling Tune ungdomshjem</t>
        </is>
      </c>
      <c r="D3537" s="26" t="n">
        <v>138324</v>
      </c>
      <c r="E3537" s="26" t="n">
        <v>149708</v>
      </c>
      <c r="F3537" s="26" t="n">
        <v>116534</v>
      </c>
      <c r="G3537" s="26" t="n">
        <v>136026</v>
      </c>
      <c r="H3537" s="26" t="n">
        <v>141954</v>
      </c>
      <c r="I3537" s="26" t="n">
        <v>155014</v>
      </c>
      <c r="J3537" s="19" t="n">
        <v>162240.8737335271</v>
      </c>
      <c r="K3537" s="37" t="n">
        <v>0.02304485772617171</v>
      </c>
    </row>
    <row r="3538">
      <c r="A3538" s="34" t="inlineStr">
        <is>
          <t>AGA SPK-tilskudd</t>
        </is>
      </c>
      <c r="B3538" s="34" t="inlineStr">
        <is>
          <t>Region Øst</t>
        </is>
      </c>
      <c r="C3538" s="34" t="inlineStr">
        <is>
          <t>Østfold ungdoms- og familiesenter - omsorg, avdeling Tune ungdomshjem</t>
        </is>
      </c>
      <c r="D3538" s="18" t="n"/>
      <c r="E3538" s="18" t="n">
        <v>17241</v>
      </c>
      <c r="F3538" s="18" t="n">
        <v>38794</v>
      </c>
      <c r="G3538" s="18" t="n">
        <v>23885</v>
      </c>
      <c r="H3538" s="18" t="n">
        <v>137703</v>
      </c>
      <c r="I3538" s="18" t="n">
        <v>258989</v>
      </c>
      <c r="J3538" s="19" t="n">
        <v>404670.3125</v>
      </c>
      <c r="K3538" s="35" t="n">
        <v>0.25</v>
      </c>
    </row>
    <row r="3539">
      <c r="A3539" s="36" t="inlineStr">
        <is>
          <t>AGA SPK-tilskudd</t>
        </is>
      </c>
      <c r="B3539" s="36" t="inlineStr">
        <is>
          <t>Region Øst</t>
        </is>
      </c>
      <c r="C3539" s="36" t="inlineStr">
        <is>
          <t>Østfold ungdoms- og familiesenter - omsorg, avdeling Tune ungdomshjem</t>
        </is>
      </c>
      <c r="D3539" s="26" t="n">
        <v>24027</v>
      </c>
      <c r="E3539" s="26" t="n">
        <v>56746</v>
      </c>
      <c r="F3539" s="26" t="n">
        <v>48952</v>
      </c>
      <c r="G3539" s="26" t="n">
        <v>127237</v>
      </c>
      <c r="H3539" s="26" t="n">
        <v>56740</v>
      </c>
      <c r="I3539" s="26" t="n">
        <v>50778</v>
      </c>
      <c r="J3539" s="19" t="n">
        <v>68496.12584617121</v>
      </c>
      <c r="K3539" s="37" t="n">
        <v>0.1614358000394858</v>
      </c>
    </row>
    <row r="3540">
      <c r="A3540" s="34" t="inlineStr">
        <is>
          <t>AGA SPK-tilskudd</t>
        </is>
      </c>
      <c r="B3540" s="34" t="inlineStr">
        <is>
          <t>Region Øst</t>
        </is>
      </c>
      <c r="C3540" s="34" t="inlineStr">
        <is>
          <t>Østfold ungdoms- og familiesenter - omsorg, avdeling Tune ungdomshjem</t>
        </is>
      </c>
      <c r="D3540" s="18" t="n">
        <v>41700</v>
      </c>
      <c r="E3540" s="18" t="n">
        <v>51332</v>
      </c>
      <c r="F3540" s="18" t="n">
        <v>53088</v>
      </c>
      <c r="G3540" s="18" t="n">
        <v>63618</v>
      </c>
      <c r="H3540" s="18" t="n">
        <v>68820</v>
      </c>
      <c r="I3540" s="18" t="n">
        <v>74248</v>
      </c>
      <c r="J3540" s="19" t="n">
        <v>93519.94474135015</v>
      </c>
      <c r="K3540" s="35" t="n">
        <v>0.1223020105546588</v>
      </c>
    </row>
    <row r="3541">
      <c r="A3541" s="36" t="inlineStr">
        <is>
          <t>AGA SPK-tilskudd</t>
        </is>
      </c>
      <c r="B3541" s="36" t="inlineStr">
        <is>
          <t>Region Øst</t>
        </is>
      </c>
      <c r="C3541" s="36" t="inlineStr">
        <is>
          <t>Østfold ungdoms- og familiesenter - omsorg, avdeling Tune ungdomshjem</t>
        </is>
      </c>
      <c r="D3541" s="26" t="n">
        <v>7373</v>
      </c>
      <c r="E3541" s="26" t="n">
        <v>1261</v>
      </c>
      <c r="F3541" s="26" t="n"/>
      <c r="G3541" s="26" t="n"/>
      <c r="H3541" s="26" t="n"/>
      <c r="I3541" s="26" t="n">
        <v>1539</v>
      </c>
      <c r="J3541" s="19" t="n">
        <v>865.6875</v>
      </c>
      <c r="K3541" s="37" t="n">
        <v>-0.25</v>
      </c>
    </row>
    <row r="3542">
      <c r="A3542" s="34" t="inlineStr">
        <is>
          <t>AGA SPK-tilskudd</t>
        </is>
      </c>
      <c r="B3542" s="34" t="inlineStr">
        <is>
          <t>Region Øst</t>
        </is>
      </c>
      <c r="C3542" s="34" t="inlineStr">
        <is>
          <t>Østfold ungdoms- og familiesenter - omsorg, avdeling Tune ungdomshjem</t>
        </is>
      </c>
      <c r="D3542" s="18" t="n">
        <v>5238</v>
      </c>
      <c r="E3542" s="18" t="n">
        <v>1330</v>
      </c>
      <c r="F3542" s="18" t="n">
        <v>3106</v>
      </c>
      <c r="G3542" s="18" t="n">
        <v>9256</v>
      </c>
      <c r="H3542" s="18" t="n">
        <v>1612</v>
      </c>
      <c r="I3542" s="18" t="n"/>
      <c r="J3542" s="19" t="n">
        <v>0</v>
      </c>
      <c r="K3542" s="35" t="n">
        <v>0.065</v>
      </c>
    </row>
    <row r="3543">
      <c r="A3543" s="36" t="inlineStr">
        <is>
          <t>AGA SPK-tilskudd</t>
        </is>
      </c>
      <c r="B3543" s="36" t="inlineStr">
        <is>
          <t>Region Øst</t>
        </is>
      </c>
      <c r="C3543" s="36" t="inlineStr">
        <is>
          <t>Østfold ungdoms- og familiesenter - omsorg, avdeling Tune ungdomshjem</t>
        </is>
      </c>
      <c r="D3543" s="26" t="n">
        <v>4958</v>
      </c>
      <c r="E3543" s="26" t="n">
        <v>7832</v>
      </c>
      <c r="F3543" s="26" t="n">
        <v>5686</v>
      </c>
      <c r="G3543" s="26" t="n">
        <v>22694</v>
      </c>
      <c r="H3543" s="26" t="n">
        <v>8082</v>
      </c>
      <c r="I3543" s="26" t="n">
        <v>1286</v>
      </c>
      <c r="J3543" s="19" t="n">
        <v>749.5744021625171</v>
      </c>
      <c r="K3543" s="37" t="n">
        <v>-0.2365389430315384</v>
      </c>
    </row>
    <row r="3544">
      <c r="A3544" s="34" t="inlineStr">
        <is>
          <t>AGA SPK-tilskudd</t>
        </is>
      </c>
      <c r="B3544" s="34" t="inlineStr">
        <is>
          <t>Region Øst</t>
        </is>
      </c>
      <c r="C3544" s="34" t="inlineStr">
        <is>
          <t>Østfold ungdoms- og familiesenter - omsorg, avdeling Tune ungdomshjem</t>
        </is>
      </c>
      <c r="D3544" s="18" t="n">
        <v>11272</v>
      </c>
      <c r="E3544" s="18" t="n"/>
      <c r="F3544" s="18" t="n">
        <v>6556</v>
      </c>
      <c r="G3544" s="18" t="n">
        <v>83</v>
      </c>
      <c r="H3544" s="18" t="n">
        <v>9898</v>
      </c>
      <c r="I3544" s="18" t="n">
        <v>14506</v>
      </c>
      <c r="J3544" s="19" t="n">
        <v>16045.98383442843</v>
      </c>
      <c r="K3544" s="35" t="n">
        <v>0.05174229383544637</v>
      </c>
    </row>
    <row r="3545">
      <c r="A3545" s="36" t="inlineStr">
        <is>
          <t>AGA SPK-tilskudd</t>
        </is>
      </c>
      <c r="B3545" s="36" t="inlineStr">
        <is>
          <t>Region Øst</t>
        </is>
      </c>
      <c r="C3545" s="36" t="inlineStr">
        <is>
          <t>Østfold ungdoms- og familiesenter - omsorg, avdeling Tune ungdomshjem</t>
        </is>
      </c>
      <c r="D3545" s="26" t="n">
        <v>9068</v>
      </c>
      <c r="E3545" s="26" t="n">
        <v>13841</v>
      </c>
      <c r="F3545" s="26" t="n">
        <v>14751</v>
      </c>
      <c r="G3545" s="26" t="n">
        <v>6863</v>
      </c>
      <c r="H3545" s="26" t="n">
        <v>5557</v>
      </c>
      <c r="I3545" s="26" t="n">
        <v>25210</v>
      </c>
      <c r="J3545" s="19" t="n">
        <v>37948.74162846473</v>
      </c>
      <c r="K3545" s="37" t="n">
        <v>0.2269087587426548</v>
      </c>
    </row>
    <row r="3546">
      <c r="A3546" s="34" t="inlineStr">
        <is>
          <t>AGA SPK-tilskudd</t>
        </is>
      </c>
      <c r="B3546" s="34" t="inlineStr">
        <is>
          <t>Region Øst</t>
        </is>
      </c>
      <c r="C3546" s="34" t="inlineStr">
        <is>
          <t>Østfold ungdoms- og familiesenter - omsorg, avdeling Tune ungdomshjem</t>
        </is>
      </c>
      <c r="D3546" s="18" t="n">
        <v>2403</v>
      </c>
      <c r="E3546" s="18" t="n">
        <v>2634</v>
      </c>
      <c r="F3546" s="18" t="n">
        <v>1605</v>
      </c>
      <c r="G3546" s="18" t="n">
        <v>8838</v>
      </c>
      <c r="H3546" s="18" t="n">
        <v>2970</v>
      </c>
      <c r="I3546" s="18" t="n">
        <v>450</v>
      </c>
      <c r="J3546" s="19" t="n">
        <v>253.125</v>
      </c>
      <c r="K3546" s="35" t="n">
        <v>-0.25</v>
      </c>
    </row>
    <row r="3547">
      <c r="A3547" s="36" t="inlineStr">
        <is>
          <t>AGA SPK-tilskudd</t>
        </is>
      </c>
      <c r="B3547" s="36" t="inlineStr">
        <is>
          <t>Region Øst</t>
        </is>
      </c>
      <c r="C3547" s="36" t="inlineStr">
        <is>
          <t>Østfold ungdoms- og familiesenter - omsorg, avdeling Tune ungdomshjem</t>
        </is>
      </c>
      <c r="D3547" s="26" t="n"/>
      <c r="E3547" s="26" t="n"/>
      <c r="F3547" s="26" t="n"/>
      <c r="G3547" s="26" t="n"/>
      <c r="H3547" s="26" t="n"/>
      <c r="I3547" s="26" t="n">
        <v>32268</v>
      </c>
      <c r="J3547" s="19" t="n">
        <v>36599.17229999999</v>
      </c>
      <c r="K3547" s="37" t="n">
        <v>0.065</v>
      </c>
    </row>
    <row r="3548">
      <c r="A3548" s="34" t="inlineStr">
        <is>
          <t>AGA SPK-tilskudd</t>
        </is>
      </c>
      <c r="B3548" s="34" t="inlineStr">
        <is>
          <t>Region Øst</t>
        </is>
      </c>
      <c r="C3548" s="34" t="inlineStr">
        <is>
          <t>Østfold ungdoms- og familiesenter - omsorg, avdeling Tune ungdomshjem</t>
        </is>
      </c>
      <c r="D3548" s="18" t="n">
        <v>3840</v>
      </c>
      <c r="E3548" s="18" t="n"/>
      <c r="F3548" s="18" t="n"/>
      <c r="G3548" s="18" t="n">
        <v>3990</v>
      </c>
      <c r="H3548" s="18" t="n"/>
      <c r="I3548" s="18" t="n"/>
      <c r="J3548" s="19" t="n">
        <v>0</v>
      </c>
      <c r="K3548" s="35" t="n">
        <v>0.065</v>
      </c>
    </row>
    <row r="3549">
      <c r="A3549" s="36" t="inlineStr">
        <is>
          <t>AGA SPK-tilskudd</t>
        </is>
      </c>
      <c r="B3549" s="36" t="inlineStr">
        <is>
          <t>Region Øst</t>
        </is>
      </c>
      <c r="C3549" s="36" t="inlineStr">
        <is>
          <t>Østfold ungdoms- og familiesenter - omsorg, avdeling Tune ungdomshjem</t>
        </is>
      </c>
      <c r="D3549" s="26" t="n">
        <v>197</v>
      </c>
      <c r="E3549" s="26" t="n"/>
      <c r="F3549" s="26" t="n"/>
      <c r="G3549" s="26" t="n"/>
      <c r="H3549" s="26" t="n"/>
      <c r="I3549" s="26" t="n"/>
      <c r="J3549" s="19" t="n">
        <v>0</v>
      </c>
      <c r="K3549" s="37" t="n">
        <v>0.065</v>
      </c>
    </row>
    <row r="3550">
      <c r="A3550" s="34" t="inlineStr">
        <is>
          <t>AGA SPK-tilskudd</t>
        </is>
      </c>
      <c r="B3550" s="34" t="inlineStr">
        <is>
          <t>Region Øst</t>
        </is>
      </c>
      <c r="C3550" s="34" t="inlineStr">
        <is>
          <t>Østfold ungdoms- og familiesenter - omsorg, avdeling Tune ungdomshjem</t>
        </is>
      </c>
      <c r="D3550" s="18" t="n">
        <v>1450</v>
      </c>
      <c r="E3550" s="18" t="n">
        <v>3914</v>
      </c>
      <c r="F3550" s="18" t="n">
        <v>1000</v>
      </c>
      <c r="G3550" s="18" t="n">
        <v>7082</v>
      </c>
      <c r="H3550" s="18" t="n"/>
      <c r="I3550" s="18" t="n">
        <v>9</v>
      </c>
      <c r="J3550" s="19" t="n">
        <v>5.0625</v>
      </c>
      <c r="K3550" s="35" t="n">
        <v>-0.25</v>
      </c>
    </row>
    <row r="3551">
      <c r="A3551" s="36" t="inlineStr">
        <is>
          <t>AGA SPK-tilskudd</t>
        </is>
      </c>
      <c r="B3551" s="36" t="inlineStr">
        <is>
          <t>Region Øst</t>
        </is>
      </c>
      <c r="C3551" s="36" t="inlineStr">
        <is>
          <t>Østfold ungdoms- og familiesenter - omsorg, avdeling Tune ungdomshjem</t>
        </is>
      </c>
      <c r="D3551" s="26" t="n"/>
      <c r="E3551" s="26" t="n">
        <v>-114354</v>
      </c>
      <c r="F3551" s="26" t="n">
        <v>-431007</v>
      </c>
      <c r="G3551" s="26" t="n">
        <v>-435572</v>
      </c>
      <c r="H3551" s="26" t="n">
        <v>-214495</v>
      </c>
      <c r="I3551" s="26" t="n">
        <v>-885967</v>
      </c>
      <c r="J3551" s="19" t="n">
        <v>-1004885.920575</v>
      </c>
      <c r="K3551" s="37" t="n">
        <v>0.065</v>
      </c>
    </row>
    <row r="3552">
      <c r="A3552" s="34" t="inlineStr">
        <is>
          <t>AGA SPK-tilskudd</t>
        </is>
      </c>
      <c r="B3552" s="34" t="inlineStr">
        <is>
          <t>Region Øst</t>
        </is>
      </c>
      <c r="C3552" s="34" t="inlineStr">
        <is>
          <t>Østfold ungdoms- og familiesenter - omsorg, avdeling Tune ungdomshjem</t>
        </is>
      </c>
      <c r="D3552" s="18" t="n">
        <v>-316844</v>
      </c>
      <c r="E3552" s="18" t="n">
        <v>-563427</v>
      </c>
      <c r="F3552" s="18" t="n">
        <v>-526034</v>
      </c>
      <c r="G3552" s="18" t="n">
        <v>-819100</v>
      </c>
      <c r="H3552" s="18" t="n">
        <v>-1102935</v>
      </c>
      <c r="I3552" s="18" t="n">
        <v>-2364610</v>
      </c>
      <c r="J3552" s="19" t="n">
        <v>-2681999.777249999</v>
      </c>
      <c r="K3552" s="35" t="n">
        <v>0.065</v>
      </c>
    </row>
    <row r="3553">
      <c r="A3553" s="36" t="inlineStr">
        <is>
          <t>Arbeidsgiveravgift</t>
        </is>
      </c>
      <c r="B3553" s="36" t="inlineStr">
        <is>
          <t>Region Midt-Norge</t>
        </is>
      </c>
      <c r="C3553" s="36" t="inlineStr">
        <is>
          <t>Avdeling for tjenestestøtte barnevern</t>
        </is>
      </c>
      <c r="D3553" s="26" t="n"/>
      <c r="E3553" s="26" t="n"/>
      <c r="F3553" s="26" t="n"/>
      <c r="G3553" s="26" t="n">
        <v>433914</v>
      </c>
      <c r="H3553" s="26" t="n">
        <v>455413</v>
      </c>
      <c r="I3553" s="26" t="n">
        <v>537015</v>
      </c>
      <c r="J3553" s="19" t="n">
        <v>609095.8383749999</v>
      </c>
      <c r="K3553" s="37" t="n">
        <v>0.065</v>
      </c>
    </row>
    <row r="3554">
      <c r="A3554" s="34" t="inlineStr">
        <is>
          <t>Arbeidsgiveravgift</t>
        </is>
      </c>
      <c r="B3554" s="34" t="inlineStr">
        <is>
          <t>Region Midt-Norge</t>
        </is>
      </c>
      <c r="C3554" s="34" t="inlineStr">
        <is>
          <t>Buvika ungdomssenter</t>
        </is>
      </c>
      <c r="D3554" s="18" t="n">
        <v>352686</v>
      </c>
      <c r="E3554" s="18" t="n">
        <v>1740011</v>
      </c>
      <c r="F3554" s="18" t="n">
        <v>1906965</v>
      </c>
      <c r="G3554" s="18" t="n">
        <v>1970228</v>
      </c>
      <c r="H3554" s="18" t="n">
        <v>2545716</v>
      </c>
      <c r="I3554" s="18" t="n">
        <v>2961594</v>
      </c>
      <c r="J3554" s="19" t="n">
        <v>4627490.625</v>
      </c>
      <c r="K3554" s="35" t="n">
        <v>0.25</v>
      </c>
    </row>
    <row r="3555">
      <c r="A3555" s="36" t="inlineStr">
        <is>
          <t>Arbeidsgiveravgift</t>
        </is>
      </c>
      <c r="B3555" s="36" t="inlineStr">
        <is>
          <t>Region Midt-Norge</t>
        </is>
      </c>
      <c r="C3555" s="36" t="inlineStr">
        <is>
          <t>Clausenengen ungdomshjem</t>
        </is>
      </c>
      <c r="D3555" s="26" t="n">
        <v>1391866</v>
      </c>
      <c r="E3555" s="26" t="n">
        <v>1455903</v>
      </c>
      <c r="F3555" s="26" t="n">
        <v>1584474</v>
      </c>
      <c r="G3555" s="26" t="n">
        <v>1694700</v>
      </c>
      <c r="H3555" s="26" t="n">
        <v>1981982</v>
      </c>
      <c r="I3555" s="26" t="n">
        <v>2135001</v>
      </c>
      <c r="J3555" s="19" t="n">
        <v>2533485.047307534</v>
      </c>
      <c r="K3555" s="37" t="n">
        <v>0.08933167330075586</v>
      </c>
    </row>
    <row r="3556">
      <c r="A3556" s="34" t="inlineStr">
        <is>
          <t>Arbeidsgiveravgift</t>
        </is>
      </c>
      <c r="B3556" s="34" t="inlineStr">
        <is>
          <t>Region Midt-Norge</t>
        </is>
      </c>
      <c r="C3556" s="34" t="inlineStr">
        <is>
          <t>Fosterhjemstjenesten i Bufetat, region Midt-Norge, avd. Trondheim</t>
        </is>
      </c>
      <c r="D3556" s="18" t="n">
        <v>52</v>
      </c>
      <c r="E3556" s="18" t="n">
        <v>122</v>
      </c>
      <c r="F3556" s="18" t="n"/>
      <c r="G3556" s="18" t="n">
        <v>38</v>
      </c>
      <c r="H3556" s="18" t="n"/>
      <c r="I3556" s="18" t="n"/>
      <c r="J3556" s="19" t="n">
        <v>0</v>
      </c>
      <c r="K3556" s="35" t="n">
        <v>0.065</v>
      </c>
    </row>
    <row r="3557">
      <c r="A3557" s="36" t="inlineStr">
        <is>
          <t>Arbeidsgiveravgift</t>
        </is>
      </c>
      <c r="B3557" s="36" t="inlineStr">
        <is>
          <t>Region Midt-Norge</t>
        </is>
      </c>
      <c r="C3557" s="36" t="inlineStr">
        <is>
          <t>Gilantunet ungdomshjem</t>
        </is>
      </c>
      <c r="D3557" s="26" t="n">
        <v>3154483</v>
      </c>
      <c r="E3557" s="26" t="n">
        <v>3164136</v>
      </c>
      <c r="F3557" s="26" t="n">
        <v>3354497</v>
      </c>
      <c r="G3557" s="26" t="n">
        <v>3659315</v>
      </c>
      <c r="H3557" s="26" t="n">
        <v>4098708</v>
      </c>
      <c r="I3557" s="26" t="n">
        <v>3767820</v>
      </c>
      <c r="J3557" s="19" t="n">
        <v>4045339.074346021</v>
      </c>
      <c r="K3557" s="37" t="n">
        <v>0.03617328549026477</v>
      </c>
    </row>
    <row r="3558">
      <c r="A3558" s="34" t="inlineStr">
        <is>
          <t>Arbeidsgiveravgift</t>
        </is>
      </c>
      <c r="B3558" s="34" t="inlineStr">
        <is>
          <t>Region Midt-Norge</t>
        </is>
      </c>
      <c r="C3558" s="34" t="inlineStr">
        <is>
          <t>Humla Akuttsenter</t>
        </is>
      </c>
      <c r="D3558" s="18" t="n">
        <v>1544299</v>
      </c>
      <c r="E3558" s="18" t="n">
        <v>1594529</v>
      </c>
      <c r="F3558" s="18" t="n">
        <v>1754019</v>
      </c>
      <c r="G3558" s="18" t="n">
        <v>1944347</v>
      </c>
      <c r="H3558" s="18" t="n">
        <v>2153624</v>
      </c>
      <c r="I3558" s="18" t="n">
        <v>2215331</v>
      </c>
      <c r="J3558" s="19" t="n">
        <v>2559301.897250301</v>
      </c>
      <c r="K3558" s="35" t="n">
        <v>0.0748341261938188</v>
      </c>
    </row>
    <row r="3559">
      <c r="A3559" s="36" t="inlineStr">
        <is>
          <t>Arbeidsgiveravgift</t>
        </is>
      </c>
      <c r="B3559" s="36" t="inlineStr">
        <is>
          <t>Region Midt-Norge</t>
        </is>
      </c>
      <c r="C3559" s="36" t="inlineStr">
        <is>
          <t>Humla avd. beredskapshjem</t>
        </is>
      </c>
      <c r="D3559" s="26" t="n"/>
      <c r="E3559" s="26" t="n"/>
      <c r="F3559" s="26" t="n">
        <v>11</v>
      </c>
      <c r="G3559" s="26" t="n"/>
      <c r="H3559" s="26" t="n"/>
      <c r="I3559" s="26" t="n"/>
      <c r="J3559" s="19" t="n">
        <v>0</v>
      </c>
      <c r="K3559" s="37" t="n">
        <v>0.065</v>
      </c>
    </row>
    <row r="3560">
      <c r="A3560" s="34" t="inlineStr">
        <is>
          <t>Arbeidsgiveravgift</t>
        </is>
      </c>
      <c r="B3560" s="34" t="inlineStr">
        <is>
          <t>Region Midt-Norge</t>
        </is>
      </c>
      <c r="C3560" s="34" t="inlineStr">
        <is>
          <t>Husafjellheimen ungdomsheim</t>
        </is>
      </c>
      <c r="D3560" s="18" t="n">
        <v>1559991</v>
      </c>
      <c r="E3560" s="18" t="n">
        <v>1666696</v>
      </c>
      <c r="F3560" s="18" t="n">
        <v>1719506</v>
      </c>
      <c r="G3560" s="18" t="n">
        <v>1936096</v>
      </c>
      <c r="H3560" s="18" t="n">
        <v>2118443</v>
      </c>
      <c r="I3560" s="18" t="n">
        <v>2330157</v>
      </c>
      <c r="J3560" s="19" t="n">
        <v>2735838.26786023</v>
      </c>
      <c r="K3560" s="35" t="n">
        <v>0.08355913585744079</v>
      </c>
    </row>
    <row r="3561">
      <c r="A3561" s="36" t="inlineStr">
        <is>
          <t>Arbeidsgiveravgift</t>
        </is>
      </c>
      <c r="B3561" s="36" t="inlineStr">
        <is>
          <t>Region Midt-Norge</t>
        </is>
      </c>
      <c r="C3561" s="36" t="inlineStr">
        <is>
          <t>Karienborg ungdomsheim</t>
        </is>
      </c>
      <c r="D3561" s="26" t="n">
        <v>1627666</v>
      </c>
      <c r="E3561" s="26" t="n">
        <v>1556962</v>
      </c>
      <c r="F3561" s="26" t="n">
        <v>1815231</v>
      </c>
      <c r="G3561" s="26" t="n">
        <v>1883895</v>
      </c>
      <c r="H3561" s="26" t="n">
        <v>2065791</v>
      </c>
      <c r="I3561" s="26" t="n">
        <v>2306362</v>
      </c>
      <c r="J3561" s="19" t="n">
        <v>2651382.264115553</v>
      </c>
      <c r="K3561" s="37" t="n">
        <v>0.07219168885881544</v>
      </c>
    </row>
    <row r="3562">
      <c r="A3562" s="34" t="inlineStr">
        <is>
          <t>Arbeidsgiveravgift</t>
        </is>
      </c>
      <c r="B3562" s="34" t="inlineStr">
        <is>
          <t>Region Midt-Norge</t>
        </is>
      </c>
      <c r="C3562" s="34" t="inlineStr">
        <is>
          <t>Kollen ungdomsbase</t>
        </is>
      </c>
      <c r="D3562" s="18" t="n">
        <v>2156176</v>
      </c>
      <c r="E3562" s="18" t="n">
        <v>2175775</v>
      </c>
      <c r="F3562" s="18" t="n">
        <v>2260530</v>
      </c>
      <c r="G3562" s="18" t="n">
        <v>2490838</v>
      </c>
      <c r="H3562" s="18" t="n">
        <v>2717403</v>
      </c>
      <c r="I3562" s="18" t="n">
        <v>2786398</v>
      </c>
      <c r="J3562" s="19" t="n">
        <v>3087356.114475357</v>
      </c>
      <c r="K3562" s="35" t="n">
        <v>0.05262041437322074</v>
      </c>
    </row>
    <row r="3563">
      <c r="A3563" s="36" t="inlineStr">
        <is>
          <t>Arbeidsgiveravgift</t>
        </is>
      </c>
      <c r="B3563" s="36" t="inlineStr">
        <is>
          <t>Region Midt-Norge</t>
        </is>
      </c>
      <c r="C3563" s="36" t="inlineStr">
        <is>
          <t>Kvammen akuttsenter</t>
        </is>
      </c>
      <c r="D3563" s="26" t="n">
        <v>2158803</v>
      </c>
      <c r="E3563" s="26" t="n">
        <v>2358787</v>
      </c>
      <c r="F3563" s="26" t="n">
        <v>2414033</v>
      </c>
      <c r="G3563" s="26" t="n">
        <v>2648252</v>
      </c>
      <c r="H3563" s="26" t="n">
        <v>-7137</v>
      </c>
      <c r="I3563" s="26" t="n">
        <v>2584</v>
      </c>
      <c r="J3563" s="19" t="n">
        <v>1453.5</v>
      </c>
      <c r="K3563" s="37" t="n">
        <v>-0.25</v>
      </c>
    </row>
    <row r="3564">
      <c r="A3564" s="34" t="inlineStr">
        <is>
          <t>Arbeidsgiveravgift</t>
        </is>
      </c>
      <c r="B3564" s="34" t="inlineStr">
        <is>
          <t>Region Midt-Norge</t>
        </is>
      </c>
      <c r="C3564" s="34" t="inlineStr">
        <is>
          <t>Kvammen akuttsenter, avdeling Fannrem</t>
        </is>
      </c>
      <c r="D3564" s="18" t="n"/>
      <c r="E3564" s="18" t="n"/>
      <c r="F3564" s="18" t="n"/>
      <c r="G3564" s="18" t="n"/>
      <c r="H3564" s="18" t="n">
        <v>834042</v>
      </c>
      <c r="I3564" s="18" t="n">
        <v>2411739</v>
      </c>
      <c r="J3564" s="19" t="n">
        <v>2735454.667274999</v>
      </c>
      <c r="K3564" s="35" t="n">
        <v>0.065</v>
      </c>
    </row>
    <row r="3565">
      <c r="A3565" s="36" t="inlineStr">
        <is>
          <t>Arbeidsgiveravgift</t>
        </is>
      </c>
      <c r="B3565" s="36" t="inlineStr">
        <is>
          <t>Region Midt-Norge</t>
        </is>
      </c>
      <c r="C3565" s="36" t="inlineStr">
        <is>
          <t>Kvammen akuttsenter, avdeling Melhus</t>
        </is>
      </c>
      <c r="D3565" s="26" t="n"/>
      <c r="E3565" s="26" t="n"/>
      <c r="F3565" s="26" t="n"/>
      <c r="G3565" s="26" t="n"/>
      <c r="H3565" s="26" t="n">
        <v>2718350</v>
      </c>
      <c r="I3565" s="26" t="n">
        <v>2864609</v>
      </c>
      <c r="J3565" s="19" t="n">
        <v>3249111.143025</v>
      </c>
      <c r="K3565" s="37" t="n">
        <v>0.065</v>
      </c>
    </row>
    <row r="3566">
      <c r="A3566" s="34" t="inlineStr">
        <is>
          <t>Arbeidsgiveravgift</t>
        </is>
      </c>
      <c r="B3566" s="34" t="inlineStr">
        <is>
          <t>Region Midt-Norge</t>
        </is>
      </c>
      <c r="C3566" s="34" t="inlineStr">
        <is>
          <t>Kvammen, avdelig enetiltak</t>
        </is>
      </c>
      <c r="D3566" s="18" t="n"/>
      <c r="E3566" s="18" t="n"/>
      <c r="F3566" s="18" t="n"/>
      <c r="G3566" s="18" t="n"/>
      <c r="H3566" s="18" t="n"/>
      <c r="I3566" s="18" t="n">
        <v>1119899</v>
      </c>
      <c r="J3566" s="19" t="n">
        <v>1270217.443275</v>
      </c>
      <c r="K3566" s="35" t="n">
        <v>0.065</v>
      </c>
    </row>
    <row r="3567">
      <c r="A3567" s="36" t="inlineStr">
        <is>
          <t>Arbeidsgiveravgift</t>
        </is>
      </c>
      <c r="B3567" s="36" t="inlineStr">
        <is>
          <t>Region Midt-Norge</t>
        </is>
      </c>
      <c r="C3567" s="36" t="inlineStr">
        <is>
          <t>Moholt ungdomssenter</t>
        </is>
      </c>
      <c r="D3567" s="26" t="n"/>
      <c r="E3567" s="26" t="n"/>
      <c r="F3567" s="26" t="n">
        <v>1199830</v>
      </c>
      <c r="G3567" s="26" t="n">
        <v>2095190</v>
      </c>
      <c r="H3567" s="26" t="n">
        <v>2635782</v>
      </c>
      <c r="I3567" s="26" t="n">
        <v>2623470</v>
      </c>
      <c r="J3567" s="19" t="n">
        <v>2975605.260749999</v>
      </c>
      <c r="K3567" s="37" t="n">
        <v>0.065</v>
      </c>
    </row>
    <row r="3568">
      <c r="A3568" s="34" t="inlineStr">
        <is>
          <t>Arbeidsgiveravgift</t>
        </is>
      </c>
      <c r="B3568" s="34" t="inlineStr">
        <is>
          <t>Region Midt-Norge</t>
        </is>
      </c>
      <c r="C3568" s="34" t="inlineStr">
        <is>
          <t>NABE, avdeling implementering og kvalitetssikring</t>
        </is>
      </c>
      <c r="D3568" s="18" t="n"/>
      <c r="E3568" s="18" t="n"/>
      <c r="F3568" s="18" t="n"/>
      <c r="G3568" s="18" t="n"/>
      <c r="H3568" s="18" t="n"/>
      <c r="I3568" s="18" t="n">
        <v>53725</v>
      </c>
      <c r="J3568" s="19" t="n">
        <v>60936.23812499999</v>
      </c>
      <c r="K3568" s="35" t="n">
        <v>0.065</v>
      </c>
    </row>
    <row r="3569">
      <c r="A3569" s="36" t="inlineStr">
        <is>
          <t>Arbeidsgiveravgift</t>
        </is>
      </c>
      <c r="B3569" s="36" t="inlineStr">
        <is>
          <t>Region Midt-Norge</t>
        </is>
      </c>
      <c r="C3569" s="36" t="inlineStr">
        <is>
          <t>Orkdal barnevernsenter</t>
        </is>
      </c>
      <c r="D3569" s="26" t="n">
        <v>1058327</v>
      </c>
      <c r="E3569" s="26" t="n">
        <v>997535</v>
      </c>
      <c r="F3569" s="26" t="n">
        <v>943734</v>
      </c>
      <c r="G3569" s="26" t="n">
        <v>1670688</v>
      </c>
      <c r="H3569" s="26" t="n">
        <v>-9328</v>
      </c>
      <c r="I3569" s="26" t="n"/>
      <c r="J3569" s="19" t="n">
        <v>0</v>
      </c>
      <c r="K3569" s="37" t="n">
        <v>0.065</v>
      </c>
    </row>
    <row r="3570">
      <c r="A3570" s="34" t="inlineStr">
        <is>
          <t>Arbeidsgiveravgift</t>
        </is>
      </c>
      <c r="B3570" s="34" t="inlineStr">
        <is>
          <t>Region Midt-Norge</t>
        </is>
      </c>
      <c r="C3570" s="34" t="inlineStr">
        <is>
          <t>Ranheim Vestre</t>
        </is>
      </c>
      <c r="D3570" s="18" t="n">
        <v>1876298</v>
      </c>
      <c r="E3570" s="18" t="n">
        <v>1842263</v>
      </c>
      <c r="F3570" s="18" t="n">
        <v>2015873</v>
      </c>
      <c r="G3570" s="18" t="n">
        <v>2463817</v>
      </c>
      <c r="H3570" s="18" t="n">
        <v>2700574</v>
      </c>
      <c r="I3570" s="18" t="n">
        <v>2922149</v>
      </c>
      <c r="J3570" s="19" t="n">
        <v>3488691.549265642</v>
      </c>
      <c r="K3570" s="35" t="n">
        <v>0.0926475800552673</v>
      </c>
    </row>
    <row r="3571">
      <c r="A3571" s="36" t="inlineStr">
        <is>
          <t>Arbeidsgiveravgift</t>
        </is>
      </c>
      <c r="B3571" s="36" t="inlineStr">
        <is>
          <t>Region Midt-Norge</t>
        </is>
      </c>
      <c r="C3571" s="36" t="inlineStr">
        <is>
          <t>Ranheim Vestre, familiehjem</t>
        </is>
      </c>
      <c r="D3571" s="26" t="n">
        <v>9</v>
      </c>
      <c r="E3571" s="26" t="n">
        <v>22</v>
      </c>
      <c r="F3571" s="26" t="n"/>
      <c r="G3571" s="26" t="n"/>
      <c r="H3571" s="26" t="n"/>
      <c r="I3571" s="26" t="n">
        <v>1980</v>
      </c>
      <c r="J3571" s="19" t="n">
        <v>3093.75</v>
      </c>
      <c r="K3571" s="37" t="n">
        <v>0.25</v>
      </c>
    </row>
    <row r="3572">
      <c r="A3572" s="34" t="inlineStr">
        <is>
          <t>Arbeidsgiveravgift</t>
        </is>
      </c>
      <c r="B3572" s="34" t="inlineStr">
        <is>
          <t>Region Midt-Norge</t>
        </is>
      </c>
      <c r="C3572" s="34" t="inlineStr">
        <is>
          <t>Region Midt-Norge felleskostnader barnevern</t>
        </is>
      </c>
      <c r="D3572" s="18" t="n"/>
      <c r="E3572" s="18" t="n"/>
      <c r="F3572" s="18" t="n">
        <v>15</v>
      </c>
      <c r="G3572" s="18" t="n"/>
      <c r="H3572" s="18" t="n">
        <v>6698</v>
      </c>
      <c r="I3572" s="18" t="n"/>
      <c r="J3572" s="19" t="n">
        <v>0</v>
      </c>
      <c r="K3572" s="35" t="n">
        <v>0.065</v>
      </c>
    </row>
    <row r="3573">
      <c r="A3573" s="36" t="inlineStr">
        <is>
          <t>Arbeidsgiveravgift</t>
        </is>
      </c>
      <c r="B3573" s="36" t="inlineStr">
        <is>
          <t>Region Midt-Norge</t>
        </is>
      </c>
      <c r="C3573" s="36" t="inlineStr">
        <is>
          <t>Seksjon fagstøtte inkl adopsjon</t>
        </is>
      </c>
      <c r="D3573" s="26" t="n"/>
      <c r="E3573" s="26" t="n">
        <v>10</v>
      </c>
      <c r="F3573" s="26" t="n"/>
      <c r="G3573" s="26" t="n">
        <v>41597</v>
      </c>
      <c r="H3573" s="26" t="n">
        <v>103050</v>
      </c>
      <c r="I3573" s="26" t="n">
        <v>161476</v>
      </c>
      <c r="J3573" s="19" t="n">
        <v>252306.25</v>
      </c>
      <c r="K3573" s="37" t="n">
        <v>0.25</v>
      </c>
    </row>
    <row r="3574">
      <c r="A3574" s="34" t="inlineStr">
        <is>
          <t>Arbeidsgiveravgift</t>
        </is>
      </c>
      <c r="B3574" s="34" t="inlineStr">
        <is>
          <t>Region Midt-Norge</t>
        </is>
      </c>
      <c r="C3574" s="34" t="inlineStr">
        <is>
          <t>Senter for foreldre og barn i Trondheim</t>
        </is>
      </c>
      <c r="D3574" s="18" t="n"/>
      <c r="E3574" s="18" t="n"/>
      <c r="F3574" s="18" t="n"/>
      <c r="G3574" s="18" t="n"/>
      <c r="H3574" s="18" t="n"/>
      <c r="I3574" s="18" t="n">
        <v>84</v>
      </c>
      <c r="J3574" s="19" t="n">
        <v>95.27489999999999</v>
      </c>
      <c r="K3574" s="35" t="n">
        <v>0.065</v>
      </c>
    </row>
    <row r="3575">
      <c r="A3575" s="36" t="inlineStr">
        <is>
          <t>Arbeidsgiveravgift</t>
        </is>
      </c>
      <c r="B3575" s="36" t="inlineStr">
        <is>
          <t>Region Midt-Norge</t>
        </is>
      </c>
      <c r="C3575" s="36" t="inlineStr">
        <is>
          <t>Skatval ungdomssenter</t>
        </is>
      </c>
      <c r="D3575" s="26" t="n"/>
      <c r="E3575" s="26" t="n"/>
      <c r="F3575" s="26" t="n"/>
      <c r="G3575" s="26" t="n"/>
      <c r="H3575" s="26" t="n">
        <v>1009173</v>
      </c>
      <c r="I3575" s="26" t="n">
        <v>3592193</v>
      </c>
      <c r="J3575" s="19" t="n">
        <v>4074355.105424999</v>
      </c>
      <c r="K3575" s="37" t="n">
        <v>0.065</v>
      </c>
    </row>
    <row r="3576">
      <c r="A3576" s="34" t="inlineStr">
        <is>
          <t>Arbeidsgiveravgift</t>
        </is>
      </c>
      <c r="B3576" s="34" t="inlineStr">
        <is>
          <t>Region Midt-Norge</t>
        </is>
      </c>
      <c r="C3576" s="34" t="inlineStr">
        <is>
          <t>Spillumheimen ungdomsheim</t>
        </is>
      </c>
      <c r="D3576" s="18" t="n">
        <v>849837</v>
      </c>
      <c r="E3576" s="18" t="n">
        <v>800845</v>
      </c>
      <c r="F3576" s="18" t="n">
        <v>686096</v>
      </c>
      <c r="G3576" s="18" t="n">
        <v>735190</v>
      </c>
      <c r="H3576" s="18" t="n">
        <v>544724</v>
      </c>
      <c r="I3576" s="18" t="n">
        <v>305359</v>
      </c>
      <c r="J3576" s="19" t="n">
        <v>202768.6269913411</v>
      </c>
      <c r="K3576" s="35" t="n">
        <v>-0.1851174500004378</v>
      </c>
    </row>
    <row r="3577">
      <c r="A3577" s="36" t="inlineStr">
        <is>
          <t>Arbeidsgiveravgift</t>
        </is>
      </c>
      <c r="B3577" s="36" t="inlineStr">
        <is>
          <t>Region Midt-Norge</t>
        </is>
      </c>
      <c r="C3577" s="36" t="inlineStr">
        <is>
          <t>SpisskompetansemiljøF4 behandling ungdom</t>
        </is>
      </c>
      <c r="D3577" s="26" t="n"/>
      <c r="E3577" s="26" t="n"/>
      <c r="F3577" s="26" t="n"/>
      <c r="G3577" s="26" t="n">
        <v>599962</v>
      </c>
      <c r="H3577" s="26" t="n">
        <v>631193</v>
      </c>
      <c r="I3577" s="26" t="n">
        <v>589035</v>
      </c>
      <c r="J3577" s="19" t="n">
        <v>668098.2228749999</v>
      </c>
      <c r="K3577" s="37" t="n">
        <v>0.065</v>
      </c>
    </row>
    <row r="3578">
      <c r="A3578" s="34" t="inlineStr">
        <is>
          <t>Arbeidsgiveravgift</t>
        </is>
      </c>
      <c r="B3578" s="34" t="inlineStr">
        <is>
          <t>Region Midt-Norge</t>
        </is>
      </c>
      <c r="C3578" s="34" t="inlineStr">
        <is>
          <t>Stjørdal ungdomssenter</t>
        </is>
      </c>
      <c r="D3578" s="18" t="n">
        <v>2833052</v>
      </c>
      <c r="E3578" s="18" t="n">
        <v>2057969</v>
      </c>
      <c r="F3578" s="18" t="n">
        <v>710864</v>
      </c>
      <c r="G3578" s="18" t="n">
        <v>-1605</v>
      </c>
      <c r="H3578" s="18" t="n"/>
      <c r="I3578" s="18" t="n"/>
      <c r="J3578" s="19" t="n">
        <v>0</v>
      </c>
      <c r="K3578" s="35" t="n">
        <v>0.065</v>
      </c>
    </row>
    <row r="3579">
      <c r="A3579" s="36" t="inlineStr">
        <is>
          <t>Arbeidsgiveravgift</t>
        </is>
      </c>
      <c r="B3579" s="36" t="inlineStr">
        <is>
          <t>Region Midt-Norge</t>
        </is>
      </c>
      <c r="C3579" s="36" t="inlineStr">
        <is>
          <t>Sunnmørsheimen akuttinsitusjon</t>
        </is>
      </c>
      <c r="D3579" s="26" t="n"/>
      <c r="E3579" s="26" t="n"/>
      <c r="F3579" s="26" t="n"/>
      <c r="G3579" s="26" t="n"/>
      <c r="H3579" s="26" t="n"/>
      <c r="I3579" s="26" t="n">
        <v>1516</v>
      </c>
      <c r="J3579" s="19" t="n">
        <v>1719.4851</v>
      </c>
      <c r="K3579" s="37" t="n">
        <v>0.065</v>
      </c>
    </row>
    <row r="3580">
      <c r="A3580" s="34" t="inlineStr">
        <is>
          <t>Arbeidsgiveravgift</t>
        </is>
      </c>
      <c r="B3580" s="34" t="inlineStr">
        <is>
          <t>Region Midt-Norge</t>
        </is>
      </c>
      <c r="C3580" s="34" t="inlineStr">
        <is>
          <t>Sunnmørsheimen akuttinstitusjon, avd. Klatrevegen</t>
        </is>
      </c>
      <c r="D3580" s="18" t="n"/>
      <c r="E3580" s="18" t="n"/>
      <c r="F3580" s="18" t="n">
        <v>896784</v>
      </c>
      <c r="G3580" s="18" t="n">
        <v>1846644</v>
      </c>
      <c r="H3580" s="18" t="n">
        <v>1985172</v>
      </c>
      <c r="I3580" s="18" t="n">
        <v>2528902</v>
      </c>
      <c r="J3580" s="19" t="n">
        <v>2868343.870949999</v>
      </c>
      <c r="K3580" s="35" t="n">
        <v>0.065</v>
      </c>
    </row>
    <row r="3581">
      <c r="A3581" s="36" t="inlineStr">
        <is>
          <t>Arbeidsgiveravgift</t>
        </is>
      </c>
      <c r="B3581" s="36" t="inlineStr">
        <is>
          <t>Region Midt-Norge</t>
        </is>
      </c>
      <c r="C3581" s="36" t="inlineStr">
        <is>
          <t>Sunnmørsheimen ungdomsheim</t>
        </is>
      </c>
      <c r="D3581" s="26" t="n">
        <v>31227</v>
      </c>
      <c r="E3581" s="26" t="n">
        <v>81764</v>
      </c>
      <c r="F3581" s="26" t="n">
        <v>38317</v>
      </c>
      <c r="G3581" s="26" t="n">
        <v>40595</v>
      </c>
      <c r="H3581" s="26" t="n">
        <v>42471</v>
      </c>
      <c r="I3581" s="26" t="n">
        <v>49713</v>
      </c>
      <c r="J3581" s="19" t="n">
        <v>59875.04537511343</v>
      </c>
      <c r="K3581" s="37" t="n">
        <v>0.09745808360507291</v>
      </c>
    </row>
    <row r="3582">
      <c r="A3582" s="34" t="inlineStr">
        <is>
          <t>Arbeidsgiveravgift</t>
        </is>
      </c>
      <c r="B3582" s="34" t="inlineStr">
        <is>
          <t>Region Midt-Norge</t>
        </is>
      </c>
      <c r="C3582" s="34" t="inlineStr">
        <is>
          <t>Sunnmørsheimen ungdomsheim, avd. Klatrevegen</t>
        </is>
      </c>
      <c r="D3582" s="18" t="n">
        <v>1406631</v>
      </c>
      <c r="E3582" s="18" t="n">
        <v>1490215</v>
      </c>
      <c r="F3582" s="18" t="n">
        <v>679437</v>
      </c>
      <c r="G3582" s="18" t="n">
        <v>-576</v>
      </c>
      <c r="H3582" s="18" t="n"/>
      <c r="I3582" s="18" t="n"/>
      <c r="J3582" s="19" t="n">
        <v>0</v>
      </c>
      <c r="K3582" s="35" t="n">
        <v>0.065</v>
      </c>
    </row>
    <row r="3583">
      <c r="A3583" s="36" t="inlineStr">
        <is>
          <t>Arbeidsgiveravgift</t>
        </is>
      </c>
      <c r="B3583" s="36" t="inlineStr">
        <is>
          <t>Region Midt-Norge</t>
        </is>
      </c>
      <c r="C3583" s="36" t="inlineStr">
        <is>
          <t>Sunnmørsheimen ungdomsheim, avd. Nygardsvegen</t>
        </is>
      </c>
      <c r="D3583" s="26" t="n">
        <v>1438285</v>
      </c>
      <c r="E3583" s="26" t="n">
        <v>1597398</v>
      </c>
      <c r="F3583" s="26" t="n">
        <v>1642246</v>
      </c>
      <c r="G3583" s="26" t="n">
        <v>1813045</v>
      </c>
      <c r="H3583" s="26" t="n">
        <v>2155119</v>
      </c>
      <c r="I3583" s="26" t="n">
        <v>2026839</v>
      </c>
      <c r="J3583" s="19" t="n">
        <v>2324925.135155072</v>
      </c>
      <c r="K3583" s="37" t="n">
        <v>0.07101329069271189</v>
      </c>
    </row>
    <row r="3584">
      <c r="A3584" s="34" t="inlineStr">
        <is>
          <t>Arbeidsgiveravgift</t>
        </is>
      </c>
      <c r="B3584" s="34" t="inlineStr">
        <is>
          <t>Region Midt-Norge</t>
        </is>
      </c>
      <c r="C3584" s="34" t="inlineStr">
        <is>
          <t>TFCO Trondheim</t>
        </is>
      </c>
      <c r="D3584" s="18" t="n">
        <v>324865</v>
      </c>
      <c r="E3584" s="18" t="n">
        <v>860963</v>
      </c>
      <c r="F3584" s="18" t="n">
        <v>685099</v>
      </c>
      <c r="G3584" s="18" t="n">
        <v>671295</v>
      </c>
      <c r="H3584" s="18" t="n">
        <v>381149</v>
      </c>
      <c r="I3584" s="18" t="n">
        <v>5243</v>
      </c>
      <c r="J3584" s="19" t="n">
        <v>2949.1875</v>
      </c>
      <c r="K3584" s="35" t="n">
        <v>-0.25</v>
      </c>
    </row>
    <row r="3585">
      <c r="A3585" s="36" t="inlineStr">
        <is>
          <t>Arbeidsgiveravgift</t>
        </is>
      </c>
      <c r="B3585" s="36" t="inlineStr">
        <is>
          <t>Region Midt-Norge</t>
        </is>
      </c>
      <c r="C3585" s="36" t="inlineStr">
        <is>
          <t>TFCO Trondheim, avdeling fosterhjem</t>
        </is>
      </c>
      <c r="D3585" s="26" t="n"/>
      <c r="E3585" s="26" t="n"/>
      <c r="F3585" s="26" t="n">
        <v>170437</v>
      </c>
      <c r="G3585" s="26" t="n">
        <v>332667</v>
      </c>
      <c r="H3585" s="26" t="n">
        <v>178129</v>
      </c>
      <c r="I3585" s="26" t="n"/>
      <c r="J3585" s="19" t="n">
        <v>0</v>
      </c>
      <c r="K3585" s="37" t="n">
        <v>0.065</v>
      </c>
    </row>
    <row r="3586">
      <c r="A3586" s="34" t="inlineStr">
        <is>
          <t>Arbeidsgiveravgift</t>
        </is>
      </c>
      <c r="B3586" s="34" t="inlineStr">
        <is>
          <t>Region Midt-Norge</t>
        </is>
      </c>
      <c r="C3586" s="34" t="inlineStr">
        <is>
          <t>Trøndelag behandlingssenter for ungdom</t>
        </is>
      </c>
      <c r="D3586" s="18" t="n">
        <v>227452</v>
      </c>
      <c r="E3586" s="18" t="n">
        <v>701394</v>
      </c>
      <c r="F3586" s="18" t="n">
        <v>929341</v>
      </c>
      <c r="G3586" s="18" t="n">
        <v>437434</v>
      </c>
      <c r="H3586" s="18" t="n">
        <v>463871</v>
      </c>
      <c r="I3586" s="18" t="n">
        <v>404456</v>
      </c>
      <c r="J3586" s="19" t="n">
        <v>509171.2709878904</v>
      </c>
      <c r="K3586" s="35" t="n">
        <v>0.1220089068514318</v>
      </c>
    </row>
    <row r="3587">
      <c r="A3587" s="36" t="inlineStr">
        <is>
          <t>Arbeidsgiveravgift</t>
        </is>
      </c>
      <c r="B3587" s="36" t="inlineStr">
        <is>
          <t>Region Midt-Norge</t>
        </is>
      </c>
      <c r="C3587" s="36" t="inlineStr">
        <is>
          <t>Vikhovlia akuttsenter</t>
        </is>
      </c>
      <c r="D3587" s="26" t="n">
        <v>2027578</v>
      </c>
      <c r="E3587" s="26" t="n">
        <v>2156111</v>
      </c>
      <c r="F3587" s="26" t="n">
        <v>2292784</v>
      </c>
      <c r="G3587" s="26" t="n">
        <v>2759080</v>
      </c>
      <c r="H3587" s="26" t="n">
        <v>3077783</v>
      </c>
      <c r="I3587" s="26" t="n">
        <v>3107053</v>
      </c>
      <c r="J3587" s="19" t="n">
        <v>3685505.791273233</v>
      </c>
      <c r="K3587" s="37" t="n">
        <v>0.08911620064256498</v>
      </c>
    </row>
    <row r="3588">
      <c r="A3588" s="34" t="inlineStr">
        <is>
          <t>Arbeidsgiveravgift</t>
        </is>
      </c>
      <c r="B3588" s="34" t="inlineStr">
        <is>
          <t>Region Midt-Norge</t>
        </is>
      </c>
      <c r="C3588" s="34" t="inlineStr">
        <is>
          <t>Vikhovlia, beredskapshjem</t>
        </is>
      </c>
      <c r="D3588" s="18" t="n"/>
      <c r="E3588" s="18" t="n"/>
      <c r="F3588" s="18" t="n"/>
      <c r="G3588" s="18" t="n"/>
      <c r="H3588" s="18" t="n"/>
      <c r="I3588" s="18" t="n">
        <v>1722</v>
      </c>
      <c r="J3588" s="19" t="n">
        <v>1953.13545</v>
      </c>
      <c r="K3588" s="35" t="n">
        <v>0.065</v>
      </c>
    </row>
    <row r="3589">
      <c r="A3589" s="36" t="inlineStr">
        <is>
          <t>Arbeidsgiveravgift</t>
        </is>
      </c>
      <c r="B3589" s="36" t="inlineStr">
        <is>
          <t>Region Nord</t>
        </is>
      </c>
      <c r="C3589" s="36" t="inlineStr">
        <is>
          <t>Alta Ungdomssenter sjøtun</t>
        </is>
      </c>
      <c r="D3589" s="26" t="n"/>
      <c r="E3589" s="26" t="n">
        <v>272</v>
      </c>
      <c r="F3589" s="26" t="n">
        <v>6892</v>
      </c>
      <c r="G3589" s="26" t="n">
        <v>2599</v>
      </c>
      <c r="H3589" s="26" t="n"/>
      <c r="I3589" s="26" t="n">
        <v>76</v>
      </c>
      <c r="J3589" s="19" t="n">
        <v>42.75</v>
      </c>
      <c r="K3589" s="37" t="n">
        <v>-0.25</v>
      </c>
    </row>
    <row r="3590">
      <c r="A3590" s="34" t="inlineStr">
        <is>
          <t>Arbeidsgiveravgift</t>
        </is>
      </c>
      <c r="B3590" s="34" t="inlineStr">
        <is>
          <t>Region Nord</t>
        </is>
      </c>
      <c r="C3590" s="34" t="inlineStr">
        <is>
          <t>Alta ungdomssenter Utsikten akutt</t>
        </is>
      </c>
      <c r="D3590" s="18" t="n"/>
      <c r="E3590" s="18" t="n"/>
      <c r="F3590" s="18" t="n"/>
      <c r="G3590" s="18" t="n"/>
      <c r="H3590" s="18" t="n"/>
      <c r="I3590" s="18" t="n">
        <v>8166</v>
      </c>
      <c r="J3590" s="19" t="n">
        <v>9262.081349999999</v>
      </c>
      <c r="K3590" s="35" t="n">
        <v>0.065</v>
      </c>
    </row>
    <row r="3591">
      <c r="A3591" s="36" t="inlineStr">
        <is>
          <t>Arbeidsgiveravgift</t>
        </is>
      </c>
      <c r="B3591" s="36" t="inlineStr">
        <is>
          <t>Region Nord</t>
        </is>
      </c>
      <c r="C3591" s="36" t="inlineStr">
        <is>
          <t>Avdelingsdirektør omsorg for ungdom og behandling av ungdom</t>
        </is>
      </c>
      <c r="D3591" s="26" t="n"/>
      <c r="E3591" s="26" t="n"/>
      <c r="F3591" s="26" t="n"/>
      <c r="G3591" s="26" t="n"/>
      <c r="H3591" s="26" t="n">
        <v>24234</v>
      </c>
      <c r="I3591" s="26" t="n">
        <v>-23939</v>
      </c>
      <c r="J3591" s="19" t="n">
        <v>-27152.21227499999</v>
      </c>
      <c r="K3591" s="37" t="n">
        <v>0.065</v>
      </c>
    </row>
    <row r="3592">
      <c r="A3592" s="34" t="inlineStr">
        <is>
          <t>Arbeidsgiveravgift</t>
        </is>
      </c>
      <c r="B3592" s="34" t="inlineStr">
        <is>
          <t>Region Nord</t>
        </is>
      </c>
      <c r="C3592" s="34" t="inlineStr">
        <is>
          <t>Bodø behandlingssenter Landegode</t>
        </is>
      </c>
      <c r="D3592" s="18" t="n"/>
      <c r="E3592" s="18" t="n"/>
      <c r="F3592" s="18" t="n"/>
      <c r="G3592" s="18" t="n">
        <v>4207</v>
      </c>
      <c r="H3592" s="18" t="n">
        <v>50005</v>
      </c>
      <c r="I3592" s="18" t="n">
        <v>37685</v>
      </c>
      <c r="J3592" s="19" t="n">
        <v>42743.26912499999</v>
      </c>
      <c r="K3592" s="35" t="n">
        <v>0.065</v>
      </c>
    </row>
    <row r="3593">
      <c r="A3593" s="36" t="inlineStr">
        <is>
          <t>Arbeidsgiveravgift</t>
        </is>
      </c>
      <c r="B3593" s="36" t="inlineStr">
        <is>
          <t>Region Nord</t>
        </is>
      </c>
      <c r="C3593" s="36" t="inlineStr">
        <is>
          <t>Bodø behandlingssenter Sandhornet</t>
        </is>
      </c>
      <c r="D3593" s="26" t="n">
        <v>1040412</v>
      </c>
      <c r="E3593" s="26" t="n">
        <v>1091398</v>
      </c>
      <c r="F3593" s="26" t="n">
        <v>1200495</v>
      </c>
      <c r="G3593" s="26" t="n">
        <v>1222574</v>
      </c>
      <c r="H3593" s="26" t="n">
        <v>1293966</v>
      </c>
      <c r="I3593" s="26" t="n">
        <v>1424625</v>
      </c>
      <c r="J3593" s="19" t="n">
        <v>1615469.060189173</v>
      </c>
      <c r="K3593" s="37" t="n">
        <v>0.06487600646457015</v>
      </c>
    </row>
    <row r="3594">
      <c r="A3594" s="34" t="inlineStr">
        <is>
          <t>Arbeidsgiveravgift</t>
        </is>
      </c>
      <c r="B3594" s="34" t="inlineStr">
        <is>
          <t>Region Nord</t>
        </is>
      </c>
      <c r="C3594" s="34" t="inlineStr">
        <is>
          <t>Bodø behandlingssenter adm</t>
        </is>
      </c>
      <c r="D3594" s="18" t="n">
        <v>151839</v>
      </c>
      <c r="E3594" s="18" t="n">
        <v>159894</v>
      </c>
      <c r="F3594" s="18" t="n">
        <v>166463</v>
      </c>
      <c r="G3594" s="18" t="n">
        <v>174647</v>
      </c>
      <c r="H3594" s="18" t="n">
        <v>174021</v>
      </c>
      <c r="I3594" s="18" t="n">
        <v>184059</v>
      </c>
      <c r="J3594" s="19" t="n">
        <v>198786.3444859935</v>
      </c>
      <c r="K3594" s="35" t="n">
        <v>0.03923734485375108</v>
      </c>
    </row>
    <row r="3595">
      <c r="A3595" s="36" t="inlineStr">
        <is>
          <t>Arbeidsgiveravgift</t>
        </is>
      </c>
      <c r="B3595" s="36" t="inlineStr">
        <is>
          <t>Region Nord</t>
        </is>
      </c>
      <c r="C3595" s="36" t="inlineStr">
        <is>
          <t>Bodø behandlingssenter avdeling 3</t>
        </is>
      </c>
      <c r="D3595" s="26" t="n"/>
      <c r="E3595" s="26" t="n"/>
      <c r="F3595" s="26" t="n"/>
      <c r="G3595" s="26" t="n"/>
      <c r="H3595" s="26" t="n"/>
      <c r="I3595" s="26" t="n">
        <v>23190</v>
      </c>
      <c r="J3595" s="19" t="n">
        <v>26302.67775</v>
      </c>
      <c r="K3595" s="37" t="n">
        <v>0.065</v>
      </c>
    </row>
    <row r="3596">
      <c r="A3596" s="34" t="inlineStr">
        <is>
          <t>Arbeidsgiveravgift</t>
        </is>
      </c>
      <c r="B3596" s="34" t="inlineStr">
        <is>
          <t>Region Nord</t>
        </is>
      </c>
      <c r="C3596" s="34" t="inlineStr">
        <is>
          <t>Enhet for inntak avd. akutt</t>
        </is>
      </c>
      <c r="D3596" s="18" t="n"/>
      <c r="E3596" s="18" t="n"/>
      <c r="F3596" s="18" t="n"/>
      <c r="G3596" s="18" t="n"/>
      <c r="H3596" s="18" t="n">
        <v>50466</v>
      </c>
      <c r="I3596" s="18" t="n">
        <v>61686</v>
      </c>
      <c r="J3596" s="19" t="n">
        <v>69965.80334999999</v>
      </c>
      <c r="K3596" s="35" t="n">
        <v>0.065</v>
      </c>
    </row>
    <row r="3597">
      <c r="A3597" s="36" t="inlineStr">
        <is>
          <t>Arbeidsgiveravgift</t>
        </is>
      </c>
      <c r="B3597" s="36" t="inlineStr">
        <is>
          <t>Region Nord</t>
        </is>
      </c>
      <c r="C3597" s="36" t="inlineStr">
        <is>
          <t>Enhet for spesialiserte fosterhjem</t>
        </is>
      </c>
      <c r="D3597" s="26" t="n">
        <v>1269</v>
      </c>
      <c r="E3597" s="26" t="n">
        <v>97</v>
      </c>
      <c r="F3597" s="26" t="n">
        <v>97</v>
      </c>
      <c r="G3597" s="26" t="n">
        <v>72</v>
      </c>
      <c r="H3597" s="26" t="n"/>
      <c r="I3597" s="26" t="n"/>
      <c r="J3597" s="19" t="n">
        <v>0</v>
      </c>
      <c r="K3597" s="37" t="n">
        <v>0.065</v>
      </c>
    </row>
    <row r="3598">
      <c r="A3598" s="34" t="inlineStr">
        <is>
          <t>Arbeidsgiveravgift</t>
        </is>
      </c>
      <c r="B3598" s="34" t="inlineStr">
        <is>
          <t>Region Nord</t>
        </is>
      </c>
      <c r="C3598" s="34" t="inlineStr">
        <is>
          <t>FHT RN - formidling/oppfølging</t>
        </is>
      </c>
      <c r="D3598" s="18" t="n"/>
      <c r="E3598" s="18" t="n"/>
      <c r="F3598" s="18" t="n">
        <v>11351</v>
      </c>
      <c r="G3598" s="18" t="n"/>
      <c r="H3598" s="18" t="n"/>
      <c r="I3598" s="18" t="n"/>
      <c r="J3598" s="19" t="n">
        <v>0</v>
      </c>
      <c r="K3598" s="35" t="n">
        <v>0.065</v>
      </c>
    </row>
    <row r="3599">
      <c r="A3599" s="36" t="inlineStr">
        <is>
          <t>Arbeidsgiveravgift</t>
        </is>
      </c>
      <c r="B3599" s="36" t="inlineStr">
        <is>
          <t>Region Nord</t>
        </is>
      </c>
      <c r="C3599" s="36" t="inlineStr">
        <is>
          <t>KUS SKM Omsorg for ungdom</t>
        </is>
      </c>
      <c r="D3599" s="26" t="n">
        <v>184115</v>
      </c>
      <c r="E3599" s="26" t="n">
        <v>249863</v>
      </c>
      <c r="F3599" s="26" t="n">
        <v>297849</v>
      </c>
      <c r="G3599" s="26" t="n">
        <v>284796</v>
      </c>
      <c r="H3599" s="26" t="n">
        <v>287218</v>
      </c>
      <c r="I3599" s="26" t="n">
        <v>355234</v>
      </c>
      <c r="J3599" s="19" t="n">
        <v>462045.4178154563</v>
      </c>
      <c r="K3599" s="37" t="n">
        <v>0.1404731646172384</v>
      </c>
    </row>
    <row r="3600">
      <c r="A3600" s="34" t="inlineStr">
        <is>
          <t>Arbeidsgiveravgift</t>
        </is>
      </c>
      <c r="B3600" s="34" t="inlineStr">
        <is>
          <t>Region Nord</t>
        </is>
      </c>
      <c r="C3600" s="34" t="inlineStr">
        <is>
          <t>Lamo ungdomssenter Tunet</t>
        </is>
      </c>
      <c r="D3600" s="18" t="n">
        <v>691986</v>
      </c>
      <c r="E3600" s="18" t="n">
        <v>914606</v>
      </c>
      <c r="F3600" s="18" t="n">
        <v>671362</v>
      </c>
      <c r="G3600" s="18" t="n">
        <v>960940</v>
      </c>
      <c r="H3600" s="18" t="n">
        <v>816330</v>
      </c>
      <c r="I3600" s="18" t="n">
        <v>848232</v>
      </c>
      <c r="J3600" s="19" t="n">
        <v>920198.6465625786</v>
      </c>
      <c r="K3600" s="35" t="n">
        <v>0.04155802368256434</v>
      </c>
    </row>
    <row r="3601">
      <c r="A3601" s="36" t="inlineStr">
        <is>
          <t>Arbeidsgiveravgift</t>
        </is>
      </c>
      <c r="B3601" s="36" t="inlineStr">
        <is>
          <t>Region Nord</t>
        </is>
      </c>
      <c r="C3601" s="36" t="inlineStr">
        <is>
          <t>Lamo ungdomssenter adm</t>
        </is>
      </c>
      <c r="D3601" s="26" t="n">
        <v>41470</v>
      </c>
      <c r="E3601" s="26" t="n">
        <v>38850</v>
      </c>
      <c r="F3601" s="26" t="n">
        <v>53726</v>
      </c>
      <c r="G3601" s="26" t="n">
        <v>63063</v>
      </c>
      <c r="H3601" s="26" t="n">
        <v>61403</v>
      </c>
      <c r="I3601" s="26" t="n">
        <v>62466</v>
      </c>
      <c r="J3601" s="19" t="n">
        <v>73588.09518923664</v>
      </c>
      <c r="K3601" s="37" t="n">
        <v>0.08538029392274815</v>
      </c>
    </row>
    <row r="3602">
      <c r="A3602" s="34" t="inlineStr">
        <is>
          <t>Arbeidsgiveravgift</t>
        </is>
      </c>
      <c r="B3602" s="34" t="inlineStr">
        <is>
          <t>Region Nord</t>
        </is>
      </c>
      <c r="C3602" s="34" t="inlineStr">
        <is>
          <t>Nye Kvæfjord ungdomssenter Lilleheimen</t>
        </is>
      </c>
      <c r="D3602" s="18" t="n">
        <v>526519</v>
      </c>
      <c r="E3602" s="18" t="n">
        <v>521418</v>
      </c>
      <c r="F3602" s="18" t="n">
        <v>493999</v>
      </c>
      <c r="G3602" s="18" t="n">
        <v>558831</v>
      </c>
      <c r="H3602" s="18" t="n">
        <v>604281</v>
      </c>
      <c r="I3602" s="18" t="n">
        <v>603288</v>
      </c>
      <c r="J3602" s="19" t="n">
        <v>637043.2853766223</v>
      </c>
      <c r="K3602" s="35" t="n">
        <v>0.02759534397281405</v>
      </c>
    </row>
    <row r="3603">
      <c r="A3603" s="36" t="inlineStr">
        <is>
          <t>Arbeidsgiveravgift</t>
        </is>
      </c>
      <c r="B3603" s="36" t="inlineStr">
        <is>
          <t>Region Nord</t>
        </is>
      </c>
      <c r="C3603" s="36" t="inlineStr">
        <is>
          <t>Nye Kvæfjord ungdomssenter Storheimen</t>
        </is>
      </c>
      <c r="D3603" s="26" t="n">
        <v>532977</v>
      </c>
      <c r="E3603" s="26" t="n">
        <v>576578</v>
      </c>
      <c r="F3603" s="26" t="n">
        <v>558484</v>
      </c>
      <c r="G3603" s="26" t="n">
        <v>599093</v>
      </c>
      <c r="H3603" s="26" t="n">
        <v>718049</v>
      </c>
      <c r="I3603" s="26" t="n">
        <v>770591</v>
      </c>
      <c r="J3603" s="19" t="n">
        <v>893038.3682973839</v>
      </c>
      <c r="K3603" s="37" t="n">
        <v>0.07652245441732419</v>
      </c>
    </row>
    <row r="3604">
      <c r="A3604" s="34" t="inlineStr">
        <is>
          <t>Arbeidsgiveravgift</t>
        </is>
      </c>
      <c r="B3604" s="34" t="inlineStr">
        <is>
          <t>Region Nord</t>
        </is>
      </c>
      <c r="C3604" s="34" t="inlineStr">
        <is>
          <t>Nye Kvæfjord ungdomssenter adm</t>
        </is>
      </c>
      <c r="D3604" s="18" t="n">
        <v>104791</v>
      </c>
      <c r="E3604" s="18" t="n">
        <v>99392</v>
      </c>
      <c r="F3604" s="18" t="n">
        <v>111615</v>
      </c>
      <c r="G3604" s="18" t="n">
        <v>135396</v>
      </c>
      <c r="H3604" s="18" t="n">
        <v>150940</v>
      </c>
      <c r="I3604" s="18" t="n">
        <v>180208</v>
      </c>
      <c r="J3604" s="19" t="n">
        <v>223848.4541433171</v>
      </c>
      <c r="K3604" s="35" t="n">
        <v>0.1145255178283515</v>
      </c>
    </row>
    <row r="3605">
      <c r="A3605" s="36" t="inlineStr">
        <is>
          <t>Arbeidsgiveravgift</t>
        </is>
      </c>
      <c r="B3605" s="36" t="inlineStr">
        <is>
          <t>Region Nord</t>
        </is>
      </c>
      <c r="C3605" s="36" t="inlineStr">
        <is>
          <t>Røvika ungdomssenter Administrasjon</t>
        </is>
      </c>
      <c r="D3605" s="26" t="n">
        <v>81442</v>
      </c>
      <c r="E3605" s="26" t="n">
        <v>90657</v>
      </c>
      <c r="F3605" s="26" t="n">
        <v>93788</v>
      </c>
      <c r="G3605" s="26" t="n">
        <v>87013</v>
      </c>
      <c r="H3605" s="26" t="n">
        <v>81540</v>
      </c>
      <c r="I3605" s="26" t="n">
        <v>73747</v>
      </c>
      <c r="J3605" s="19" t="n">
        <v>70876.57604832348</v>
      </c>
      <c r="K3605" s="37" t="n">
        <v>-0.01965444154942586</v>
      </c>
    </row>
    <row r="3606">
      <c r="A3606" s="34" t="inlineStr">
        <is>
          <t>Arbeidsgiveravgift</t>
        </is>
      </c>
      <c r="B3606" s="34" t="inlineStr">
        <is>
          <t>Region Nord</t>
        </is>
      </c>
      <c r="C3606" s="34" t="inlineStr">
        <is>
          <t>Røvika ungdomssenter Skogly</t>
        </is>
      </c>
      <c r="D3606" s="18" t="n">
        <v>586080</v>
      </c>
      <c r="E3606" s="18" t="n">
        <v>587441</v>
      </c>
      <c r="F3606" s="18" t="n">
        <v>662229</v>
      </c>
      <c r="G3606" s="18" t="n">
        <v>821984</v>
      </c>
      <c r="H3606" s="18" t="n">
        <v>768670</v>
      </c>
      <c r="I3606" s="18" t="n">
        <v>747727</v>
      </c>
      <c r="J3606" s="19" t="n">
        <v>824247.2896782821</v>
      </c>
      <c r="K3606" s="35" t="n">
        <v>0.04992247468745292</v>
      </c>
    </row>
    <row r="3607">
      <c r="A3607" s="36" t="inlineStr">
        <is>
          <t>Arbeidsgiveravgift</t>
        </is>
      </c>
      <c r="B3607" s="36" t="inlineStr">
        <is>
          <t>Region Nord</t>
        </is>
      </c>
      <c r="C3607" s="36" t="inlineStr">
        <is>
          <t>Røvika ungdomssenter beredskapshjem</t>
        </is>
      </c>
      <c r="D3607" s="26" t="n"/>
      <c r="E3607" s="26" t="n"/>
      <c r="F3607" s="26" t="n">
        <v>3889</v>
      </c>
      <c r="G3607" s="26" t="n">
        <v>18507</v>
      </c>
      <c r="H3607" s="26" t="n">
        <v>-16221</v>
      </c>
      <c r="I3607" s="26" t="n"/>
      <c r="J3607" s="19" t="n">
        <v>0</v>
      </c>
      <c r="K3607" s="37" t="n">
        <v>0.065</v>
      </c>
    </row>
    <row r="3608">
      <c r="A3608" s="34" t="inlineStr">
        <is>
          <t>Arbeidsgiveravgift</t>
        </is>
      </c>
      <c r="B3608" s="34" t="inlineStr">
        <is>
          <t>Region Nord</t>
        </is>
      </c>
      <c r="C3608" s="34" t="inlineStr">
        <is>
          <t>Røvika ungdomssenter Åsheim akutt</t>
        </is>
      </c>
      <c r="D3608" s="18" t="n"/>
      <c r="E3608" s="18" t="n"/>
      <c r="F3608" s="18" t="n"/>
      <c r="G3608" s="18" t="n"/>
      <c r="H3608" s="18" t="n">
        <v>133386</v>
      </c>
      <c r="I3608" s="18" t="n">
        <v>444692</v>
      </c>
      <c r="J3608" s="19" t="n">
        <v>504380.7836999999</v>
      </c>
      <c r="K3608" s="35" t="n">
        <v>0.065</v>
      </c>
    </row>
    <row r="3609">
      <c r="A3609" s="36" t="inlineStr">
        <is>
          <t>Arbeidsgiveravgift</t>
        </is>
      </c>
      <c r="B3609" s="36" t="inlineStr">
        <is>
          <t>Region Nord</t>
        </is>
      </c>
      <c r="C3609" s="36" t="inlineStr">
        <is>
          <t>Røvika Åsheim</t>
        </is>
      </c>
      <c r="D3609" s="26" t="n">
        <v>351664</v>
      </c>
      <c r="E3609" s="26" t="n">
        <v>480901</v>
      </c>
      <c r="F3609" s="26" t="n">
        <v>575354</v>
      </c>
      <c r="G3609" s="26" t="n">
        <v>529714</v>
      </c>
      <c r="H3609" s="26" t="n">
        <v>324059</v>
      </c>
      <c r="I3609" s="26" t="n">
        <v>3260</v>
      </c>
      <c r="J3609" s="19" t="n">
        <v>1833.75</v>
      </c>
      <c r="K3609" s="37" t="n">
        <v>-0.25</v>
      </c>
    </row>
    <row r="3610">
      <c r="A3610" s="34" t="inlineStr">
        <is>
          <t>Arbeidsgiveravgift</t>
        </is>
      </c>
      <c r="B3610" s="34" t="inlineStr">
        <is>
          <t>Region Nord</t>
        </is>
      </c>
      <c r="C3610" s="34" t="inlineStr">
        <is>
          <t>Seksjon faglig støtte</t>
        </is>
      </c>
      <c r="D3610" s="18" t="n"/>
      <c r="E3610" s="18" t="n"/>
      <c r="F3610" s="18" t="n"/>
      <c r="G3610" s="18" t="n">
        <v>38569</v>
      </c>
      <c r="H3610" s="18" t="n">
        <v>58399</v>
      </c>
      <c r="I3610" s="18" t="n">
        <v>128083</v>
      </c>
      <c r="J3610" s="19" t="n">
        <v>145274.940675</v>
      </c>
      <c r="K3610" s="35" t="n">
        <v>0.065</v>
      </c>
    </row>
    <row r="3611">
      <c r="A3611" s="36" t="inlineStr">
        <is>
          <t>Arbeidsgiveravgift</t>
        </is>
      </c>
      <c r="B3611" s="36" t="inlineStr">
        <is>
          <t>Region Nord</t>
        </is>
      </c>
      <c r="C3611" s="36" t="inlineStr">
        <is>
          <t>Silsand ungdomssenter Administrasjon F4</t>
        </is>
      </c>
      <c r="D3611" s="26" t="n"/>
      <c r="E3611" s="26" t="n"/>
      <c r="F3611" s="26" t="n"/>
      <c r="G3611" s="26" t="n"/>
      <c r="H3611" s="26" t="n">
        <v>64272</v>
      </c>
      <c r="I3611" s="26" t="n">
        <v>80157</v>
      </c>
      <c r="J3611" s="19" t="n">
        <v>90916.07332499999</v>
      </c>
      <c r="K3611" s="37" t="n">
        <v>0.065</v>
      </c>
    </row>
    <row r="3612">
      <c r="A3612" s="34" t="inlineStr">
        <is>
          <t>Arbeidsgiveravgift</t>
        </is>
      </c>
      <c r="B3612" s="34" t="inlineStr">
        <is>
          <t>Region Nord</t>
        </is>
      </c>
      <c r="C3612" s="34" t="inlineStr">
        <is>
          <t>Silsand ungdomssenter administrasjon</t>
        </is>
      </c>
      <c r="D3612" s="18" t="n">
        <v>63911</v>
      </c>
      <c r="E3612" s="18" t="n">
        <v>87112</v>
      </c>
      <c r="F3612" s="18" t="n">
        <v>105231</v>
      </c>
      <c r="G3612" s="18" t="n">
        <v>107976</v>
      </c>
      <c r="H3612" s="18" t="n">
        <v>65385</v>
      </c>
      <c r="I3612" s="18" t="n">
        <v>764</v>
      </c>
      <c r="J3612" s="19" t="n">
        <v>429.75</v>
      </c>
      <c r="K3612" s="35" t="n">
        <v>-0.25</v>
      </c>
    </row>
    <row r="3613">
      <c r="A3613" s="36" t="inlineStr">
        <is>
          <t>Arbeidsgiveravgift</t>
        </is>
      </c>
      <c r="B3613" s="36" t="inlineStr">
        <is>
          <t>Region Nord</t>
        </is>
      </c>
      <c r="C3613" s="36" t="inlineStr">
        <is>
          <t>Silsand ungdomssenter avdeling 1</t>
        </is>
      </c>
      <c r="D3613" s="26" t="n">
        <v>651901</v>
      </c>
      <c r="E3613" s="26" t="n">
        <v>640065</v>
      </c>
      <c r="F3613" s="26" t="n">
        <v>594082</v>
      </c>
      <c r="G3613" s="26" t="n">
        <v>659213</v>
      </c>
      <c r="H3613" s="26" t="n">
        <v>448312</v>
      </c>
      <c r="I3613" s="26" t="n">
        <v>3465</v>
      </c>
      <c r="J3613" s="19" t="n">
        <v>1949.0625</v>
      </c>
      <c r="K3613" s="37" t="n">
        <v>-0.25</v>
      </c>
    </row>
    <row r="3614">
      <c r="A3614" s="34" t="inlineStr">
        <is>
          <t>Arbeidsgiveravgift</t>
        </is>
      </c>
      <c r="B3614" s="34" t="inlineStr">
        <is>
          <t>Region Nord</t>
        </is>
      </c>
      <c r="C3614" s="34" t="inlineStr">
        <is>
          <t>Silsand ungdomssenter miljøavdeling</t>
        </is>
      </c>
      <c r="D3614" s="18" t="n"/>
      <c r="E3614" s="18" t="n"/>
      <c r="F3614" s="18" t="n"/>
      <c r="G3614" s="18" t="n"/>
      <c r="H3614" s="18" t="n">
        <v>607222</v>
      </c>
      <c r="I3614" s="18" t="n">
        <v>985406</v>
      </c>
      <c r="J3614" s="19" t="n">
        <v>1117672.12035</v>
      </c>
      <c r="K3614" s="35" t="n">
        <v>0.065</v>
      </c>
    </row>
    <row r="3615">
      <c r="A3615" s="36" t="inlineStr">
        <is>
          <t>Arbeidsgiveravgift</t>
        </is>
      </c>
      <c r="B3615" s="36" t="inlineStr">
        <is>
          <t>Region Nord</t>
        </is>
      </c>
      <c r="C3615" s="36" t="inlineStr">
        <is>
          <t>Solbakken barne- og familiesenter avd. 1 foreldre og barn</t>
        </is>
      </c>
      <c r="D3615" s="26" t="n">
        <v>-2625</v>
      </c>
      <c r="E3615" s="26" t="n"/>
      <c r="F3615" s="26" t="n"/>
      <c r="G3615" s="26" t="n"/>
      <c r="H3615" s="26" t="n"/>
      <c r="I3615" s="26" t="n"/>
      <c r="J3615" s="19" t="n">
        <v>0</v>
      </c>
      <c r="K3615" s="37" t="n">
        <v>0.065</v>
      </c>
    </row>
    <row r="3616">
      <c r="A3616" s="34" t="inlineStr">
        <is>
          <t>Arbeidsgiveravgift</t>
        </is>
      </c>
      <c r="B3616" s="34" t="inlineStr">
        <is>
          <t>Region Nord</t>
        </is>
      </c>
      <c r="C3616" s="34" t="inlineStr">
        <is>
          <t>Sollia barne- og ungdomssenter adm</t>
        </is>
      </c>
      <c r="D3616" s="18" t="n">
        <v>49413</v>
      </c>
      <c r="E3616" s="18" t="n">
        <v>66254</v>
      </c>
      <c r="F3616" s="18" t="n">
        <v>54624</v>
      </c>
      <c r="G3616" s="18" t="n">
        <v>55095</v>
      </c>
      <c r="H3616" s="18" t="n">
        <v>55874</v>
      </c>
      <c r="I3616" s="18" t="n">
        <v>61601</v>
      </c>
      <c r="J3616" s="19" t="n">
        <v>67280.06130498307</v>
      </c>
      <c r="K3616" s="35" t="n">
        <v>0.04507945011097303</v>
      </c>
    </row>
    <row r="3617">
      <c r="A3617" s="36" t="inlineStr">
        <is>
          <t>Arbeidsgiveravgift</t>
        </is>
      </c>
      <c r="B3617" s="36" t="inlineStr">
        <is>
          <t>Region Nord</t>
        </is>
      </c>
      <c r="C3617" s="36" t="inlineStr">
        <is>
          <t>Sollia barne- og ungdomssenter miljøavdeling</t>
        </is>
      </c>
      <c r="D3617" s="26" t="n">
        <v>544274</v>
      </c>
      <c r="E3617" s="26" t="n">
        <v>533171</v>
      </c>
      <c r="F3617" s="26" t="n">
        <v>695862</v>
      </c>
      <c r="G3617" s="26" t="n">
        <v>744208</v>
      </c>
      <c r="H3617" s="26" t="n">
        <v>757852</v>
      </c>
      <c r="I3617" s="26" t="n">
        <v>789856</v>
      </c>
      <c r="J3617" s="19" t="n">
        <v>916727.0677400671</v>
      </c>
      <c r="K3617" s="37" t="n">
        <v>0.07732333440936179</v>
      </c>
    </row>
    <row r="3618">
      <c r="A3618" s="34" t="inlineStr">
        <is>
          <t>Arbeidsgiveravgift</t>
        </is>
      </c>
      <c r="B3618" s="34" t="inlineStr">
        <is>
          <t>Region Nord</t>
        </is>
      </c>
      <c r="C3618" s="34" t="inlineStr">
        <is>
          <t>Tromsø ungdomssenter</t>
        </is>
      </c>
      <c r="D3618" s="18" t="n">
        <v>78165</v>
      </c>
      <c r="E3618" s="18" t="n">
        <v>80710</v>
      </c>
      <c r="F3618" s="18" t="n">
        <v>87031</v>
      </c>
      <c r="G3618" s="18" t="n">
        <v>139981</v>
      </c>
      <c r="H3618" s="18" t="n">
        <v>144511</v>
      </c>
      <c r="I3618" s="18" t="n">
        <v>112842</v>
      </c>
      <c r="J3618" s="19" t="n">
        <v>130693.5491759429</v>
      </c>
      <c r="K3618" s="35" t="n">
        <v>0.07619678061553703</v>
      </c>
    </row>
    <row r="3619">
      <c r="A3619" s="36" t="inlineStr">
        <is>
          <t>Arbeidsgiveravgift</t>
        </is>
      </c>
      <c r="B3619" s="36" t="inlineStr">
        <is>
          <t>Region Nord</t>
        </is>
      </c>
      <c r="C3619" s="36" t="inlineStr">
        <is>
          <t>Tromsø ungdomssenter Fjære</t>
        </is>
      </c>
      <c r="D3619" s="26" t="n">
        <v>822403</v>
      </c>
      <c r="E3619" s="26" t="n">
        <v>823561</v>
      </c>
      <c r="F3619" s="26" t="n">
        <v>708495</v>
      </c>
      <c r="G3619" s="26" t="n">
        <v>809180</v>
      </c>
      <c r="H3619" s="26" t="n">
        <v>858980</v>
      </c>
      <c r="I3619" s="26" t="n">
        <v>1038944</v>
      </c>
      <c r="J3619" s="19" t="n">
        <v>1140762.196400458</v>
      </c>
      <c r="K3619" s="37" t="n">
        <v>0.04785572540404104</v>
      </c>
    </row>
    <row r="3620">
      <c r="A3620" s="34" t="inlineStr">
        <is>
          <t>Arbeidsgiveravgift</t>
        </is>
      </c>
      <c r="B3620" s="34" t="inlineStr">
        <is>
          <t>Region Nord</t>
        </is>
      </c>
      <c r="C3620" s="34" t="inlineStr">
        <is>
          <t>Tromsø ungdomssenter Flo</t>
        </is>
      </c>
      <c r="D3620" s="18" t="n">
        <v>761440</v>
      </c>
      <c r="E3620" s="18" t="n">
        <v>794876</v>
      </c>
      <c r="F3620" s="18" t="n">
        <v>920709</v>
      </c>
      <c r="G3620" s="18" t="n">
        <v>990064</v>
      </c>
      <c r="H3620" s="18" t="n">
        <v>983851</v>
      </c>
      <c r="I3620" s="18" t="n">
        <v>1163260</v>
      </c>
      <c r="J3620" s="19" t="n">
        <v>1378139.680726577</v>
      </c>
      <c r="K3620" s="35" t="n">
        <v>0.08844934270599092</v>
      </c>
    </row>
    <row r="3621">
      <c r="A3621" s="36" t="inlineStr">
        <is>
          <t>Arbeidsgiveravgift</t>
        </is>
      </c>
      <c r="B3621" s="36" t="inlineStr">
        <is>
          <t>Region Nord</t>
        </is>
      </c>
      <c r="C3621" s="36" t="inlineStr">
        <is>
          <t>Yttrabekken ungdomssenter administrasjon</t>
        </is>
      </c>
      <c r="D3621" s="26" t="n">
        <v>57087</v>
      </c>
      <c r="E3621" s="26" t="n">
        <v>58916</v>
      </c>
      <c r="F3621" s="26" t="n">
        <v>61371</v>
      </c>
      <c r="G3621" s="26" t="n">
        <v>65154</v>
      </c>
      <c r="H3621" s="26" t="n">
        <v>64826</v>
      </c>
      <c r="I3621" s="26" t="n">
        <v>70774</v>
      </c>
      <c r="J3621" s="19" t="n">
        <v>77127.33939410603</v>
      </c>
      <c r="K3621" s="37" t="n">
        <v>0.04392020685651699</v>
      </c>
    </row>
    <row r="3622">
      <c r="A3622" s="34" t="inlineStr">
        <is>
          <t>Arbeidsgiveravgift</t>
        </is>
      </c>
      <c r="B3622" s="34" t="inlineStr">
        <is>
          <t>Region Nord</t>
        </is>
      </c>
      <c r="C3622" s="34" t="inlineStr">
        <is>
          <t>Yttrabekken ungdomssenter avdeling 1</t>
        </is>
      </c>
      <c r="D3622" s="18" t="n">
        <v>727216</v>
      </c>
      <c r="E3622" s="18" t="n">
        <v>859619</v>
      </c>
      <c r="F3622" s="18" t="n">
        <v>866727</v>
      </c>
      <c r="G3622" s="18" t="n">
        <v>924866</v>
      </c>
      <c r="H3622" s="18" t="n">
        <v>852735</v>
      </c>
      <c r="I3622" s="18" t="n">
        <v>1022102</v>
      </c>
      <c r="J3622" s="19" t="n">
        <v>1171187.862904073</v>
      </c>
      <c r="K3622" s="35" t="n">
        <v>0.07044944790793317</v>
      </c>
    </row>
    <row r="3623">
      <c r="A3623" s="36" t="inlineStr">
        <is>
          <t>Arbeidsgiveravgift</t>
        </is>
      </c>
      <c r="B3623" s="36" t="inlineStr">
        <is>
          <t>Region Sør</t>
        </is>
      </c>
      <c r="C3623" s="36" t="inlineStr">
        <is>
          <t>Agder ungdomshjem</t>
        </is>
      </c>
      <c r="D3623" s="26" t="n">
        <v>187169</v>
      </c>
      <c r="E3623" s="26" t="n">
        <v>114982</v>
      </c>
      <c r="F3623" s="26" t="n">
        <v>190022</v>
      </c>
      <c r="G3623" s="26" t="n">
        <v>133509</v>
      </c>
      <c r="H3623" s="26" t="n">
        <v>132082</v>
      </c>
      <c r="I3623" s="26" t="n">
        <v>143544</v>
      </c>
      <c r="J3623" s="19" t="n">
        <v>129087.8875162218</v>
      </c>
      <c r="K3623" s="37" t="n">
        <v>-0.05169023021549191</v>
      </c>
    </row>
    <row r="3624">
      <c r="A3624" s="34" t="inlineStr">
        <is>
          <t>Arbeidsgiveravgift</t>
        </is>
      </c>
      <c r="B3624" s="34" t="inlineStr">
        <is>
          <t>Region Sør</t>
        </is>
      </c>
      <c r="C3624" s="34" t="inlineStr">
        <is>
          <t>Agder ungdomssenter</t>
        </is>
      </c>
      <c r="D3624" s="18" t="n">
        <v>110484</v>
      </c>
      <c r="E3624" s="18" t="n">
        <v>112398</v>
      </c>
      <c r="F3624" s="18" t="n">
        <v>116651</v>
      </c>
      <c r="G3624" s="18" t="n">
        <v>132539</v>
      </c>
      <c r="H3624" s="18" t="n">
        <v>135666</v>
      </c>
      <c r="I3624" s="18" t="n">
        <v>202804</v>
      </c>
      <c r="J3624" s="19" t="n">
        <v>258575.4966305853</v>
      </c>
      <c r="K3624" s="35" t="n">
        <v>0.129159845076658</v>
      </c>
    </row>
    <row r="3625">
      <c r="A3625" s="36" t="inlineStr">
        <is>
          <t>Arbeidsgiveravgift</t>
        </is>
      </c>
      <c r="B3625" s="36" t="inlineStr">
        <is>
          <t>Region Sør</t>
        </is>
      </c>
      <c r="C3625" s="36" t="inlineStr">
        <is>
          <t>Avdeling Barkåker</t>
        </is>
      </c>
      <c r="D3625" s="26" t="n">
        <v>2632470</v>
      </c>
      <c r="E3625" s="26" t="n">
        <v>-20338</v>
      </c>
      <c r="F3625" s="26" t="n"/>
      <c r="G3625" s="26" t="n"/>
      <c r="H3625" s="26" t="n"/>
      <c r="I3625" s="26" t="n"/>
      <c r="J3625" s="19" t="n">
        <v>0</v>
      </c>
      <c r="K3625" s="37" t="n">
        <v>0.065</v>
      </c>
    </row>
    <row r="3626">
      <c r="A3626" s="34" t="inlineStr">
        <is>
          <t>Arbeidsgiveravgift</t>
        </is>
      </c>
      <c r="B3626" s="34" t="inlineStr">
        <is>
          <t>Region Sør</t>
        </is>
      </c>
      <c r="C3626" s="34" t="inlineStr">
        <is>
          <t>Avdeling Familiebehandling</t>
        </is>
      </c>
      <c r="D3626" s="18" t="n">
        <v>9399</v>
      </c>
      <c r="E3626" s="18" t="n"/>
      <c r="F3626" s="18" t="n">
        <v>4153</v>
      </c>
      <c r="G3626" s="18" t="n"/>
      <c r="H3626" s="18" t="n"/>
      <c r="I3626" s="18" t="n"/>
      <c r="J3626" s="19" t="n">
        <v>0</v>
      </c>
      <c r="K3626" s="35" t="n">
        <v>0.065</v>
      </c>
    </row>
    <row r="3627">
      <c r="A3627" s="36" t="inlineStr">
        <is>
          <t>Arbeidsgiveravgift</t>
        </is>
      </c>
      <c r="B3627" s="36" t="inlineStr">
        <is>
          <t>Region Sør</t>
        </is>
      </c>
      <c r="C3627" s="36" t="inlineStr">
        <is>
          <t>Avdeling Forvaltning og Økonomioppfølging</t>
        </is>
      </c>
      <c r="D3627" s="26" t="n">
        <v>692861</v>
      </c>
      <c r="E3627" s="26" t="n">
        <v>616095</v>
      </c>
      <c r="F3627" s="26" t="n">
        <v>615302</v>
      </c>
      <c r="G3627" s="26" t="n">
        <v>781719</v>
      </c>
      <c r="H3627" s="26" t="n">
        <v>961604</v>
      </c>
      <c r="I3627" s="26" t="n">
        <v>1091805</v>
      </c>
      <c r="J3627" s="19" t="n">
        <v>1309618.085304548</v>
      </c>
      <c r="K3627" s="37" t="n">
        <v>0.09521603211469909</v>
      </c>
    </row>
    <row r="3628">
      <c r="A3628" s="34" t="inlineStr">
        <is>
          <t>Arbeidsgiveravgift</t>
        </is>
      </c>
      <c r="B3628" s="34" t="inlineStr">
        <is>
          <t>Region Sør</t>
        </is>
      </c>
      <c r="C3628" s="34" t="inlineStr">
        <is>
          <t>Avdeling Furuly</t>
        </is>
      </c>
      <c r="D3628" s="18" t="n">
        <v>2087847</v>
      </c>
      <c r="E3628" s="18" t="n">
        <v>1842284</v>
      </c>
      <c r="F3628" s="18" t="n">
        <v>2556</v>
      </c>
      <c r="G3628" s="18" t="n"/>
      <c r="H3628" s="18" t="n"/>
      <c r="I3628" s="18" t="n"/>
      <c r="J3628" s="19" t="n">
        <v>0</v>
      </c>
      <c r="K3628" s="35" t="n">
        <v>0.065</v>
      </c>
    </row>
    <row r="3629">
      <c r="A3629" s="36" t="inlineStr">
        <is>
          <t>Arbeidsgiveravgift</t>
        </is>
      </c>
      <c r="B3629" s="36" t="inlineStr">
        <is>
          <t>Region Sør</t>
        </is>
      </c>
      <c r="C3629" s="36" t="inlineStr">
        <is>
          <t>Avdeling Geithus</t>
        </is>
      </c>
      <c r="D3629" s="26" t="n">
        <v>2177841</v>
      </c>
      <c r="E3629" s="26" t="n">
        <v>2124619</v>
      </c>
      <c r="F3629" s="26" t="n">
        <v>2188810</v>
      </c>
      <c r="G3629" s="26" t="n">
        <v>1302194</v>
      </c>
      <c r="H3629" s="26" t="n">
        <v>-28894</v>
      </c>
      <c r="I3629" s="26" t="n"/>
      <c r="J3629" s="19" t="n">
        <v>0</v>
      </c>
      <c r="K3629" s="37" t="n">
        <v>0.065</v>
      </c>
    </row>
    <row r="3630">
      <c r="A3630" s="34" t="inlineStr">
        <is>
          <t>Arbeidsgiveravgift</t>
        </is>
      </c>
      <c r="B3630" s="34" t="inlineStr">
        <is>
          <t>Region Sør</t>
        </is>
      </c>
      <c r="C3630" s="34" t="inlineStr">
        <is>
          <t>Avdeling Gemini</t>
        </is>
      </c>
      <c r="D3630" s="18" t="n">
        <v>1239831</v>
      </c>
      <c r="E3630" s="18" t="n">
        <v>1457085</v>
      </c>
      <c r="F3630" s="18" t="n">
        <v>12991</v>
      </c>
      <c r="G3630" s="18" t="n"/>
      <c r="H3630" s="18" t="n"/>
      <c r="I3630" s="18" t="n"/>
      <c r="J3630" s="19" t="n">
        <v>0</v>
      </c>
      <c r="K3630" s="35" t="n">
        <v>0.065</v>
      </c>
    </row>
    <row r="3631">
      <c r="A3631" s="36" t="inlineStr">
        <is>
          <t>Arbeidsgiveravgift</t>
        </is>
      </c>
      <c r="B3631" s="36" t="inlineStr">
        <is>
          <t>Region Sør</t>
        </is>
      </c>
      <c r="C3631" s="36" t="inlineStr">
        <is>
          <t>Avdeling Holtanløkka</t>
        </is>
      </c>
      <c r="D3631" s="26" t="n">
        <v>1315</v>
      </c>
      <c r="E3631" s="26" t="n">
        <v>-705</v>
      </c>
      <c r="F3631" s="26" t="n"/>
      <c r="G3631" s="26" t="n"/>
      <c r="H3631" s="26" t="n"/>
      <c r="I3631" s="26" t="n"/>
      <c r="J3631" s="19" t="n">
        <v>0</v>
      </c>
      <c r="K3631" s="37" t="n">
        <v>0.065</v>
      </c>
    </row>
    <row r="3632">
      <c r="A3632" s="34" t="inlineStr">
        <is>
          <t>Arbeidsgiveravgift</t>
        </is>
      </c>
      <c r="B3632" s="34" t="inlineStr">
        <is>
          <t>Region Sør</t>
        </is>
      </c>
      <c r="C3632" s="34" t="inlineStr">
        <is>
          <t>Avdeling Kjørbekk</t>
        </is>
      </c>
      <c r="D3632" s="18" t="n">
        <v>1618989</v>
      </c>
      <c r="E3632" s="18" t="n">
        <v>1784311</v>
      </c>
      <c r="F3632" s="18" t="n">
        <v>1894555</v>
      </c>
      <c r="G3632" s="18" t="n">
        <v>2222589</v>
      </c>
      <c r="H3632" s="18" t="n">
        <v>2424008</v>
      </c>
      <c r="I3632" s="18" t="n">
        <v>2465848</v>
      </c>
      <c r="J3632" s="19" t="n">
        <v>2917798.280216841</v>
      </c>
      <c r="K3632" s="35" t="n">
        <v>0.08778854425865701</v>
      </c>
    </row>
    <row r="3633">
      <c r="A3633" s="36" t="inlineStr">
        <is>
          <t>Arbeidsgiveravgift</t>
        </is>
      </c>
      <c r="B3633" s="36" t="inlineStr">
        <is>
          <t>Region Sør</t>
        </is>
      </c>
      <c r="C3633" s="36" t="inlineStr">
        <is>
          <t>Avdeling Larønningen</t>
        </is>
      </c>
      <c r="D3633" s="26" t="n">
        <v>1589511</v>
      </c>
      <c r="E3633" s="26" t="n">
        <v>987903</v>
      </c>
      <c r="F3633" s="26" t="n"/>
      <c r="G3633" s="26" t="n"/>
      <c r="H3633" s="26" t="n"/>
      <c r="I3633" s="26" t="n"/>
      <c r="J3633" s="19" t="n">
        <v>0</v>
      </c>
      <c r="K3633" s="37" t="n">
        <v>0.065</v>
      </c>
    </row>
    <row r="3634">
      <c r="A3634" s="34" t="inlineStr">
        <is>
          <t>Arbeidsgiveravgift</t>
        </is>
      </c>
      <c r="B3634" s="34" t="inlineStr">
        <is>
          <t>Region Sør</t>
        </is>
      </c>
      <c r="C3634" s="34" t="inlineStr">
        <is>
          <t>Avdeling Miljøheimen</t>
        </is>
      </c>
      <c r="D3634" s="18" t="n">
        <v>1135157</v>
      </c>
      <c r="E3634" s="18" t="n">
        <v>1219219</v>
      </c>
      <c r="F3634" s="18" t="n">
        <v>1319782</v>
      </c>
      <c r="G3634" s="18" t="n">
        <v>1449854</v>
      </c>
      <c r="H3634" s="18" t="n">
        <v>1608403</v>
      </c>
      <c r="I3634" s="18" t="n">
        <v>1915135</v>
      </c>
      <c r="J3634" s="19" t="n">
        <v>2360786.853057866</v>
      </c>
      <c r="K3634" s="35" t="n">
        <v>0.1102702229266517</v>
      </c>
    </row>
    <row r="3635">
      <c r="A3635" s="36" t="inlineStr">
        <is>
          <t>Arbeidsgiveravgift</t>
        </is>
      </c>
      <c r="B3635" s="36" t="inlineStr">
        <is>
          <t>Region Sør</t>
        </is>
      </c>
      <c r="C3635" s="36" t="inlineStr">
        <is>
          <t>Avdeling Nes</t>
        </is>
      </c>
      <c r="D3635" s="26" t="n">
        <v>1744275</v>
      </c>
      <c r="E3635" s="26" t="n">
        <v>1970127</v>
      </c>
      <c r="F3635" s="26" t="n">
        <v>1946951</v>
      </c>
      <c r="G3635" s="26" t="n">
        <v>1814154</v>
      </c>
      <c r="H3635" s="26" t="n">
        <v>2368746</v>
      </c>
      <c r="I3635" s="26" t="n">
        <v>2689977</v>
      </c>
      <c r="J3635" s="19" t="n">
        <v>3198909.921150465</v>
      </c>
      <c r="K3635" s="37" t="n">
        <v>0.09050264196873781</v>
      </c>
    </row>
    <row r="3636">
      <c r="A3636" s="34" t="inlineStr">
        <is>
          <t>Arbeidsgiveravgift</t>
        </is>
      </c>
      <c r="B3636" s="34" t="inlineStr">
        <is>
          <t>Region Sør</t>
        </is>
      </c>
      <c r="C3636" s="34" t="inlineStr">
        <is>
          <t>Avdeling Nyli</t>
        </is>
      </c>
      <c r="D3636" s="18" t="n">
        <v>1399018</v>
      </c>
      <c r="E3636" s="18" t="n">
        <v>800238</v>
      </c>
      <c r="F3636" s="18" t="n">
        <v>172</v>
      </c>
      <c r="G3636" s="18" t="n"/>
      <c r="H3636" s="18" t="n"/>
      <c r="I3636" s="18" t="n"/>
      <c r="J3636" s="19" t="n">
        <v>0</v>
      </c>
      <c r="K3636" s="35" t="n">
        <v>0.065</v>
      </c>
    </row>
    <row r="3637">
      <c r="A3637" s="36" t="inlineStr">
        <is>
          <t>Arbeidsgiveravgift</t>
        </is>
      </c>
      <c r="B3637" s="36" t="inlineStr">
        <is>
          <t>Region Sør</t>
        </is>
      </c>
      <c r="C3637" s="36" t="inlineStr">
        <is>
          <t>Avdeling Orion</t>
        </is>
      </c>
      <c r="D3637" s="26" t="n">
        <v>1338925</v>
      </c>
      <c r="E3637" s="26" t="n">
        <v>1373969</v>
      </c>
      <c r="F3637" s="26" t="n">
        <v>52869</v>
      </c>
      <c r="G3637" s="26" t="n">
        <v>-1231</v>
      </c>
      <c r="H3637" s="26" t="n"/>
      <c r="I3637" s="26" t="n"/>
      <c r="J3637" s="19" t="n">
        <v>0</v>
      </c>
      <c r="K3637" s="37" t="n">
        <v>0.065</v>
      </c>
    </row>
    <row r="3638">
      <c r="A3638" s="34" t="inlineStr">
        <is>
          <t>Arbeidsgiveravgift</t>
        </is>
      </c>
      <c r="B3638" s="34" t="inlineStr">
        <is>
          <t>Region Sør</t>
        </is>
      </c>
      <c r="C3638" s="34" t="inlineStr">
        <is>
          <t>Avdeling Skomrak</t>
        </is>
      </c>
      <c r="D3638" s="18" t="n">
        <v>1834243</v>
      </c>
      <c r="E3638" s="18" t="n">
        <v>1745804</v>
      </c>
      <c r="F3638" s="18" t="n">
        <v>1836366</v>
      </c>
      <c r="G3638" s="18" t="n">
        <v>2055676</v>
      </c>
      <c r="H3638" s="18" t="n">
        <v>2061224</v>
      </c>
      <c r="I3638" s="18" t="n">
        <v>2346063</v>
      </c>
      <c r="J3638" s="19" t="n">
        <v>2588765.965043594</v>
      </c>
      <c r="K3638" s="35" t="n">
        <v>0.0504528410135503</v>
      </c>
    </row>
    <row r="3639">
      <c r="A3639" s="36" t="inlineStr">
        <is>
          <t>Arbeidsgiveravgift</t>
        </is>
      </c>
      <c r="B3639" s="36" t="inlineStr">
        <is>
          <t>Region Sør</t>
        </is>
      </c>
      <c r="C3639" s="36" t="inlineStr">
        <is>
          <t>Avdeling Vestre Kjenner</t>
        </is>
      </c>
      <c r="D3639" s="26" t="n">
        <v>1208229</v>
      </c>
      <c r="E3639" s="26" t="n">
        <v>1387710</v>
      </c>
      <c r="F3639" s="26" t="n">
        <v>374303</v>
      </c>
      <c r="G3639" s="26" t="n">
        <v>-1187</v>
      </c>
      <c r="H3639" s="26" t="n"/>
      <c r="I3639" s="26" t="n"/>
      <c r="J3639" s="19" t="n">
        <v>0</v>
      </c>
      <c r="K3639" s="37" t="n">
        <v>0.065</v>
      </c>
    </row>
    <row r="3640">
      <c r="A3640" s="34" t="inlineStr">
        <is>
          <t>Arbeidsgiveravgift</t>
        </is>
      </c>
      <c r="B3640" s="34" t="inlineStr">
        <is>
          <t>Region Sør</t>
        </is>
      </c>
      <c r="C3640" s="34" t="inlineStr">
        <is>
          <t>Avdeling akutt</t>
        </is>
      </c>
      <c r="D3640" s="18" t="n">
        <v>-19329</v>
      </c>
      <c r="E3640" s="18" t="n">
        <v>-1060</v>
      </c>
      <c r="F3640" s="18" t="n"/>
      <c r="G3640" s="18" t="n">
        <v>8</v>
      </c>
      <c r="H3640" s="18" t="n"/>
      <c r="I3640" s="18" t="n"/>
      <c r="J3640" s="19" t="n">
        <v>0</v>
      </c>
      <c r="K3640" s="35" t="n">
        <v>0.065</v>
      </c>
    </row>
    <row r="3641">
      <c r="A3641" s="36" t="inlineStr">
        <is>
          <t>Arbeidsgiveravgift</t>
        </is>
      </c>
      <c r="B3641" s="36" t="inlineStr">
        <is>
          <t>Region Sør</t>
        </is>
      </c>
      <c r="C3641" s="36" t="inlineStr">
        <is>
          <t>Avdeling fosterhjemsbaserte tiltak</t>
        </is>
      </c>
      <c r="D3641" s="26" t="n"/>
      <c r="E3641" s="26" t="n"/>
      <c r="F3641" s="26" t="n"/>
      <c r="G3641" s="26" t="n">
        <v>61</v>
      </c>
      <c r="H3641" s="26" t="n"/>
      <c r="I3641" s="26" t="n"/>
      <c r="J3641" s="19" t="n">
        <v>0</v>
      </c>
      <c r="K3641" s="37" t="n">
        <v>0.065</v>
      </c>
    </row>
    <row r="3642">
      <c r="A3642" s="34" t="inlineStr">
        <is>
          <t>Arbeidsgiveravgift</t>
        </is>
      </c>
      <c r="B3642" s="34" t="inlineStr">
        <is>
          <t>Region Sør</t>
        </is>
      </c>
      <c r="C3642" s="34" t="inlineStr">
        <is>
          <t>BVT behandling ungdom Adm</t>
        </is>
      </c>
      <c r="D3642" s="18" t="n">
        <v>129575</v>
      </c>
      <c r="E3642" s="18" t="n">
        <v>213542</v>
      </c>
      <c r="F3642" s="18" t="n">
        <v>178695</v>
      </c>
      <c r="G3642" s="18" t="n">
        <v>113935</v>
      </c>
      <c r="H3642" s="18" t="n">
        <v>10426</v>
      </c>
      <c r="I3642" s="18" t="n">
        <v>244</v>
      </c>
      <c r="J3642" s="19" t="n">
        <v>137.25</v>
      </c>
      <c r="K3642" s="35" t="n">
        <v>-0.25</v>
      </c>
    </row>
    <row r="3643">
      <c r="A3643" s="36" t="inlineStr">
        <is>
          <t>Arbeidsgiveravgift</t>
        </is>
      </c>
      <c r="B3643" s="36" t="inlineStr">
        <is>
          <t>Region Sør</t>
        </is>
      </c>
      <c r="C3643" s="36" t="inlineStr">
        <is>
          <t>Barkåker ungdomssenter akutt.</t>
        </is>
      </c>
      <c r="D3643" s="26" t="n"/>
      <c r="E3643" s="26" t="n">
        <v>112107</v>
      </c>
      <c r="F3643" s="26" t="n">
        <v>125214</v>
      </c>
      <c r="G3643" s="26" t="n">
        <v>131302</v>
      </c>
      <c r="H3643" s="26" t="n">
        <v>137341</v>
      </c>
      <c r="I3643" s="26" t="n">
        <v>145003</v>
      </c>
      <c r="J3643" s="19" t="n">
        <v>164910.8065874223</v>
      </c>
      <c r="K3643" s="37" t="n">
        <v>0.06643911092586396</v>
      </c>
    </row>
    <row r="3644">
      <c r="A3644" s="34" t="inlineStr">
        <is>
          <t>Arbeidsgiveravgift</t>
        </is>
      </c>
      <c r="B3644" s="34" t="inlineStr">
        <is>
          <t>Region Sør</t>
        </is>
      </c>
      <c r="C3644" s="34" t="inlineStr">
        <is>
          <t>Barkåker.</t>
        </is>
      </c>
      <c r="D3644" s="18" t="n"/>
      <c r="E3644" s="18" t="n">
        <v>2538857</v>
      </c>
      <c r="F3644" s="18" t="n">
        <v>2966050</v>
      </c>
      <c r="G3644" s="18" t="n">
        <v>3489241</v>
      </c>
      <c r="H3644" s="18" t="n">
        <v>3599526</v>
      </c>
      <c r="I3644" s="18" t="n">
        <v>3474683</v>
      </c>
      <c r="J3644" s="19" t="n">
        <v>4064935.549433284</v>
      </c>
      <c r="K3644" s="35" t="n">
        <v>0.08160637249711877</v>
      </c>
    </row>
    <row r="3645">
      <c r="A3645" s="36" t="inlineStr">
        <is>
          <t>Arbeidsgiveravgift</t>
        </is>
      </c>
      <c r="B3645" s="36" t="inlineStr">
        <is>
          <t>Region Sør</t>
        </is>
      </c>
      <c r="C3645" s="36" t="inlineStr">
        <is>
          <t>Buskerud ungdomshjem Adm</t>
        </is>
      </c>
      <c r="D3645" s="26" t="n">
        <v>61543</v>
      </c>
      <c r="E3645" s="26" t="n">
        <v>149586</v>
      </c>
      <c r="F3645" s="26" t="n">
        <v>-44811</v>
      </c>
      <c r="G3645" s="26" t="n"/>
      <c r="H3645" s="26" t="n"/>
      <c r="I3645" s="26" t="n"/>
      <c r="J3645" s="19" t="n">
        <v>0</v>
      </c>
      <c r="K3645" s="37" t="n">
        <v>0.065</v>
      </c>
    </row>
    <row r="3646">
      <c r="A3646" s="34" t="inlineStr">
        <is>
          <t>Arbeidsgiveravgift</t>
        </is>
      </c>
      <c r="B3646" s="34" t="inlineStr">
        <is>
          <t>Region Sør</t>
        </is>
      </c>
      <c r="C3646" s="34" t="inlineStr">
        <is>
          <t>Furuly</t>
        </is>
      </c>
      <c r="D3646" s="18" t="n"/>
      <c r="E3646" s="18" t="n"/>
      <c r="F3646" s="18" t="n">
        <v>1798000</v>
      </c>
      <c r="G3646" s="18" t="n">
        <v>2119171</v>
      </c>
      <c r="H3646" s="18" t="n">
        <v>2608614</v>
      </c>
      <c r="I3646" s="18" t="n">
        <v>2443470</v>
      </c>
      <c r="J3646" s="19" t="n">
        <v>2771444.760749999</v>
      </c>
      <c r="K3646" s="35" t="n">
        <v>0.065</v>
      </c>
    </row>
    <row r="3647">
      <c r="A3647" s="36" t="inlineStr">
        <is>
          <t>Arbeidsgiveravgift</t>
        </is>
      </c>
      <c r="B3647" s="36" t="inlineStr">
        <is>
          <t>Region Sør</t>
        </is>
      </c>
      <c r="C3647" s="36" t="inlineStr">
        <is>
          <t>Grøterød ungdomshjem</t>
        </is>
      </c>
      <c r="D3647" s="26" t="n"/>
      <c r="E3647" s="26" t="n">
        <v>94335</v>
      </c>
      <c r="F3647" s="26" t="n">
        <v>122310</v>
      </c>
      <c r="G3647" s="26" t="n">
        <v>123247</v>
      </c>
      <c r="H3647" s="26" t="n">
        <v>128939</v>
      </c>
      <c r="I3647" s="26" t="n">
        <v>16183</v>
      </c>
      <c r="J3647" s="19" t="n">
        <v>9102.9375</v>
      </c>
      <c r="K3647" s="37" t="n">
        <v>-0.25</v>
      </c>
    </row>
    <row r="3648">
      <c r="A3648" s="34" t="inlineStr">
        <is>
          <t>Arbeidsgiveravgift</t>
        </is>
      </c>
      <c r="B3648" s="34" t="inlineStr">
        <is>
          <t>Region Sør</t>
        </is>
      </c>
      <c r="C3648" s="34" t="inlineStr">
        <is>
          <t>Ilaug</t>
        </is>
      </c>
      <c r="D3648" s="18" t="n">
        <v>1553868</v>
      </c>
      <c r="E3648" s="18" t="n">
        <v>1123980</v>
      </c>
      <c r="F3648" s="18" t="n">
        <v>-353</v>
      </c>
      <c r="G3648" s="18" t="n"/>
      <c r="H3648" s="18" t="n"/>
      <c r="I3648" s="18" t="n"/>
      <c r="J3648" s="19" t="n">
        <v>0</v>
      </c>
      <c r="K3648" s="35" t="n">
        <v>0.065</v>
      </c>
    </row>
    <row r="3649">
      <c r="A3649" s="36" t="inlineStr">
        <is>
          <t>Arbeidsgiveravgift</t>
        </is>
      </c>
      <c r="B3649" s="36" t="inlineStr">
        <is>
          <t>Region Sør</t>
        </is>
      </c>
      <c r="C3649" s="36" t="inlineStr">
        <is>
          <t>Inntak Vestfold</t>
        </is>
      </c>
      <c r="D3649" s="26" t="n">
        <v>10</v>
      </c>
      <c r="E3649" s="26" t="n"/>
      <c r="F3649" s="26" t="n"/>
      <c r="G3649" s="26" t="n"/>
      <c r="H3649" s="26" t="n">
        <v>17</v>
      </c>
      <c r="I3649" s="26" t="n"/>
      <c r="J3649" s="19" t="n">
        <v>0</v>
      </c>
      <c r="K3649" s="37" t="n">
        <v>0.065</v>
      </c>
    </row>
    <row r="3650">
      <c r="A3650" s="34" t="inlineStr">
        <is>
          <t>Arbeidsgiveravgift</t>
        </is>
      </c>
      <c r="B3650" s="34" t="inlineStr">
        <is>
          <t>Region Sør</t>
        </is>
      </c>
      <c r="C3650" s="34" t="inlineStr">
        <is>
          <t>Justøya</t>
        </is>
      </c>
      <c r="D3650" s="18" t="n"/>
      <c r="E3650" s="18" t="n"/>
      <c r="F3650" s="18" t="n"/>
      <c r="G3650" s="18" t="n"/>
      <c r="H3650" s="18" t="n"/>
      <c r="I3650" s="18" t="n">
        <v>657133</v>
      </c>
      <c r="J3650" s="19" t="n">
        <v>745336.6769249999</v>
      </c>
      <c r="K3650" s="35" t="n">
        <v>0.065</v>
      </c>
    </row>
    <row r="3651">
      <c r="A3651" s="36" t="inlineStr">
        <is>
          <t>Arbeidsgiveravgift</t>
        </is>
      </c>
      <c r="B3651" s="36" t="inlineStr">
        <is>
          <t>Region Sør</t>
        </is>
      </c>
      <c r="C3651" s="36" t="inlineStr">
        <is>
          <t>Justøya behandling ungdom</t>
        </is>
      </c>
      <c r="D3651" s="26" t="n"/>
      <c r="E3651" s="26" t="n"/>
      <c r="F3651" s="26" t="n"/>
      <c r="G3651" s="26" t="n"/>
      <c r="H3651" s="26" t="n"/>
      <c r="I3651" s="26" t="n">
        <v>39229</v>
      </c>
      <c r="J3651" s="19" t="n">
        <v>44494.51252499999</v>
      </c>
      <c r="K3651" s="37" t="n">
        <v>0.065</v>
      </c>
    </row>
    <row r="3652">
      <c r="A3652" s="34" t="inlineStr">
        <is>
          <t>Arbeidsgiveravgift</t>
        </is>
      </c>
      <c r="B3652" s="34" t="inlineStr">
        <is>
          <t>Region Sør</t>
        </is>
      </c>
      <c r="C3652" s="34" t="inlineStr">
        <is>
          <t>Kantum</t>
        </is>
      </c>
      <c r="D3652" s="18" t="n">
        <v>986544</v>
      </c>
      <c r="E3652" s="18" t="n">
        <v>1044064</v>
      </c>
      <c r="F3652" s="18" t="n">
        <v>1139641</v>
      </c>
      <c r="G3652" s="18" t="n">
        <v>1186520</v>
      </c>
      <c r="H3652" s="18" t="n">
        <v>1461321</v>
      </c>
      <c r="I3652" s="18" t="n">
        <v>1643623</v>
      </c>
      <c r="J3652" s="19" t="n">
        <v>2015934.930592555</v>
      </c>
      <c r="K3652" s="35" t="n">
        <v>0.1074832080575259</v>
      </c>
    </row>
    <row r="3653">
      <c r="A3653" s="36" t="inlineStr">
        <is>
          <t>Arbeidsgiveravgift</t>
        </is>
      </c>
      <c r="B3653" s="36" t="inlineStr">
        <is>
          <t>Region Sør</t>
        </is>
      </c>
      <c r="C3653" s="36" t="inlineStr">
        <is>
          <t>Kartleggingsteam ungdom</t>
        </is>
      </c>
      <c r="D3653" s="26" t="n"/>
      <c r="E3653" s="26" t="n"/>
      <c r="F3653" s="26" t="n">
        <v>121</v>
      </c>
      <c r="G3653" s="26" t="n">
        <v>636</v>
      </c>
      <c r="H3653" s="26" t="n">
        <v>17873</v>
      </c>
      <c r="I3653" s="26" t="n">
        <v>-9743</v>
      </c>
      <c r="J3653" s="19" t="n">
        <v>-11050.754175</v>
      </c>
      <c r="K3653" s="37" t="n">
        <v>0.065</v>
      </c>
    </row>
    <row r="3654">
      <c r="A3654" s="34" t="inlineStr">
        <is>
          <t>Arbeidsgiveravgift</t>
        </is>
      </c>
      <c r="B3654" s="34" t="inlineStr">
        <is>
          <t>Region Sør</t>
        </is>
      </c>
      <c r="C3654" s="34" t="inlineStr">
        <is>
          <t>Katfoss</t>
        </is>
      </c>
      <c r="D3654" s="18" t="n"/>
      <c r="E3654" s="18" t="n"/>
      <c r="F3654" s="18" t="n"/>
      <c r="G3654" s="18" t="n"/>
      <c r="H3654" s="18" t="n">
        <v>2180594</v>
      </c>
      <c r="I3654" s="18" t="n">
        <v>3441288</v>
      </c>
      <c r="J3654" s="19" t="n">
        <v>3903194.881799999</v>
      </c>
      <c r="K3654" s="35" t="n">
        <v>0.065</v>
      </c>
    </row>
    <row r="3655">
      <c r="A3655" s="36" t="inlineStr">
        <is>
          <t>Arbeidsgiveravgift</t>
        </is>
      </c>
      <c r="B3655" s="36" t="inlineStr">
        <is>
          <t>Region Sør</t>
        </is>
      </c>
      <c r="C3655" s="36" t="inlineStr">
        <is>
          <t>Katfoss behandling ungdom</t>
        </is>
      </c>
      <c r="D3655" s="26" t="n"/>
      <c r="E3655" s="26" t="n"/>
      <c r="F3655" s="26" t="n"/>
      <c r="G3655" s="26" t="n"/>
      <c r="H3655" s="26" t="n">
        <v>208207</v>
      </c>
      <c r="I3655" s="26" t="n">
        <v>118946</v>
      </c>
      <c r="J3655" s="19" t="n">
        <v>134911.52685</v>
      </c>
      <c r="K3655" s="37" t="n">
        <v>0.065</v>
      </c>
    </row>
    <row r="3656">
      <c r="A3656" s="34" t="inlineStr">
        <is>
          <t>Arbeidsgiveravgift</t>
        </is>
      </c>
      <c r="B3656" s="34" t="inlineStr">
        <is>
          <t>Region Sør</t>
        </is>
      </c>
      <c r="C3656" s="34" t="inlineStr">
        <is>
          <t>Klokkerhuset</t>
        </is>
      </c>
      <c r="D3656" s="18" t="n">
        <v>2417332</v>
      </c>
      <c r="E3656" s="18" t="n">
        <v>2320437</v>
      </c>
      <c r="F3656" s="18" t="n">
        <v>2743521</v>
      </c>
      <c r="G3656" s="18" t="n">
        <v>3154491</v>
      </c>
      <c r="H3656" s="18" t="n">
        <v>3421964</v>
      </c>
      <c r="I3656" s="18" t="n">
        <v>3937371</v>
      </c>
      <c r="J3656" s="19" t="n">
        <v>4785797.881185178</v>
      </c>
      <c r="K3656" s="35" t="n">
        <v>0.1024883460552735</v>
      </c>
    </row>
    <row r="3657">
      <c r="A3657" s="36" t="inlineStr">
        <is>
          <t>Arbeidsgiveravgift</t>
        </is>
      </c>
      <c r="B3657" s="36" t="inlineStr">
        <is>
          <t>Region Sør</t>
        </is>
      </c>
      <c r="C3657" s="36" t="inlineStr">
        <is>
          <t>Klokkerhuset ungdomssenter akutt</t>
        </is>
      </c>
      <c r="D3657" s="26" t="n">
        <v>94470</v>
      </c>
      <c r="E3657" s="26" t="n">
        <v>98583</v>
      </c>
      <c r="F3657" s="26" t="n">
        <v>56736</v>
      </c>
      <c r="G3657" s="26" t="n">
        <v>63800</v>
      </c>
      <c r="H3657" s="26" t="n">
        <v>81953</v>
      </c>
      <c r="I3657" s="26" t="n">
        <v>91555</v>
      </c>
      <c r="J3657" s="19" t="n">
        <v>90414.34233107677</v>
      </c>
      <c r="K3657" s="37" t="n">
        <v>-0.006248881855599464</v>
      </c>
    </row>
    <row r="3658">
      <c r="A3658" s="34" t="inlineStr">
        <is>
          <t>Arbeidsgiveravgift</t>
        </is>
      </c>
      <c r="B3658" s="34" t="inlineStr">
        <is>
          <t>Region Sør</t>
        </is>
      </c>
      <c r="C3658" s="34" t="inlineStr">
        <is>
          <t>Knuten</t>
        </is>
      </c>
      <c r="D3658" s="18" t="n"/>
      <c r="E3658" s="18" t="n"/>
      <c r="F3658" s="18" t="n">
        <v>1517376</v>
      </c>
      <c r="G3658" s="18" t="n">
        <v>1677970</v>
      </c>
      <c r="H3658" s="18" t="n">
        <v>1688833</v>
      </c>
      <c r="I3658" s="18" t="n">
        <v>1624803</v>
      </c>
      <c r="J3658" s="19" t="n">
        <v>1842892.182675</v>
      </c>
      <c r="K3658" s="35" t="n">
        <v>0.065</v>
      </c>
    </row>
    <row r="3659">
      <c r="A3659" s="36" t="inlineStr">
        <is>
          <t>Arbeidsgiveravgift</t>
        </is>
      </c>
      <c r="B3659" s="36" t="inlineStr">
        <is>
          <t>Region Sør</t>
        </is>
      </c>
      <c r="C3659" s="36" t="inlineStr">
        <is>
          <t>Lerketoppen</t>
        </is>
      </c>
      <c r="D3659" s="26" t="n"/>
      <c r="E3659" s="26" t="n"/>
      <c r="F3659" s="26" t="n"/>
      <c r="G3659" s="26" t="n"/>
      <c r="H3659" s="26" t="n">
        <v>938192</v>
      </c>
      <c r="I3659" s="26" t="n">
        <v>2826050</v>
      </c>
      <c r="J3659" s="19" t="n">
        <v>3205376.561249999</v>
      </c>
      <c r="K3659" s="37" t="n">
        <v>0.065</v>
      </c>
    </row>
    <row r="3660">
      <c r="A3660" s="34" t="inlineStr">
        <is>
          <t>Arbeidsgiveravgift</t>
        </is>
      </c>
      <c r="B3660" s="34" t="inlineStr">
        <is>
          <t>Region Sør</t>
        </is>
      </c>
      <c r="C3660" s="34" t="inlineStr">
        <is>
          <t>Lunde behandlingssenter</t>
        </is>
      </c>
      <c r="D3660" s="18" t="n">
        <v>2756499</v>
      </c>
      <c r="E3660" s="18" t="n">
        <v>2922018</v>
      </c>
      <c r="F3660" s="18" t="n">
        <v>2913826</v>
      </c>
      <c r="G3660" s="18" t="n">
        <v>3049392</v>
      </c>
      <c r="H3660" s="18" t="n">
        <v>3046233</v>
      </c>
      <c r="I3660" s="18" t="n">
        <v>3474971</v>
      </c>
      <c r="J3660" s="19" t="n">
        <v>3812312.760067352</v>
      </c>
      <c r="K3660" s="35" t="n">
        <v>0.04741471043269407</v>
      </c>
    </row>
    <row r="3661">
      <c r="A3661" s="36" t="inlineStr">
        <is>
          <t>Arbeidsgiveravgift</t>
        </is>
      </c>
      <c r="B3661" s="36" t="inlineStr">
        <is>
          <t>Region Sør</t>
        </is>
      </c>
      <c r="C3661" s="36" t="inlineStr">
        <is>
          <t>Lunde behandlingssenter adm.</t>
        </is>
      </c>
      <c r="D3661" s="26" t="n">
        <v>111999</v>
      </c>
      <c r="E3661" s="26" t="n">
        <v>116829</v>
      </c>
      <c r="F3661" s="26" t="n">
        <v>120653</v>
      </c>
      <c r="G3661" s="26" t="n">
        <v>87528</v>
      </c>
      <c r="H3661" s="26" t="n">
        <v>114624</v>
      </c>
      <c r="I3661" s="26" t="n">
        <v>129538</v>
      </c>
      <c r="J3661" s="19" t="n">
        <v>137299.9580270092</v>
      </c>
      <c r="K3661" s="37" t="n">
        <v>0.02952431589872373</v>
      </c>
    </row>
    <row r="3662">
      <c r="A3662" s="34" t="inlineStr">
        <is>
          <t>Arbeidsgiveravgift</t>
        </is>
      </c>
      <c r="B3662" s="34" t="inlineStr">
        <is>
          <t>Region Sør</t>
        </is>
      </c>
      <c r="C3662" s="34" t="inlineStr">
        <is>
          <t>Lågen ungdomshjem</t>
        </is>
      </c>
      <c r="D3662" s="18" t="n"/>
      <c r="E3662" s="18" t="n">
        <v>5834</v>
      </c>
      <c r="F3662" s="18" t="n">
        <v>140962</v>
      </c>
      <c r="G3662" s="18" t="n">
        <v>128594</v>
      </c>
      <c r="H3662" s="18" t="n">
        <v>105110</v>
      </c>
      <c r="I3662" s="18" t="n">
        <v>120944</v>
      </c>
      <c r="J3662" s="19" t="n">
        <v>188975</v>
      </c>
      <c r="K3662" s="35" t="n">
        <v>0.25</v>
      </c>
    </row>
    <row r="3663">
      <c r="A3663" s="36" t="inlineStr">
        <is>
          <t>Arbeidsgiveravgift</t>
        </is>
      </c>
      <c r="B3663" s="36" t="inlineStr">
        <is>
          <t>Region Sør</t>
        </is>
      </c>
      <c r="C3663" s="36" t="inlineStr">
        <is>
          <t>Mynten</t>
        </is>
      </c>
      <c r="D3663" s="26" t="n"/>
      <c r="E3663" s="26" t="n">
        <v>27835</v>
      </c>
      <c r="F3663" s="26" t="n">
        <v>1803914</v>
      </c>
      <c r="G3663" s="26" t="n">
        <v>1953757</v>
      </c>
      <c r="H3663" s="26" t="n">
        <v>2072644</v>
      </c>
      <c r="I3663" s="26" t="n">
        <v>2135711</v>
      </c>
      <c r="J3663" s="19" t="n">
        <v>3337048.4375</v>
      </c>
      <c r="K3663" s="37" t="n">
        <v>0.25</v>
      </c>
    </row>
    <row r="3664">
      <c r="A3664" s="34" t="inlineStr">
        <is>
          <t>Arbeidsgiveravgift</t>
        </is>
      </c>
      <c r="B3664" s="34" t="inlineStr">
        <is>
          <t>Region Sør</t>
        </is>
      </c>
      <c r="C3664" s="34" t="inlineStr">
        <is>
          <t>Nye Toppen</t>
        </is>
      </c>
      <c r="D3664" s="18" t="n">
        <v>1719528</v>
      </c>
      <c r="E3664" s="18" t="n">
        <v>1686653</v>
      </c>
      <c r="F3664" s="18" t="n">
        <v>1668025</v>
      </c>
      <c r="G3664" s="18" t="n">
        <v>2318901</v>
      </c>
      <c r="H3664" s="18" t="n">
        <v>2788183</v>
      </c>
      <c r="I3664" s="18" t="n">
        <v>2814641</v>
      </c>
      <c r="J3664" s="19" t="n">
        <v>3427902.909327449</v>
      </c>
      <c r="K3664" s="35" t="n">
        <v>0.1035772817470293</v>
      </c>
    </row>
    <row r="3665">
      <c r="A3665" s="36" t="inlineStr">
        <is>
          <t>Arbeidsgiveravgift</t>
        </is>
      </c>
      <c r="B3665" s="36" t="inlineStr">
        <is>
          <t>Region Sør</t>
        </is>
      </c>
      <c r="C3665" s="36" t="inlineStr">
        <is>
          <t>Nyhuset</t>
        </is>
      </c>
      <c r="D3665" s="26" t="n"/>
      <c r="E3665" s="26" t="n"/>
      <c r="F3665" s="26" t="n"/>
      <c r="G3665" s="26" t="n">
        <v>2319904</v>
      </c>
      <c r="H3665" s="26" t="n">
        <v>2582943</v>
      </c>
      <c r="I3665" s="26" t="n">
        <v>2844386</v>
      </c>
      <c r="J3665" s="19" t="n">
        <v>3226173.710849999</v>
      </c>
      <c r="K3665" s="37" t="n">
        <v>0.065</v>
      </c>
    </row>
    <row r="3666">
      <c r="A3666" s="34" t="inlineStr">
        <is>
          <t>Arbeidsgiveravgift</t>
        </is>
      </c>
      <c r="B3666" s="34" t="inlineStr">
        <is>
          <t>Region Sør</t>
        </is>
      </c>
      <c r="C3666" s="34" t="inlineStr">
        <is>
          <t>Omsorg for ungdom</t>
        </is>
      </c>
      <c r="D3666" s="18" t="n">
        <v>127543</v>
      </c>
      <c r="E3666" s="18" t="n">
        <v>-409</v>
      </c>
      <c r="F3666" s="18" t="n">
        <v>395</v>
      </c>
      <c r="G3666" s="18" t="n"/>
      <c r="H3666" s="18" t="n">
        <v>16</v>
      </c>
      <c r="I3666" s="18" t="n"/>
      <c r="J3666" s="19" t="n">
        <v>0</v>
      </c>
      <c r="K3666" s="35" t="n">
        <v>0.065</v>
      </c>
    </row>
    <row r="3667">
      <c r="A3667" s="36" t="inlineStr">
        <is>
          <t>Arbeidsgiveravgift</t>
        </is>
      </c>
      <c r="B3667" s="36" t="inlineStr">
        <is>
          <t>Region Sør</t>
        </is>
      </c>
      <c r="C3667" s="36" t="inlineStr">
        <is>
          <t>Prosjekt Care</t>
        </is>
      </c>
      <c r="D3667" s="26" t="n"/>
      <c r="E3667" s="26" t="n">
        <v>13452</v>
      </c>
      <c r="F3667" s="26" t="n"/>
      <c r="G3667" s="26" t="n"/>
      <c r="H3667" s="26" t="n"/>
      <c r="I3667" s="26" t="n"/>
      <c r="J3667" s="19" t="n">
        <v>0</v>
      </c>
      <c r="K3667" s="37" t="n">
        <v>0.065</v>
      </c>
    </row>
    <row r="3668">
      <c r="A3668" s="34" t="inlineStr">
        <is>
          <t>Arbeidsgiveravgift</t>
        </is>
      </c>
      <c r="B3668" s="34" t="inlineStr">
        <is>
          <t>Region Sør</t>
        </is>
      </c>
      <c r="C3668" s="34" t="inlineStr">
        <is>
          <t>Psykologteam</t>
        </is>
      </c>
      <c r="D3668" s="18" t="n"/>
      <c r="E3668" s="18" t="n">
        <v>341118</v>
      </c>
      <c r="F3668" s="18" t="n">
        <v>543622</v>
      </c>
      <c r="G3668" s="18" t="n">
        <v>737682</v>
      </c>
      <c r="H3668" s="18" t="n">
        <v>741806</v>
      </c>
      <c r="I3668" s="18" t="n">
        <v>824673</v>
      </c>
      <c r="J3668" s="19" t="n">
        <v>1282243.025448893</v>
      </c>
      <c r="K3668" s="35" t="n">
        <v>0.2469363481520166</v>
      </c>
    </row>
    <row r="3669">
      <c r="A3669" s="36" t="inlineStr">
        <is>
          <t>Arbeidsgiveravgift</t>
        </is>
      </c>
      <c r="B3669" s="36" t="inlineStr">
        <is>
          <t>Region Sør</t>
        </is>
      </c>
      <c r="C3669" s="36" t="inlineStr">
        <is>
          <t>Ressursmiljø for trygghet og sikkerhet</t>
        </is>
      </c>
      <c r="D3669" s="26" t="n">
        <v>210052</v>
      </c>
      <c r="E3669" s="26" t="n">
        <v>263048</v>
      </c>
      <c r="F3669" s="26" t="n">
        <v>311603</v>
      </c>
      <c r="G3669" s="26" t="n">
        <v>402526</v>
      </c>
      <c r="H3669" s="26" t="n">
        <v>432543</v>
      </c>
      <c r="I3669" s="26" t="n">
        <v>522358</v>
      </c>
      <c r="J3669" s="19" t="n">
        <v>752012.0889484007</v>
      </c>
      <c r="K3669" s="37" t="n">
        <v>0.1998536745585429</v>
      </c>
    </row>
    <row r="3670">
      <c r="A3670" s="34" t="inlineStr">
        <is>
          <t>Arbeidsgiveravgift</t>
        </is>
      </c>
      <c r="B3670" s="34" t="inlineStr">
        <is>
          <t>Region Sør</t>
        </is>
      </c>
      <c r="C3670" s="34" t="inlineStr">
        <is>
          <t>Skjerfheimkollektivet</t>
        </is>
      </c>
      <c r="D3670" s="18" t="n">
        <v>1969095</v>
      </c>
      <c r="E3670" s="18" t="n">
        <v>1795126</v>
      </c>
      <c r="F3670" s="18" t="n">
        <v>2139349</v>
      </c>
      <c r="G3670" s="18" t="n">
        <v>74615</v>
      </c>
      <c r="H3670" s="18" t="n"/>
      <c r="I3670" s="18" t="n"/>
      <c r="J3670" s="19" t="n">
        <v>0</v>
      </c>
      <c r="K3670" s="35" t="n">
        <v>0.065</v>
      </c>
    </row>
    <row r="3671">
      <c r="A3671" s="36" t="inlineStr">
        <is>
          <t>Arbeidsgiveravgift</t>
        </is>
      </c>
      <c r="B3671" s="36" t="inlineStr">
        <is>
          <t>Region Sør</t>
        </is>
      </c>
      <c r="C3671" s="36" t="inlineStr">
        <is>
          <t>Skjerven rusbehandling ungdom</t>
        </is>
      </c>
      <c r="D3671" s="26" t="n"/>
      <c r="E3671" s="26" t="n"/>
      <c r="F3671" s="26" t="n"/>
      <c r="G3671" s="26" t="n">
        <v>126859</v>
      </c>
      <c r="H3671" s="26" t="n">
        <v>139276</v>
      </c>
      <c r="I3671" s="26" t="n">
        <v>115717</v>
      </c>
      <c r="J3671" s="19" t="n">
        <v>131249.114325</v>
      </c>
      <c r="K3671" s="37" t="n">
        <v>0.065</v>
      </c>
    </row>
    <row r="3672">
      <c r="A3672" s="34" t="inlineStr">
        <is>
          <t>Arbeidsgiveravgift</t>
        </is>
      </c>
      <c r="B3672" s="34" t="inlineStr">
        <is>
          <t>Region Sør</t>
        </is>
      </c>
      <c r="C3672" s="34" t="inlineStr">
        <is>
          <t>Spisskompetansemiljø for akuttarbeid</t>
        </is>
      </c>
      <c r="D3672" s="18" t="n">
        <v>92608</v>
      </c>
      <c r="E3672" s="18" t="n">
        <v>190336</v>
      </c>
      <c r="F3672" s="18" t="n">
        <v>379787</v>
      </c>
      <c r="G3672" s="18" t="n">
        <v>427880</v>
      </c>
      <c r="H3672" s="18" t="n">
        <v>429088</v>
      </c>
      <c r="I3672" s="18" t="n">
        <v>401668</v>
      </c>
      <c r="J3672" s="19" t="n">
        <v>627606.25</v>
      </c>
      <c r="K3672" s="35" t="n">
        <v>0.25</v>
      </c>
    </row>
    <row r="3673">
      <c r="A3673" s="36" t="inlineStr">
        <is>
          <t>Arbeidsgiveravgift</t>
        </is>
      </c>
      <c r="B3673" s="36" t="inlineStr">
        <is>
          <t>Region Sør</t>
        </is>
      </c>
      <c r="C3673" s="36" t="inlineStr">
        <is>
          <t>St. Hansgården ungdomssenter akutt</t>
        </is>
      </c>
      <c r="D3673" s="26" t="n">
        <v>153630</v>
      </c>
      <c r="E3673" s="26" t="n">
        <v>111593</v>
      </c>
      <c r="F3673" s="26" t="n">
        <v>156576</v>
      </c>
      <c r="G3673" s="26" t="n">
        <v>154637</v>
      </c>
      <c r="H3673" s="26" t="n">
        <v>170036</v>
      </c>
      <c r="I3673" s="26" t="n">
        <v>153001</v>
      </c>
      <c r="J3673" s="19" t="n">
        <v>152750.1216711626</v>
      </c>
      <c r="K3673" s="37" t="n">
        <v>-0.000820194820950304</v>
      </c>
    </row>
    <row r="3674">
      <c r="A3674" s="34" t="inlineStr">
        <is>
          <t>Arbeidsgiveravgift</t>
        </is>
      </c>
      <c r="B3674" s="34" t="inlineStr">
        <is>
          <t>Region Sør</t>
        </is>
      </c>
      <c r="C3674" s="34" t="inlineStr">
        <is>
          <t>St.Hansgården</t>
        </is>
      </c>
      <c r="D3674" s="18" t="n">
        <v>2316716</v>
      </c>
      <c r="E3674" s="18" t="n">
        <v>2092110</v>
      </c>
      <c r="F3674" s="18" t="n">
        <v>2236923</v>
      </c>
      <c r="G3674" s="18" t="n">
        <v>2819644</v>
      </c>
      <c r="H3674" s="18" t="n">
        <v>3330433</v>
      </c>
      <c r="I3674" s="18" t="n">
        <v>3553967</v>
      </c>
      <c r="J3674" s="19" t="n">
        <v>4217446.946003537</v>
      </c>
      <c r="K3674" s="35" t="n">
        <v>0.08935170772742662</v>
      </c>
    </row>
    <row r="3675">
      <c r="A3675" s="36" t="inlineStr">
        <is>
          <t>Arbeidsgiveravgift</t>
        </is>
      </c>
      <c r="B3675" s="36" t="inlineStr">
        <is>
          <t>Region Sør</t>
        </is>
      </c>
      <c r="C3675" s="36" t="inlineStr">
        <is>
          <t>Stokke barnesenter</t>
        </is>
      </c>
      <c r="D3675" s="26" t="n"/>
      <c r="E3675" s="26" t="n"/>
      <c r="F3675" s="26" t="n"/>
      <c r="G3675" s="26" t="n"/>
      <c r="H3675" s="26" t="n">
        <v>128893</v>
      </c>
      <c r="I3675" s="26" t="n">
        <v>145685</v>
      </c>
      <c r="J3675" s="19" t="n">
        <v>165239.569125</v>
      </c>
      <c r="K3675" s="37" t="n">
        <v>0.065</v>
      </c>
    </row>
    <row r="3676">
      <c r="A3676" s="34" t="inlineStr">
        <is>
          <t>Arbeidsgiveravgift</t>
        </is>
      </c>
      <c r="B3676" s="34" t="inlineStr">
        <is>
          <t>Region Sør</t>
        </is>
      </c>
      <c r="C3676" s="34" t="inlineStr">
        <is>
          <t>Sundstedtråkka</t>
        </is>
      </c>
      <c r="D3676" s="18" t="n">
        <v>1979480</v>
      </c>
      <c r="E3676" s="18" t="n">
        <v>1993939</v>
      </c>
      <c r="F3676" s="18" t="n">
        <v>2368459</v>
      </c>
      <c r="G3676" s="18" t="n">
        <v>2558829</v>
      </c>
      <c r="H3676" s="18" t="n">
        <v>3021320</v>
      </c>
      <c r="I3676" s="18" t="n">
        <v>3096768</v>
      </c>
      <c r="J3676" s="19" t="n">
        <v>3703835.514229152</v>
      </c>
      <c r="K3676" s="35" t="n">
        <v>0.09363275837994056</v>
      </c>
    </row>
    <row r="3677">
      <c r="A3677" s="36" t="inlineStr">
        <is>
          <t>Arbeidsgiveravgift</t>
        </is>
      </c>
      <c r="B3677" s="36" t="inlineStr">
        <is>
          <t>Region Sør</t>
        </is>
      </c>
      <c r="C3677" s="36" t="inlineStr">
        <is>
          <t>Sundstedtråkka ungdomssenter akutt</t>
        </is>
      </c>
      <c r="D3677" s="26" t="n">
        <v>81159</v>
      </c>
      <c r="E3677" s="26" t="n">
        <v>76798</v>
      </c>
      <c r="F3677" s="26" t="n">
        <v>84731</v>
      </c>
      <c r="G3677" s="26" t="n">
        <v>87513</v>
      </c>
      <c r="H3677" s="26" t="n">
        <v>92358</v>
      </c>
      <c r="I3677" s="26" t="n">
        <v>185145</v>
      </c>
      <c r="J3677" s="19" t="n">
        <v>257502.8904767316</v>
      </c>
      <c r="K3677" s="37" t="n">
        <v>0.1793292228863035</v>
      </c>
    </row>
    <row r="3678">
      <c r="A3678" s="34" t="inlineStr">
        <is>
          <t>Arbeidsgiveravgift</t>
        </is>
      </c>
      <c r="B3678" s="34" t="inlineStr">
        <is>
          <t>Region Sør</t>
        </is>
      </c>
      <c r="C3678" s="34" t="inlineStr">
        <is>
          <t>Svenner</t>
        </is>
      </c>
      <c r="D3678" s="18" t="n"/>
      <c r="E3678" s="18" t="n">
        <v>494202</v>
      </c>
      <c r="F3678" s="18" t="n">
        <v>1885369</v>
      </c>
      <c r="G3678" s="18" t="n">
        <v>2171312</v>
      </c>
      <c r="H3678" s="18" t="n">
        <v>2293567</v>
      </c>
      <c r="I3678" s="18" t="n">
        <v>2456310</v>
      </c>
      <c r="J3678" s="19" t="n">
        <v>3837984.375</v>
      </c>
      <c r="K3678" s="35" t="n">
        <v>0.25</v>
      </c>
    </row>
    <row r="3679">
      <c r="A3679" s="36" t="inlineStr">
        <is>
          <t>Arbeidsgiveravgift</t>
        </is>
      </c>
      <c r="B3679" s="36" t="inlineStr">
        <is>
          <t>Region Sør</t>
        </is>
      </c>
      <c r="C3679" s="36" t="inlineStr">
        <is>
          <t>TFCO Drammen</t>
        </is>
      </c>
      <c r="D3679" s="26" t="n">
        <v>901114</v>
      </c>
      <c r="E3679" s="26" t="n">
        <v>955958</v>
      </c>
      <c r="F3679" s="26" t="n">
        <v>1083070</v>
      </c>
      <c r="G3679" s="26" t="n">
        <v>570388</v>
      </c>
      <c r="H3679" s="26" t="n">
        <v>52</v>
      </c>
      <c r="I3679" s="26" t="n"/>
      <c r="J3679" s="19" t="n">
        <v>0</v>
      </c>
      <c r="K3679" s="37" t="n">
        <v>0.065</v>
      </c>
    </row>
    <row r="3680">
      <c r="A3680" s="34" t="inlineStr">
        <is>
          <t>Arbeidsgiveravgift</t>
        </is>
      </c>
      <c r="B3680" s="34" t="inlineStr">
        <is>
          <t>Region Sør</t>
        </is>
      </c>
      <c r="C3680" s="34" t="inlineStr">
        <is>
          <t>Telemark ungdomssenter</t>
        </is>
      </c>
      <c r="D3680" s="18" t="n">
        <v>67054</v>
      </c>
      <c r="E3680" s="18" t="n">
        <v>116690</v>
      </c>
      <c r="F3680" s="18" t="n">
        <v>172035</v>
      </c>
      <c r="G3680" s="18" t="n">
        <v>188802</v>
      </c>
      <c r="H3680" s="18" t="n">
        <v>186813</v>
      </c>
      <c r="I3680" s="18" t="n">
        <v>142449</v>
      </c>
      <c r="J3680" s="19" t="n">
        <v>192554.3306999867</v>
      </c>
      <c r="K3680" s="35" t="n">
        <v>0.1626445039162621</v>
      </c>
    </row>
    <row r="3681">
      <c r="A3681" s="36" t="inlineStr">
        <is>
          <t>Arbeidsgiveravgift</t>
        </is>
      </c>
      <c r="B3681" s="36" t="inlineStr">
        <is>
          <t>Region Sør</t>
        </is>
      </c>
      <c r="C3681" s="36" t="inlineStr">
        <is>
          <t>Thorøya</t>
        </is>
      </c>
      <c r="D3681" s="26" t="n">
        <v>2639996</v>
      </c>
      <c r="E3681" s="26" t="n">
        <v>2610548</v>
      </c>
      <c r="F3681" s="26" t="n">
        <v>2884290</v>
      </c>
      <c r="G3681" s="26" t="n">
        <v>3269527</v>
      </c>
      <c r="H3681" s="26" t="n">
        <v>3241319</v>
      </c>
      <c r="I3681" s="26" t="n">
        <v>3241368</v>
      </c>
      <c r="J3681" s="19" t="n">
        <v>3518668.627644225</v>
      </c>
      <c r="K3681" s="37" t="n">
        <v>0.04189754397998824</v>
      </c>
    </row>
    <row r="3682">
      <c r="A3682" s="34" t="inlineStr">
        <is>
          <t>Arbeidsgiveravgift</t>
        </is>
      </c>
      <c r="B3682" s="34" t="inlineStr">
        <is>
          <t>Region Sør</t>
        </is>
      </c>
      <c r="C3682" s="34" t="inlineStr">
        <is>
          <t>Thorøya ungdomshjem</t>
        </is>
      </c>
      <c r="D3682" s="18" t="n"/>
      <c r="E3682" s="18" t="n"/>
      <c r="F3682" s="18" t="n">
        <v>76415</v>
      </c>
      <c r="G3682" s="18" t="n">
        <v>88343</v>
      </c>
      <c r="H3682" s="18" t="n">
        <v>54824</v>
      </c>
      <c r="I3682" s="18" t="n">
        <v>350</v>
      </c>
      <c r="J3682" s="19" t="n">
        <v>396.9787499999999</v>
      </c>
      <c r="K3682" s="35" t="n">
        <v>0.065</v>
      </c>
    </row>
    <row r="3683">
      <c r="A3683" s="36" t="inlineStr">
        <is>
          <t>Arbeidsgiveravgift</t>
        </is>
      </c>
      <c r="B3683" s="36" t="inlineStr">
        <is>
          <t>Region Sør</t>
        </is>
      </c>
      <c r="C3683" s="36" t="inlineStr">
        <is>
          <t>Ulabrand</t>
        </is>
      </c>
      <c r="D3683" s="26" t="n"/>
      <c r="E3683" s="26" t="n">
        <v>417971</v>
      </c>
      <c r="F3683" s="26" t="n">
        <v>1331505</v>
      </c>
      <c r="G3683" s="26" t="n">
        <v>1766678</v>
      </c>
      <c r="H3683" s="26" t="n">
        <v>1880213</v>
      </c>
      <c r="I3683" s="26" t="n">
        <v>2008995</v>
      </c>
      <c r="J3683" s="19" t="n">
        <v>3139054.6875</v>
      </c>
      <c r="K3683" s="37" t="n">
        <v>0.25</v>
      </c>
    </row>
    <row r="3684">
      <c r="A3684" s="34" t="inlineStr">
        <is>
          <t>Arbeidsgiveravgift</t>
        </is>
      </c>
      <c r="B3684" s="34" t="inlineStr">
        <is>
          <t>Region Sør</t>
        </is>
      </c>
      <c r="C3684" s="34" t="inlineStr">
        <is>
          <t>Vestfold ungdomssenter</t>
        </is>
      </c>
      <c r="D3684" s="18" t="n"/>
      <c r="E3684" s="18" t="n"/>
      <c r="F3684" s="18" t="n"/>
      <c r="G3684" s="18" t="n"/>
      <c r="H3684" s="18" t="n"/>
      <c r="I3684" s="18" t="n">
        <v>169954</v>
      </c>
      <c r="J3684" s="19" t="n">
        <v>192766.07565</v>
      </c>
      <c r="K3684" s="35" t="n">
        <v>0.065</v>
      </c>
    </row>
    <row r="3685">
      <c r="A3685" s="36" t="inlineStr">
        <is>
          <t>Arbeidsgiveravgift</t>
        </is>
      </c>
      <c r="B3685" s="36" t="inlineStr">
        <is>
          <t>Region Vest</t>
        </is>
      </c>
      <c r="C3685" s="36" t="inlineStr">
        <is>
          <t>Barn og familier (F2)</t>
        </is>
      </c>
      <c r="D3685" s="26" t="n"/>
      <c r="E3685" s="26" t="n"/>
      <c r="F3685" s="26" t="n"/>
      <c r="G3685" s="26" t="n"/>
      <c r="H3685" s="26" t="n"/>
      <c r="I3685" s="26" t="n">
        <v>16023</v>
      </c>
      <c r="J3685" s="19" t="n">
        <v>18173.687175</v>
      </c>
      <c r="K3685" s="37" t="n">
        <v>0.065</v>
      </c>
    </row>
    <row r="3686">
      <c r="A3686" s="34" t="inlineStr">
        <is>
          <t>Arbeidsgiveravgift</t>
        </is>
      </c>
      <c r="B3686" s="34" t="inlineStr">
        <is>
          <t>Region Vest</t>
        </is>
      </c>
      <c r="C3686" s="34" t="inlineStr">
        <is>
          <t>Bergen Akutts. Administrasjonen</t>
        </is>
      </c>
      <c r="D3686" s="18" t="n">
        <v>114545</v>
      </c>
      <c r="E3686" s="18" t="n">
        <v>75514</v>
      </c>
      <c r="F3686" s="18" t="n">
        <v>113083</v>
      </c>
      <c r="G3686" s="18" t="n">
        <v>146417</v>
      </c>
      <c r="H3686" s="18" t="n">
        <v>145471</v>
      </c>
      <c r="I3686" s="18" t="n">
        <v>154977</v>
      </c>
      <c r="J3686" s="19" t="n">
        <v>174897.5375579341</v>
      </c>
      <c r="K3686" s="35" t="n">
        <v>0.06232700738902408</v>
      </c>
    </row>
    <row r="3687">
      <c r="A3687" s="36" t="inlineStr">
        <is>
          <t>Arbeidsgiveravgift</t>
        </is>
      </c>
      <c r="B3687" s="36" t="inlineStr">
        <is>
          <t>Region Vest</t>
        </is>
      </c>
      <c r="C3687" s="36" t="inlineStr">
        <is>
          <t>Bergen Akutts. avd. Nattland</t>
        </is>
      </c>
      <c r="D3687" s="26" t="n">
        <v>1665980</v>
      </c>
      <c r="E3687" s="26" t="n">
        <v>1808985</v>
      </c>
      <c r="F3687" s="26" t="n">
        <v>1988324</v>
      </c>
      <c r="G3687" s="26" t="n">
        <v>2104282</v>
      </c>
      <c r="H3687" s="26" t="n">
        <v>2254686</v>
      </c>
      <c r="I3687" s="26" t="n">
        <v>2551831</v>
      </c>
      <c r="J3687" s="19" t="n">
        <v>3026389.066005554</v>
      </c>
      <c r="K3687" s="37" t="n">
        <v>0.08902142783097333</v>
      </c>
    </row>
    <row r="3688">
      <c r="A3688" s="34" t="inlineStr">
        <is>
          <t>Arbeidsgiveravgift</t>
        </is>
      </c>
      <c r="B3688" s="34" t="inlineStr">
        <is>
          <t>Region Vest</t>
        </is>
      </c>
      <c r="C3688" s="34" t="inlineStr">
        <is>
          <t>Bergen Akutts. avd. Toppe</t>
        </is>
      </c>
      <c r="D3688" s="18" t="n">
        <v>2746878</v>
      </c>
      <c r="E3688" s="18" t="n">
        <v>2720739</v>
      </c>
      <c r="F3688" s="18" t="n">
        <v>2823058</v>
      </c>
      <c r="G3688" s="18" t="n">
        <v>3250215</v>
      </c>
      <c r="H3688" s="18" t="n">
        <v>3451597</v>
      </c>
      <c r="I3688" s="18" t="n">
        <v>4001220</v>
      </c>
      <c r="J3688" s="19" t="n">
        <v>4650864.158390737</v>
      </c>
      <c r="K3688" s="35" t="n">
        <v>0.078128711858787</v>
      </c>
    </row>
    <row r="3689">
      <c r="A3689" s="36" t="inlineStr">
        <is>
          <t>Arbeidsgiveravgift</t>
        </is>
      </c>
      <c r="B3689" s="36" t="inlineStr">
        <is>
          <t>Region Vest</t>
        </is>
      </c>
      <c r="C3689" s="36" t="inlineStr">
        <is>
          <t>Bjørgvin Ungdomssenter avd. trygghet og sikkerhet</t>
        </is>
      </c>
      <c r="D3689" s="26" t="n"/>
      <c r="E3689" s="26" t="n"/>
      <c r="F3689" s="26" t="n"/>
      <c r="G3689" s="26" t="n"/>
      <c r="H3689" s="26" t="n"/>
      <c r="I3689" s="26" t="n">
        <v>343184</v>
      </c>
      <c r="J3689" s="19" t="n">
        <v>389247.8723999999</v>
      </c>
      <c r="K3689" s="37" t="n">
        <v>0.065</v>
      </c>
    </row>
    <row r="3690">
      <c r="A3690" s="34" t="inlineStr">
        <is>
          <t>Arbeidsgiveravgift</t>
        </is>
      </c>
      <c r="B3690" s="34" t="inlineStr">
        <is>
          <t>Region Vest</t>
        </is>
      </c>
      <c r="C3690" s="34" t="inlineStr">
        <is>
          <t>Bjørgvin Ungdomssenter, Bønesskogen</t>
        </is>
      </c>
      <c r="D3690" s="18" t="n">
        <v>1267034</v>
      </c>
      <c r="E3690" s="18" t="n">
        <v>1378118</v>
      </c>
      <c r="F3690" s="18" t="n">
        <v>1314167</v>
      </c>
      <c r="G3690" s="18" t="n">
        <v>1533511</v>
      </c>
      <c r="H3690" s="18" t="n">
        <v>1770702</v>
      </c>
      <c r="I3690" s="18" t="n">
        <v>1915692</v>
      </c>
      <c r="J3690" s="19" t="n">
        <v>2260167.638083544</v>
      </c>
      <c r="K3690" s="35" t="n">
        <v>0.08619420968865388</v>
      </c>
    </row>
    <row r="3691">
      <c r="A3691" s="36" t="inlineStr">
        <is>
          <t>Arbeidsgiveravgift</t>
        </is>
      </c>
      <c r="B3691" s="36" t="inlineStr">
        <is>
          <t>Region Vest</t>
        </is>
      </c>
      <c r="C3691" s="36" t="inlineStr">
        <is>
          <t>Bjørgvin Ungdomssenter, Bønesstølen</t>
        </is>
      </c>
      <c r="D3691" s="26" t="n">
        <v>1339639</v>
      </c>
      <c r="E3691" s="26" t="n">
        <v>1357176</v>
      </c>
      <c r="F3691" s="26" t="n">
        <v>1235107</v>
      </c>
      <c r="G3691" s="26" t="n">
        <v>1613124</v>
      </c>
      <c r="H3691" s="26" t="n">
        <v>1758597</v>
      </c>
      <c r="I3691" s="26" t="n">
        <v>1938273</v>
      </c>
      <c r="J3691" s="19" t="n">
        <v>2246910.69591257</v>
      </c>
      <c r="K3691" s="37" t="n">
        <v>0.07667699257534188</v>
      </c>
    </row>
    <row r="3692">
      <c r="A3692" s="34" t="inlineStr">
        <is>
          <t>Arbeidsgiveravgift</t>
        </is>
      </c>
      <c r="B3692" s="34" t="inlineStr">
        <is>
          <t>Region Vest</t>
        </is>
      </c>
      <c r="C3692" s="34" t="inlineStr">
        <is>
          <t>Bjørgvin Ungdomssenter, administrasjon</t>
        </is>
      </c>
      <c r="D3692" s="18" t="n">
        <v>434968</v>
      </c>
      <c r="E3692" s="18" t="n">
        <v>475719</v>
      </c>
      <c r="F3692" s="18" t="n">
        <v>550259</v>
      </c>
      <c r="G3692" s="18" t="n">
        <v>527744</v>
      </c>
      <c r="H3692" s="18" t="n">
        <v>643887</v>
      </c>
      <c r="I3692" s="18" t="n">
        <v>401131</v>
      </c>
      <c r="J3692" s="19" t="n">
        <v>388345.0676823022</v>
      </c>
      <c r="K3692" s="35" t="n">
        <v>-0.01606641741714665</v>
      </c>
    </row>
    <row r="3693">
      <c r="A3693" s="36" t="inlineStr">
        <is>
          <t>Arbeidsgiveravgift</t>
        </is>
      </c>
      <c r="B3693" s="36" t="inlineStr">
        <is>
          <t>Region Vest</t>
        </is>
      </c>
      <c r="C3693" s="36" t="inlineStr">
        <is>
          <t>Driftsavdelingen</t>
        </is>
      </c>
      <c r="D3693" s="26" t="n">
        <v>181488</v>
      </c>
      <c r="E3693" s="26" t="n">
        <v>194032</v>
      </c>
      <c r="F3693" s="26" t="n">
        <v>189066</v>
      </c>
      <c r="G3693" s="26" t="n">
        <v>215528</v>
      </c>
      <c r="H3693" s="26" t="n">
        <v>221507</v>
      </c>
      <c r="I3693" s="26" t="n">
        <v>176570</v>
      </c>
      <c r="J3693" s="19" t="n">
        <v>174640.3197787464</v>
      </c>
      <c r="K3693" s="37" t="n">
        <v>-0.005479360740653805</v>
      </c>
    </row>
    <row r="3694">
      <c r="A3694" s="34" t="inlineStr">
        <is>
          <t>Arbeidsgiveravgift</t>
        </is>
      </c>
      <c r="B3694" s="34" t="inlineStr">
        <is>
          <t>Region Vest</t>
        </is>
      </c>
      <c r="C3694" s="34" t="inlineStr">
        <is>
          <t>Eikelund US avd. beh. høy</t>
        </is>
      </c>
      <c r="D3694" s="18" t="n"/>
      <c r="E3694" s="18" t="n"/>
      <c r="F3694" s="18" t="n"/>
      <c r="G3694" s="18" t="n"/>
      <c r="H3694" s="18" t="n"/>
      <c r="I3694" s="18" t="n">
        <v>1137955</v>
      </c>
      <c r="J3694" s="19" t="n">
        <v>1290697.009875</v>
      </c>
      <c r="K3694" s="35" t="n">
        <v>0.065</v>
      </c>
    </row>
    <row r="3695">
      <c r="A3695" s="36" t="inlineStr">
        <is>
          <t>Arbeidsgiveravgift</t>
        </is>
      </c>
      <c r="B3695" s="36" t="inlineStr">
        <is>
          <t>Region Vest</t>
        </is>
      </c>
      <c r="C3695" s="36" t="inlineStr">
        <is>
          <t>Eikelund ungdomssenter behandling høy</t>
        </is>
      </c>
      <c r="D3695" s="26" t="n"/>
      <c r="E3695" s="26" t="n"/>
      <c r="F3695" s="26" t="n"/>
      <c r="G3695" s="26" t="n"/>
      <c r="H3695" s="26" t="n"/>
      <c r="I3695" s="26" t="n">
        <v>149566</v>
      </c>
      <c r="J3695" s="19" t="n">
        <v>169641.49635</v>
      </c>
      <c r="K3695" s="37" t="n">
        <v>0.065</v>
      </c>
    </row>
    <row r="3696">
      <c r="A3696" s="34" t="inlineStr">
        <is>
          <t>Arbeidsgiveravgift</t>
        </is>
      </c>
      <c r="B3696" s="34" t="inlineStr">
        <is>
          <t>Region Vest</t>
        </is>
      </c>
      <c r="C3696" s="34" t="inlineStr">
        <is>
          <t>Enhet for inntak Bufetat region vest, avd. Vestland</t>
        </is>
      </c>
      <c r="D3696" s="18" t="n">
        <v>36326</v>
      </c>
      <c r="E3696" s="18" t="n">
        <v>-36326</v>
      </c>
      <c r="F3696" s="18" t="n">
        <v>76518</v>
      </c>
      <c r="G3696" s="18" t="n"/>
      <c r="H3696" s="18" t="n"/>
      <c r="I3696" s="18" t="n"/>
      <c r="J3696" s="19" t="n">
        <v>0</v>
      </c>
      <c r="K3696" s="35" t="n">
        <v>0.065</v>
      </c>
    </row>
    <row r="3697">
      <c r="A3697" s="36" t="inlineStr">
        <is>
          <t>Arbeidsgiveravgift</t>
        </is>
      </c>
      <c r="B3697" s="36" t="inlineStr">
        <is>
          <t>Region Vest</t>
        </is>
      </c>
      <c r="C3697" s="36" t="inlineStr">
        <is>
          <t>Fagforening</t>
        </is>
      </c>
      <c r="D3697" s="26" t="n">
        <v>34186</v>
      </c>
      <c r="E3697" s="26" t="n"/>
      <c r="F3697" s="26" t="n"/>
      <c r="G3697" s="26" t="n"/>
      <c r="H3697" s="26" t="n"/>
      <c r="I3697" s="26" t="n"/>
      <c r="J3697" s="19" t="n">
        <v>0</v>
      </c>
      <c r="K3697" s="37" t="n">
        <v>0.065</v>
      </c>
    </row>
    <row r="3698">
      <c r="A3698" s="34" t="inlineStr">
        <is>
          <t>Arbeidsgiveravgift</t>
        </is>
      </c>
      <c r="B3698" s="34" t="inlineStr">
        <is>
          <t>Region Vest</t>
        </is>
      </c>
      <c r="C3698" s="34" t="inlineStr">
        <is>
          <t>Familievernkontoret for Bergen og omland</t>
        </is>
      </c>
      <c r="D3698" s="18" t="n"/>
      <c r="E3698" s="18" t="n"/>
      <c r="F3698" s="18" t="n">
        <v>148</v>
      </c>
      <c r="G3698" s="18" t="n"/>
      <c r="H3698" s="18" t="n"/>
      <c r="I3698" s="18" t="n"/>
      <c r="J3698" s="19" t="n">
        <v>0</v>
      </c>
      <c r="K3698" s="35" t="n">
        <v>0.065</v>
      </c>
    </row>
    <row r="3699">
      <c r="A3699" s="36" t="inlineStr">
        <is>
          <t>Arbeidsgiveravgift</t>
        </is>
      </c>
      <c r="B3699" s="36" t="inlineStr">
        <is>
          <t>Region Vest</t>
        </is>
      </c>
      <c r="C3699" s="36" t="inlineStr">
        <is>
          <t>Kasa Ungdomssenter avd. Flatøy</t>
        </is>
      </c>
      <c r="D3699" s="26" t="n">
        <v>1070361</v>
      </c>
      <c r="E3699" s="26" t="n">
        <v>1007799</v>
      </c>
      <c r="F3699" s="26" t="n">
        <v>980216</v>
      </c>
      <c r="G3699" s="26" t="n">
        <v>1121120</v>
      </c>
      <c r="H3699" s="26" t="n">
        <v>1441008</v>
      </c>
      <c r="I3699" s="26" t="n">
        <v>1506825</v>
      </c>
      <c r="J3699" s="19" t="n">
        <v>1727729.836447077</v>
      </c>
      <c r="K3699" s="37" t="n">
        <v>0.07079542771076941</v>
      </c>
    </row>
    <row r="3700">
      <c r="A3700" s="34" t="inlineStr">
        <is>
          <t>Arbeidsgiveravgift</t>
        </is>
      </c>
      <c r="B3700" s="34" t="inlineStr">
        <is>
          <t>Region Vest</t>
        </is>
      </c>
      <c r="C3700" s="34" t="inlineStr">
        <is>
          <t>Kasa Ungdomssenter avd. Hop</t>
        </is>
      </c>
      <c r="D3700" s="18" t="n">
        <v>981257</v>
      </c>
      <c r="E3700" s="18" t="n">
        <v>1047196</v>
      </c>
      <c r="F3700" s="18" t="n">
        <v>1116541</v>
      </c>
      <c r="G3700" s="18" t="n">
        <v>1293037</v>
      </c>
      <c r="H3700" s="18" t="n">
        <v>1570973</v>
      </c>
      <c r="I3700" s="18" t="n">
        <v>1653860</v>
      </c>
      <c r="J3700" s="19" t="n">
        <v>2037910.626045991</v>
      </c>
      <c r="K3700" s="35" t="n">
        <v>0.1100516715387718</v>
      </c>
    </row>
    <row r="3701">
      <c r="A3701" s="36" t="inlineStr">
        <is>
          <t>Arbeidsgiveravgift</t>
        </is>
      </c>
      <c r="B3701" s="36" t="inlineStr">
        <is>
          <t>Region Vest</t>
        </is>
      </c>
      <c r="C3701" s="36" t="inlineStr">
        <is>
          <t>Kasa Ungdomssenter avd. Morvik</t>
        </is>
      </c>
      <c r="D3701" s="26" t="n">
        <v>1337252</v>
      </c>
      <c r="E3701" s="26" t="n">
        <v>1070109</v>
      </c>
      <c r="F3701" s="26" t="n">
        <v>1083413</v>
      </c>
      <c r="G3701" s="26" t="n">
        <v>1212064</v>
      </c>
      <c r="H3701" s="26" t="n">
        <v>1369763</v>
      </c>
      <c r="I3701" s="26" t="n">
        <v>1499817</v>
      </c>
      <c r="J3701" s="19" t="n">
        <v>1570248.105911459</v>
      </c>
      <c r="K3701" s="37" t="n">
        <v>0.0232105353753953</v>
      </c>
    </row>
    <row r="3702">
      <c r="A3702" s="34" t="inlineStr">
        <is>
          <t>Arbeidsgiveravgift</t>
        </is>
      </c>
      <c r="B3702" s="34" t="inlineStr">
        <is>
          <t>Region Vest</t>
        </is>
      </c>
      <c r="C3702" s="34" t="inlineStr">
        <is>
          <t>Kasa Ungdomssenter avd. Sandsli</t>
        </is>
      </c>
      <c r="D3702" s="18" t="n">
        <v>711904</v>
      </c>
      <c r="E3702" s="18" t="n">
        <v>700658</v>
      </c>
      <c r="F3702" s="18" t="n">
        <v>706105</v>
      </c>
      <c r="G3702" s="18" t="n">
        <v>1022128</v>
      </c>
      <c r="H3702" s="18" t="n">
        <v>1250003</v>
      </c>
      <c r="I3702" s="18" t="n">
        <v>1467125</v>
      </c>
      <c r="J3702" s="19" t="n">
        <v>1959229.861190503</v>
      </c>
      <c r="K3702" s="35" t="n">
        <v>0.1556042672942752</v>
      </c>
    </row>
    <row r="3703">
      <c r="A3703" s="36" t="inlineStr">
        <is>
          <t>Arbeidsgiveravgift</t>
        </is>
      </c>
      <c r="B3703" s="36" t="inlineStr">
        <is>
          <t>Region Vest</t>
        </is>
      </c>
      <c r="C3703" s="36" t="inlineStr">
        <is>
          <t>Kasa Ungdomssenter avd. Tertnes</t>
        </is>
      </c>
      <c r="D3703" s="26" t="n">
        <v>1025810</v>
      </c>
      <c r="E3703" s="26" t="n">
        <v>981877</v>
      </c>
      <c r="F3703" s="26" t="n">
        <v>1046760</v>
      </c>
      <c r="G3703" s="26" t="n">
        <v>1204224</v>
      </c>
      <c r="H3703" s="26" t="n">
        <v>1392923</v>
      </c>
      <c r="I3703" s="26" t="n">
        <v>1602759</v>
      </c>
      <c r="J3703" s="19" t="n">
        <v>1915970.167328318</v>
      </c>
      <c r="K3703" s="37" t="n">
        <v>0.09335264311834979</v>
      </c>
    </row>
    <row r="3704">
      <c r="A3704" s="34" t="inlineStr">
        <is>
          <t>Arbeidsgiveravgift</t>
        </is>
      </c>
      <c r="B3704" s="34" t="inlineStr">
        <is>
          <t>Region Vest</t>
        </is>
      </c>
      <c r="C3704" s="34" t="inlineStr">
        <is>
          <t>Kasa Ungdomssenter avd. adm.</t>
        </is>
      </c>
      <c r="D3704" s="18" t="n">
        <v>222895</v>
      </c>
      <c r="E3704" s="18" t="n">
        <v>145948</v>
      </c>
      <c r="F3704" s="18" t="n">
        <v>60999</v>
      </c>
      <c r="G3704" s="18" t="n">
        <v>40520</v>
      </c>
      <c r="H3704" s="18" t="n">
        <v>119988</v>
      </c>
      <c r="I3704" s="18" t="n">
        <v>61862</v>
      </c>
      <c r="J3704" s="19" t="n">
        <v>37047.03099723054</v>
      </c>
      <c r="K3704" s="35" t="n">
        <v>-0.2261358535267098</v>
      </c>
    </row>
    <row r="3705">
      <c r="A3705" s="36" t="inlineStr">
        <is>
          <t>Arbeidsgiveravgift</t>
        </is>
      </c>
      <c r="B3705" s="36" t="inlineStr">
        <is>
          <t>Region Vest</t>
        </is>
      </c>
      <c r="C3705" s="36" t="inlineStr">
        <is>
          <t>Kommunikasjon</t>
        </is>
      </c>
      <c r="D3705" s="26" t="n"/>
      <c r="E3705" s="26" t="n"/>
      <c r="F3705" s="26" t="n"/>
      <c r="G3705" s="26" t="n"/>
      <c r="H3705" s="26" t="n">
        <v>846</v>
      </c>
      <c r="I3705" s="26" t="n"/>
      <c r="J3705" s="19" t="n">
        <v>0</v>
      </c>
      <c r="K3705" s="37" t="n">
        <v>0.065</v>
      </c>
    </row>
    <row r="3706">
      <c r="A3706" s="34" t="inlineStr">
        <is>
          <t>Arbeidsgiveravgift</t>
        </is>
      </c>
      <c r="B3706" s="34" t="inlineStr">
        <is>
          <t>Region Vest</t>
        </is>
      </c>
      <c r="C3706" s="34" t="inlineStr">
        <is>
          <t>Kontorfaglig enhet adm</t>
        </is>
      </c>
      <c r="D3706" s="18" t="n">
        <v>96652</v>
      </c>
      <c r="E3706" s="18" t="n">
        <v>155682</v>
      </c>
      <c r="F3706" s="18" t="n">
        <v>146573</v>
      </c>
      <c r="G3706" s="18" t="n">
        <v>151179</v>
      </c>
      <c r="H3706" s="18" t="n">
        <v>85703</v>
      </c>
      <c r="I3706" s="18" t="n">
        <v>2172</v>
      </c>
      <c r="J3706" s="19" t="n">
        <v>1221.75</v>
      </c>
      <c r="K3706" s="35" t="n">
        <v>-0.25</v>
      </c>
    </row>
    <row r="3707">
      <c r="A3707" s="36" t="inlineStr">
        <is>
          <t>Arbeidsgiveravgift</t>
        </is>
      </c>
      <c r="B3707" s="36" t="inlineStr">
        <is>
          <t>Region Vest</t>
        </is>
      </c>
      <c r="C3707" s="36" t="inlineStr">
        <is>
          <t>Krabbedalen</t>
        </is>
      </c>
      <c r="D3707" s="26" t="n">
        <v>23213</v>
      </c>
      <c r="E3707" s="26" t="n"/>
      <c r="F3707" s="26" t="n"/>
      <c r="G3707" s="26" t="n"/>
      <c r="H3707" s="26" t="n"/>
      <c r="I3707" s="26" t="n"/>
      <c r="J3707" s="19" t="n">
        <v>0</v>
      </c>
      <c r="K3707" s="37" t="n">
        <v>0.065</v>
      </c>
    </row>
    <row r="3708">
      <c r="A3708" s="34" t="inlineStr">
        <is>
          <t>Arbeidsgiveravgift</t>
        </is>
      </c>
      <c r="B3708" s="34" t="inlineStr">
        <is>
          <t>Region Vest</t>
        </is>
      </c>
      <c r="C3708" s="34" t="inlineStr">
        <is>
          <t>MST Bergen team 1</t>
        </is>
      </c>
      <c r="D3708" s="18" t="n"/>
      <c r="E3708" s="18" t="n">
        <v>1523</v>
      </c>
      <c r="F3708" s="18" t="n">
        <v>1015</v>
      </c>
      <c r="G3708" s="18" t="n"/>
      <c r="H3708" s="18" t="n"/>
      <c r="I3708" s="18" t="n"/>
      <c r="J3708" s="19" t="n">
        <v>0</v>
      </c>
      <c r="K3708" s="35" t="n">
        <v>0.065</v>
      </c>
    </row>
    <row r="3709">
      <c r="A3709" s="36" t="inlineStr">
        <is>
          <t>Arbeidsgiveravgift</t>
        </is>
      </c>
      <c r="B3709" s="36" t="inlineStr">
        <is>
          <t>Region Vest</t>
        </is>
      </c>
      <c r="C3709" s="36" t="inlineStr">
        <is>
          <t>MultifunC - Bergen ungdomssenter</t>
        </is>
      </c>
      <c r="D3709" s="26" t="n">
        <v>45026</v>
      </c>
      <c r="E3709" s="26" t="n">
        <v>52415</v>
      </c>
      <c r="F3709" s="26" t="n"/>
      <c r="G3709" s="26" t="n"/>
      <c r="H3709" s="26" t="n"/>
      <c r="I3709" s="26" t="n"/>
      <c r="J3709" s="19" t="n">
        <v>0</v>
      </c>
      <c r="K3709" s="37" t="n">
        <v>0.065</v>
      </c>
    </row>
    <row r="3710">
      <c r="A3710" s="34" t="inlineStr">
        <is>
          <t>Arbeidsgiveravgift</t>
        </is>
      </c>
      <c r="B3710" s="34" t="inlineStr">
        <is>
          <t>Region Vest</t>
        </is>
      </c>
      <c r="C3710" s="34" t="inlineStr">
        <is>
          <t>Region vest - Adferd høy</t>
        </is>
      </c>
      <c r="D3710" s="18" t="n"/>
      <c r="E3710" s="18" t="n"/>
      <c r="F3710" s="18" t="n"/>
      <c r="G3710" s="18" t="n">
        <v>61134</v>
      </c>
      <c r="H3710" s="18" t="n">
        <v>34</v>
      </c>
      <c r="I3710" s="18" t="n"/>
      <c r="J3710" s="19" t="n">
        <v>0</v>
      </c>
      <c r="K3710" s="35" t="n">
        <v>0.065</v>
      </c>
    </row>
    <row r="3711">
      <c r="A3711" s="36" t="inlineStr">
        <is>
          <t>Arbeidsgiveravgift</t>
        </is>
      </c>
      <c r="B3711" s="36" t="inlineStr">
        <is>
          <t>Region Vest</t>
        </is>
      </c>
      <c r="C3711" s="36" t="inlineStr">
        <is>
          <t>SAS - Haugesund beredskapshjem</t>
        </is>
      </c>
      <c r="D3711" s="26" t="n"/>
      <c r="E3711" s="26" t="n"/>
      <c r="F3711" s="26" t="n"/>
      <c r="G3711" s="26" t="n">
        <v>1954</v>
      </c>
      <c r="H3711" s="26" t="n"/>
      <c r="I3711" s="26" t="n"/>
      <c r="J3711" s="19" t="n">
        <v>0</v>
      </c>
      <c r="K3711" s="37" t="n">
        <v>0.065</v>
      </c>
    </row>
    <row r="3712">
      <c r="A3712" s="34" t="inlineStr">
        <is>
          <t>Arbeidsgiveravgift</t>
        </is>
      </c>
      <c r="B3712" s="34" t="inlineStr">
        <is>
          <t>Region Vest</t>
        </is>
      </c>
      <c r="C3712" s="34" t="inlineStr">
        <is>
          <t>SFU avd Bregnetunet</t>
        </is>
      </c>
      <c r="D3712" s="18" t="n">
        <v>1175737</v>
      </c>
      <c r="E3712" s="18" t="n">
        <v>1115450</v>
      </c>
      <c r="F3712" s="18" t="n">
        <v>1467929</v>
      </c>
      <c r="G3712" s="18" t="n">
        <v>1948573</v>
      </c>
      <c r="H3712" s="18" t="n">
        <v>2014062</v>
      </c>
      <c r="I3712" s="18" t="n">
        <v>25561</v>
      </c>
      <c r="J3712" s="19" t="n">
        <v>14378.0625</v>
      </c>
      <c r="K3712" s="35" t="n">
        <v>-0.25</v>
      </c>
    </row>
    <row r="3713">
      <c r="A3713" s="36" t="inlineStr">
        <is>
          <t>Arbeidsgiveravgift</t>
        </is>
      </c>
      <c r="B3713" s="36" t="inlineStr">
        <is>
          <t>Region Vest</t>
        </is>
      </c>
      <c r="C3713" s="36" t="inlineStr">
        <is>
          <t>SFU avd Familiehjem</t>
        </is>
      </c>
      <c r="D3713" s="26" t="n">
        <v>26396</v>
      </c>
      <c r="E3713" s="26" t="n"/>
      <c r="F3713" s="26" t="n"/>
      <c r="G3713" s="26" t="n"/>
      <c r="H3713" s="26" t="n"/>
      <c r="I3713" s="26" t="n"/>
      <c r="J3713" s="19" t="n">
        <v>0</v>
      </c>
      <c r="K3713" s="37" t="n">
        <v>0.065</v>
      </c>
    </row>
    <row r="3714">
      <c r="A3714" s="34" t="inlineStr">
        <is>
          <t>Arbeidsgiveravgift</t>
        </is>
      </c>
      <c r="B3714" s="34" t="inlineStr">
        <is>
          <t>Region Vest</t>
        </is>
      </c>
      <c r="C3714" s="34" t="inlineStr">
        <is>
          <t>SFU avd.Meltunet</t>
        </is>
      </c>
      <c r="D3714" s="18" t="n">
        <v>1061957</v>
      </c>
      <c r="E3714" s="18" t="n">
        <v>1023391</v>
      </c>
      <c r="F3714" s="18" t="n">
        <v>1211096</v>
      </c>
      <c r="G3714" s="18" t="n">
        <v>1610859</v>
      </c>
      <c r="H3714" s="18" t="n">
        <v>2000582</v>
      </c>
      <c r="I3714" s="18" t="n">
        <v>1850156</v>
      </c>
      <c r="J3714" s="19" t="n">
        <v>2310196.465368219</v>
      </c>
      <c r="K3714" s="35" t="n">
        <v>0.1174298880086269</v>
      </c>
    </row>
    <row r="3715">
      <c r="A3715" s="36" t="inlineStr">
        <is>
          <t>Arbeidsgiveravgift</t>
        </is>
      </c>
      <c r="B3715" s="36" t="inlineStr">
        <is>
          <t>Region Vest</t>
        </is>
      </c>
      <c r="C3715" s="36" t="inlineStr">
        <is>
          <t>SKM Sped og småbarn</t>
        </is>
      </c>
      <c r="D3715" s="26" t="n">
        <v>-7614</v>
      </c>
      <c r="E3715" s="26" t="n"/>
      <c r="F3715" s="26" t="n"/>
      <c r="G3715" s="26" t="n"/>
      <c r="H3715" s="26" t="n"/>
      <c r="I3715" s="26" t="n"/>
      <c r="J3715" s="19" t="n">
        <v>0</v>
      </c>
      <c r="K3715" s="37" t="n">
        <v>0.065</v>
      </c>
    </row>
    <row r="3716">
      <c r="A3716" s="34" t="inlineStr">
        <is>
          <t>Arbeidsgiveravgift</t>
        </is>
      </c>
      <c r="B3716" s="34" t="inlineStr">
        <is>
          <t>Region Vest</t>
        </is>
      </c>
      <c r="C3716" s="34" t="inlineStr">
        <is>
          <t>Sandnes Ungdomssenter, Boligen</t>
        </is>
      </c>
      <c r="D3716" s="18" t="n">
        <v>1205</v>
      </c>
      <c r="E3716" s="18" t="n"/>
      <c r="F3716" s="18" t="n"/>
      <c r="G3716" s="18" t="n"/>
      <c r="H3716" s="18" t="n"/>
      <c r="I3716" s="18" t="n"/>
      <c r="J3716" s="19" t="n">
        <v>0</v>
      </c>
      <c r="K3716" s="35" t="n">
        <v>0.065</v>
      </c>
    </row>
    <row r="3717">
      <c r="A3717" s="36" t="inlineStr">
        <is>
          <t>Arbeidsgiveravgift</t>
        </is>
      </c>
      <c r="B3717" s="36" t="inlineStr">
        <is>
          <t>Region Vest</t>
        </is>
      </c>
      <c r="C3717" s="36" t="inlineStr">
        <is>
          <t>Sandnes ungdomssenter - Minde 2</t>
        </is>
      </c>
      <c r="D3717" s="26" t="n">
        <v>1377826</v>
      </c>
      <c r="E3717" s="26" t="n">
        <v>1757703</v>
      </c>
      <c r="F3717" s="26" t="n">
        <v>1740829</v>
      </c>
      <c r="G3717" s="26" t="n">
        <v>2137682</v>
      </c>
      <c r="H3717" s="26" t="n">
        <v>2234600</v>
      </c>
      <c r="I3717" s="26" t="n">
        <v>2300360</v>
      </c>
      <c r="J3717" s="19" t="n">
        <v>2823815.903511808</v>
      </c>
      <c r="K3717" s="37" t="n">
        <v>0.107950317538142</v>
      </c>
    </row>
    <row r="3718">
      <c r="A3718" s="34" t="inlineStr">
        <is>
          <t>Arbeidsgiveravgift</t>
        </is>
      </c>
      <c r="B3718" s="34" t="inlineStr">
        <is>
          <t>Region Vest</t>
        </is>
      </c>
      <c r="C3718" s="34" t="inlineStr">
        <is>
          <t>Sandnes ungdomssenter - Minde1</t>
        </is>
      </c>
      <c r="D3718" s="18" t="n">
        <v>1535207</v>
      </c>
      <c r="E3718" s="18" t="n">
        <v>1539623</v>
      </c>
      <c r="F3718" s="18" t="n">
        <v>1762992</v>
      </c>
      <c r="G3718" s="18" t="n">
        <v>2048150</v>
      </c>
      <c r="H3718" s="18" t="n">
        <v>2015919</v>
      </c>
      <c r="I3718" s="18" t="n">
        <v>2085764</v>
      </c>
      <c r="J3718" s="19" t="n">
        <v>2357786.39545078</v>
      </c>
      <c r="K3718" s="35" t="n">
        <v>0.06321145020243635</v>
      </c>
    </row>
    <row r="3719">
      <c r="A3719" s="36" t="inlineStr">
        <is>
          <t>Arbeidsgiveravgift</t>
        </is>
      </c>
      <c r="B3719" s="36" t="inlineStr">
        <is>
          <t>Region Vest</t>
        </is>
      </c>
      <c r="C3719" s="36" t="inlineStr">
        <is>
          <t>Sandnes ungdomssenter - adm</t>
        </is>
      </c>
      <c r="D3719" s="26" t="n">
        <v>144326</v>
      </c>
      <c r="E3719" s="26" t="n">
        <v>108170</v>
      </c>
      <c r="F3719" s="26" t="n">
        <v>114482</v>
      </c>
      <c r="G3719" s="26" t="n">
        <v>80894</v>
      </c>
      <c r="H3719" s="26" t="n">
        <v>18490</v>
      </c>
      <c r="I3719" s="26" t="n">
        <v>67298</v>
      </c>
      <c r="J3719" s="19" t="n">
        <v>49598.11723537025</v>
      </c>
      <c r="K3719" s="37" t="n">
        <v>-0.1415173617815019</v>
      </c>
    </row>
    <row r="3720">
      <c r="A3720" s="34" t="inlineStr">
        <is>
          <t>Arbeidsgiveravgift</t>
        </is>
      </c>
      <c r="B3720" s="34" t="inlineStr">
        <is>
          <t>Region Vest</t>
        </is>
      </c>
      <c r="C3720" s="34" t="inlineStr">
        <is>
          <t>Seksjon HR</t>
        </is>
      </c>
      <c r="D3720" s="18" t="n"/>
      <c r="E3720" s="18" t="n"/>
      <c r="F3720" s="18" t="n"/>
      <c r="G3720" s="18" t="n"/>
      <c r="H3720" s="18" t="n"/>
      <c r="I3720" s="18" t="n">
        <v>63149</v>
      </c>
      <c r="J3720" s="19" t="n">
        <v>71625.17452499999</v>
      </c>
      <c r="K3720" s="35" t="n">
        <v>0.065</v>
      </c>
    </row>
    <row r="3721">
      <c r="A3721" s="36" t="inlineStr">
        <is>
          <t>Arbeidsgiveravgift</t>
        </is>
      </c>
      <c r="B3721" s="36" t="inlineStr">
        <is>
          <t>Region Vest</t>
        </is>
      </c>
      <c r="C3721" s="36" t="inlineStr">
        <is>
          <t>Seksjon faglig støtte</t>
        </is>
      </c>
      <c r="D3721" s="26" t="n"/>
      <c r="E3721" s="26" t="n"/>
      <c r="F3721" s="26" t="n"/>
      <c r="G3721" s="26" t="n"/>
      <c r="H3721" s="26" t="n">
        <v>22</v>
      </c>
      <c r="I3721" s="26" t="n">
        <v>151925</v>
      </c>
      <c r="J3721" s="19" t="n">
        <v>172317.133125</v>
      </c>
      <c r="K3721" s="37" t="n">
        <v>0.065</v>
      </c>
    </row>
    <row r="3722">
      <c r="A3722" s="34" t="inlineStr">
        <is>
          <t>Arbeidsgiveravgift</t>
        </is>
      </c>
      <c r="B3722" s="34" t="inlineStr">
        <is>
          <t>Region Vest</t>
        </is>
      </c>
      <c r="C3722" s="34" t="inlineStr">
        <is>
          <t>Seksjon virksomhetsstyring</t>
        </is>
      </c>
      <c r="D3722" s="18" t="n"/>
      <c r="E3722" s="18" t="n"/>
      <c r="F3722" s="18" t="n"/>
      <c r="G3722" s="18" t="n"/>
      <c r="H3722" s="18" t="n"/>
      <c r="I3722" s="18" t="n">
        <v>22910</v>
      </c>
      <c r="J3722" s="19" t="n">
        <v>25985.09475</v>
      </c>
      <c r="K3722" s="35" t="n">
        <v>0.065</v>
      </c>
    </row>
    <row r="3723">
      <c r="A3723" s="36" t="inlineStr">
        <is>
          <t>Arbeidsgiveravgift</t>
        </is>
      </c>
      <c r="B3723" s="36" t="inlineStr">
        <is>
          <t>Region Vest</t>
        </is>
      </c>
      <c r="C3723" s="36" t="inlineStr">
        <is>
          <t>Skjoldvegen Enetiltak Dyrhaugen</t>
        </is>
      </c>
      <c r="D3723" s="26" t="n">
        <v>-283</v>
      </c>
      <c r="E3723" s="26" t="n"/>
      <c r="F3723" s="26" t="n"/>
      <c r="G3723" s="26" t="n"/>
      <c r="H3723" s="26" t="n"/>
      <c r="I3723" s="26" t="n"/>
      <c r="J3723" s="19" t="n">
        <v>0</v>
      </c>
      <c r="K3723" s="37" t="n">
        <v>0.065</v>
      </c>
    </row>
    <row r="3724">
      <c r="A3724" s="34" t="inlineStr">
        <is>
          <t>Arbeidsgiveravgift</t>
        </is>
      </c>
      <c r="B3724" s="34" t="inlineStr">
        <is>
          <t>Region Vest</t>
        </is>
      </c>
      <c r="C3724" s="34" t="inlineStr">
        <is>
          <t>Skjoldvegen Skjold</t>
        </is>
      </c>
      <c r="D3724" s="18" t="n">
        <v>1594485</v>
      </c>
      <c r="E3724" s="18" t="n">
        <v>1834010</v>
      </c>
      <c r="F3724" s="18" t="n">
        <v>1949409</v>
      </c>
      <c r="G3724" s="18" t="n">
        <v>2200756</v>
      </c>
      <c r="H3724" s="18" t="n">
        <v>2457360</v>
      </c>
      <c r="I3724" s="18" t="n">
        <v>2720651</v>
      </c>
      <c r="J3724" s="19" t="n">
        <v>3368944.012435867</v>
      </c>
      <c r="K3724" s="35" t="n">
        <v>0.1127829924697583</v>
      </c>
    </row>
    <row r="3725">
      <c r="A3725" s="36" t="inlineStr">
        <is>
          <t>Arbeidsgiveravgift</t>
        </is>
      </c>
      <c r="B3725" s="36" t="inlineStr">
        <is>
          <t>Region Vest</t>
        </is>
      </c>
      <c r="C3725" s="36" t="inlineStr">
        <is>
          <t>Skjoldvegen Søfteland</t>
        </is>
      </c>
      <c r="D3725" s="26" t="n">
        <v>594088</v>
      </c>
      <c r="E3725" s="26" t="n">
        <v>670142</v>
      </c>
      <c r="F3725" s="26" t="n">
        <v>593586</v>
      </c>
      <c r="G3725" s="26" t="n">
        <v>864193</v>
      </c>
      <c r="H3725" s="26" t="n">
        <v>1099656</v>
      </c>
      <c r="I3725" s="26" t="n">
        <v>2021671</v>
      </c>
      <c r="J3725" s="19" t="n">
        <v>3158860.9375</v>
      </c>
      <c r="K3725" s="37" t="n">
        <v>0.25</v>
      </c>
    </row>
    <row r="3726">
      <c r="A3726" s="34" t="inlineStr">
        <is>
          <t>Arbeidsgiveravgift</t>
        </is>
      </c>
      <c r="B3726" s="34" t="inlineStr">
        <is>
          <t>Region Vest</t>
        </is>
      </c>
      <c r="C3726" s="34" t="inlineStr">
        <is>
          <t>Skjoldvegen barnevernsenter</t>
        </is>
      </c>
      <c r="D3726" s="18" t="n">
        <v>134853</v>
      </c>
      <c r="E3726" s="18" t="n">
        <v>99634</v>
      </c>
      <c r="F3726" s="18" t="n">
        <v>81704</v>
      </c>
      <c r="G3726" s="18" t="n">
        <v>134767</v>
      </c>
      <c r="H3726" s="18" t="n">
        <v>152047</v>
      </c>
      <c r="I3726" s="18" t="n">
        <v>142723</v>
      </c>
      <c r="J3726" s="19" t="n">
        <v>145998.1347284924</v>
      </c>
      <c r="K3726" s="35" t="n">
        <v>0.01140866656030859</v>
      </c>
    </row>
    <row r="3727">
      <c r="A3727" s="36" t="inlineStr">
        <is>
          <t>Arbeidsgiveravgift</t>
        </is>
      </c>
      <c r="B3727" s="36" t="inlineStr">
        <is>
          <t>Region Vest</t>
        </is>
      </c>
      <c r="C3727" s="36" t="inlineStr">
        <is>
          <t>Skjoldvegen barnevernsenter Enetiltak</t>
        </is>
      </c>
      <c r="D3727" s="26" t="n">
        <v>93212</v>
      </c>
      <c r="E3727" s="26" t="n">
        <v>4489</v>
      </c>
      <c r="F3727" s="26" t="n"/>
      <c r="G3727" s="26" t="n">
        <v>111190</v>
      </c>
      <c r="H3727" s="26" t="n">
        <v>118</v>
      </c>
      <c r="I3727" s="26" t="n"/>
      <c r="J3727" s="19" t="n">
        <v>0</v>
      </c>
      <c r="K3727" s="37" t="n">
        <v>0.065</v>
      </c>
    </row>
    <row r="3728">
      <c r="A3728" s="34" t="inlineStr">
        <is>
          <t>Arbeidsgiveravgift</t>
        </is>
      </c>
      <c r="B3728" s="34" t="inlineStr">
        <is>
          <t>Region Vest</t>
        </is>
      </c>
      <c r="C3728" s="34" t="inlineStr">
        <is>
          <t>Skjoldvegen barnevernsenter avd. Fyllingsdalen</t>
        </is>
      </c>
      <c r="D3728" s="18" t="n">
        <v>1091557</v>
      </c>
      <c r="E3728" s="18" t="n">
        <v>1021754</v>
      </c>
      <c r="F3728" s="18" t="n">
        <v>1089826</v>
      </c>
      <c r="G3728" s="18" t="n">
        <v>1281171</v>
      </c>
      <c r="H3728" s="18" t="n">
        <v>1554073</v>
      </c>
      <c r="I3728" s="18" t="n">
        <v>1641834</v>
      </c>
      <c r="J3728" s="19" t="n">
        <v>1933046.83020724</v>
      </c>
      <c r="K3728" s="35" t="n">
        <v>0.08506702412062617</v>
      </c>
    </row>
    <row r="3729">
      <c r="A3729" s="36" t="inlineStr">
        <is>
          <t>Arbeidsgiveravgift</t>
        </is>
      </c>
      <c r="B3729" s="36" t="inlineStr">
        <is>
          <t>Region Vest</t>
        </is>
      </c>
      <c r="C3729" s="36" t="inlineStr">
        <is>
          <t>Sogn og Fjordane ungdomsenter</t>
        </is>
      </c>
      <c r="D3729" s="26" t="n">
        <v>130544</v>
      </c>
      <c r="E3729" s="26" t="n">
        <v>146259</v>
      </c>
      <c r="F3729" s="26" t="n">
        <v>147949</v>
      </c>
      <c r="G3729" s="26" t="n">
        <v>230109</v>
      </c>
      <c r="H3729" s="26" t="n">
        <v>161958</v>
      </c>
      <c r="I3729" s="26" t="n">
        <v>80480</v>
      </c>
      <c r="J3729" s="19" t="n">
        <v>66322.4236549912</v>
      </c>
      <c r="K3729" s="37" t="n">
        <v>-0.09220829426493338</v>
      </c>
    </row>
    <row r="3730">
      <c r="A3730" s="34" t="inlineStr">
        <is>
          <t>Arbeidsgiveravgift</t>
        </is>
      </c>
      <c r="B3730" s="34" t="inlineStr">
        <is>
          <t>Region Vest</t>
        </is>
      </c>
      <c r="C3730" s="34" t="inlineStr">
        <is>
          <t>Sogn og fjordane ungdomssenter avdeling Bregnetunet behandling høy</t>
        </is>
      </c>
      <c r="D3730" s="18" t="n"/>
      <c r="E3730" s="18" t="n"/>
      <c r="F3730" s="18" t="n"/>
      <c r="G3730" s="18" t="n"/>
      <c r="H3730" s="18" t="n">
        <v>319782</v>
      </c>
      <c r="I3730" s="18" t="n">
        <v>2105379</v>
      </c>
      <c r="J3730" s="19" t="n">
        <v>2387973.496275</v>
      </c>
      <c r="K3730" s="35" t="n">
        <v>0.065</v>
      </c>
    </row>
    <row r="3731">
      <c r="A3731" s="36" t="inlineStr">
        <is>
          <t>Arbeidsgiveravgift</t>
        </is>
      </c>
      <c r="B3731" s="36" t="inlineStr">
        <is>
          <t>Region Vest</t>
        </is>
      </c>
      <c r="C3731" s="36" t="inlineStr">
        <is>
          <t>Sogn og fjordane ungdomssenter behandling høy</t>
        </is>
      </c>
      <c r="D3731" s="26" t="n"/>
      <c r="E3731" s="26" t="n"/>
      <c r="F3731" s="26" t="n"/>
      <c r="G3731" s="26" t="n"/>
      <c r="H3731" s="26" t="n"/>
      <c r="I3731" s="26" t="n">
        <v>115412</v>
      </c>
      <c r="J3731" s="19" t="n">
        <v>130903.1757</v>
      </c>
      <c r="K3731" s="37" t="n">
        <v>0.065</v>
      </c>
    </row>
    <row r="3732">
      <c r="A3732" s="34" t="inlineStr">
        <is>
          <t>Arbeidsgiveravgift</t>
        </is>
      </c>
      <c r="B3732" s="34" t="inlineStr">
        <is>
          <t>Region Vest</t>
        </is>
      </c>
      <c r="C3732" s="34" t="inlineStr">
        <is>
          <t>Sogndal ungdomsenter-adm.</t>
        </is>
      </c>
      <c r="D3732" s="18" t="n">
        <v>969120</v>
      </c>
      <c r="E3732" s="18" t="n">
        <v>968062</v>
      </c>
      <c r="F3732" s="18" t="n">
        <v>996769</v>
      </c>
      <c r="G3732" s="18" t="n">
        <v>1090883</v>
      </c>
      <c r="H3732" s="18" t="n">
        <v>1179680</v>
      </c>
      <c r="I3732" s="18" t="n">
        <v>1196351</v>
      </c>
      <c r="J3732" s="19" t="n">
        <v>1301520.584522142</v>
      </c>
      <c r="K3732" s="35" t="n">
        <v>0.04302858826860056</v>
      </c>
    </row>
    <row r="3733">
      <c r="A3733" s="36" t="inlineStr">
        <is>
          <t>Arbeidsgiveravgift</t>
        </is>
      </c>
      <c r="B3733" s="36" t="inlineStr">
        <is>
          <t>Region Vest</t>
        </is>
      </c>
      <c r="C3733" s="36" t="inlineStr">
        <is>
          <t>Spesialiserte fosterhjem Vestland</t>
        </is>
      </c>
      <c r="D3733" s="26" t="n"/>
      <c r="E3733" s="26" t="n">
        <v>13</v>
      </c>
      <c r="F3733" s="26" t="n"/>
      <c r="G3733" s="26" t="n"/>
      <c r="H3733" s="26" t="n"/>
      <c r="I3733" s="26" t="n"/>
      <c r="J3733" s="19" t="n">
        <v>0</v>
      </c>
      <c r="K3733" s="37" t="n">
        <v>0.065</v>
      </c>
    </row>
    <row r="3734">
      <c r="A3734" s="34" t="inlineStr">
        <is>
          <t>Arbeidsgiveravgift</t>
        </is>
      </c>
      <c r="B3734" s="34" t="inlineStr">
        <is>
          <t>Region Vest</t>
        </is>
      </c>
      <c r="C3734" s="34" t="inlineStr">
        <is>
          <t>Stavanger akuttsenter - Administrasjon</t>
        </is>
      </c>
      <c r="D3734" s="18" t="n">
        <v>326192</v>
      </c>
      <c r="E3734" s="18" t="n">
        <v>413198</v>
      </c>
      <c r="F3734" s="18" t="n">
        <v>378474</v>
      </c>
      <c r="G3734" s="18" t="n">
        <v>425642</v>
      </c>
      <c r="H3734" s="18" t="n">
        <v>292144</v>
      </c>
      <c r="I3734" s="18" t="n">
        <v>198680</v>
      </c>
      <c r="J3734" s="19" t="n">
        <v>162939.5413946749</v>
      </c>
      <c r="K3734" s="35" t="n">
        <v>-0.09440051024198104</v>
      </c>
    </row>
    <row r="3735">
      <c r="A3735" s="36" t="inlineStr">
        <is>
          <t>Arbeidsgiveravgift</t>
        </is>
      </c>
      <c r="B3735" s="36" t="inlineStr">
        <is>
          <t>Region Vest</t>
        </is>
      </c>
      <c r="C3735" s="36" t="inlineStr">
        <is>
          <t>Stavanger akuttsenter - Heimly</t>
        </is>
      </c>
      <c r="D3735" s="26" t="n">
        <v>183801</v>
      </c>
      <c r="E3735" s="26" t="n">
        <v>641899</v>
      </c>
      <c r="F3735" s="26" t="n">
        <v>-27711</v>
      </c>
      <c r="G3735" s="26" t="n"/>
      <c r="H3735" s="26" t="n"/>
      <c r="I3735" s="26" t="n"/>
      <c r="J3735" s="19" t="n">
        <v>0</v>
      </c>
      <c r="K3735" s="37" t="n">
        <v>0.065</v>
      </c>
    </row>
    <row r="3736">
      <c r="A3736" s="34" t="inlineStr">
        <is>
          <t>Arbeidsgiveravgift</t>
        </is>
      </c>
      <c r="B3736" s="34" t="inlineStr">
        <is>
          <t>Region Vest</t>
        </is>
      </c>
      <c r="C3736" s="34" t="inlineStr">
        <is>
          <t>Stavanger akuttsenter - Madla</t>
        </is>
      </c>
      <c r="D3736" s="18" t="n">
        <v>2035424</v>
      </c>
      <c r="E3736" s="18" t="n">
        <v>1975114</v>
      </c>
      <c r="F3736" s="18" t="n">
        <v>2168242</v>
      </c>
      <c r="G3736" s="18" t="n">
        <v>2487737</v>
      </c>
      <c r="H3736" s="18" t="n">
        <v>3290933</v>
      </c>
      <c r="I3736" s="18" t="n">
        <v>4070782</v>
      </c>
      <c r="J3736" s="19" t="n">
        <v>5371394.217418404</v>
      </c>
      <c r="K3736" s="35" t="n">
        <v>0.1486946302407632</v>
      </c>
    </row>
    <row r="3737">
      <c r="A3737" s="36" t="inlineStr">
        <is>
          <t>Arbeidsgiveravgift</t>
        </is>
      </c>
      <c r="B3737" s="36" t="inlineStr">
        <is>
          <t>Region Vest</t>
        </is>
      </c>
      <c r="C3737" s="36" t="inlineStr">
        <is>
          <t>Stavanger akuttsenter - Røyneberg</t>
        </is>
      </c>
      <c r="D3737" s="26" t="n">
        <v>1500006</v>
      </c>
      <c r="E3737" s="26" t="n">
        <v>1472972</v>
      </c>
      <c r="F3737" s="26" t="n">
        <v>1505131</v>
      </c>
      <c r="G3737" s="26" t="n">
        <v>1791049</v>
      </c>
      <c r="H3737" s="26" t="n">
        <v>1943555</v>
      </c>
      <c r="I3737" s="26" t="n">
        <v>2095078</v>
      </c>
      <c r="J3737" s="19" t="n">
        <v>2394655.680647496</v>
      </c>
      <c r="K3737" s="37" t="n">
        <v>0.06910765711360023</v>
      </c>
    </row>
    <row r="3738">
      <c r="A3738" s="34" t="inlineStr">
        <is>
          <t>Arbeidsgiveravgift</t>
        </is>
      </c>
      <c r="B3738" s="34" t="inlineStr">
        <is>
          <t>Region Vest</t>
        </is>
      </c>
      <c r="C3738" s="34" t="inlineStr">
        <is>
          <t>Stavanger senter for foreldre og barn</t>
        </is>
      </c>
      <c r="D3738" s="18" t="n">
        <v>6376</v>
      </c>
      <c r="E3738" s="18" t="n"/>
      <c r="F3738" s="18" t="n"/>
      <c r="G3738" s="18" t="n"/>
      <c r="H3738" s="18" t="n"/>
      <c r="I3738" s="18" t="n"/>
      <c r="J3738" s="19" t="n">
        <v>0</v>
      </c>
      <c r="K3738" s="35" t="n">
        <v>0.065</v>
      </c>
    </row>
    <row r="3739">
      <c r="A3739" s="36" t="inlineStr">
        <is>
          <t>Arbeidsgiveravgift</t>
        </is>
      </c>
      <c r="B3739" s="36" t="inlineStr">
        <is>
          <t>Region Vest</t>
        </is>
      </c>
      <c r="C3739" s="36" t="inlineStr">
        <is>
          <t>Stavanger ungdomssenter - adm</t>
        </is>
      </c>
      <c r="D3739" s="26" t="n">
        <v>136191</v>
      </c>
      <c r="E3739" s="26" t="n">
        <v>140241</v>
      </c>
      <c r="F3739" s="26" t="n">
        <v>148851</v>
      </c>
      <c r="G3739" s="26" t="n">
        <v>159097</v>
      </c>
      <c r="H3739" s="26" t="n">
        <v>153328</v>
      </c>
      <c r="I3739" s="26" t="n">
        <v>67263</v>
      </c>
      <c r="J3739" s="19" t="n">
        <v>50725.61991827257</v>
      </c>
      <c r="K3739" s="37" t="n">
        <v>-0.1315885021335917</v>
      </c>
    </row>
    <row r="3740">
      <c r="A3740" s="34" t="inlineStr">
        <is>
          <t>Arbeidsgiveravgift</t>
        </is>
      </c>
      <c r="B3740" s="34" t="inlineStr">
        <is>
          <t>Region Vest</t>
        </is>
      </c>
      <c r="C3740" s="34" t="inlineStr">
        <is>
          <t>Stavanger ungdomssenter - avd. Lindøy</t>
        </is>
      </c>
      <c r="D3740" s="18" t="n">
        <v>1518003</v>
      </c>
      <c r="E3740" s="18" t="n">
        <v>1553116</v>
      </c>
      <c r="F3740" s="18" t="n">
        <v>1639684</v>
      </c>
      <c r="G3740" s="18" t="n">
        <v>1761717</v>
      </c>
      <c r="H3740" s="18" t="n">
        <v>1842338</v>
      </c>
      <c r="I3740" s="18" t="n">
        <v>1986119</v>
      </c>
      <c r="J3740" s="19" t="n">
        <v>2211557.933524276</v>
      </c>
      <c r="K3740" s="35" t="n">
        <v>0.05522853635002978</v>
      </c>
    </row>
    <row r="3741">
      <c r="A3741" s="36" t="inlineStr">
        <is>
          <t>Arbeidsgiveravgift</t>
        </is>
      </c>
      <c r="B3741" s="36" t="inlineStr">
        <is>
          <t>Region Vest</t>
        </is>
      </c>
      <c r="C3741" s="36" t="inlineStr">
        <is>
          <t>Stavanger ungdomssenter - avd. Våland</t>
        </is>
      </c>
      <c r="D3741" s="26" t="n">
        <v>1233908</v>
      </c>
      <c r="E3741" s="26" t="n">
        <v>1271967</v>
      </c>
      <c r="F3741" s="26" t="n">
        <v>1309187</v>
      </c>
      <c r="G3741" s="26" t="n">
        <v>1429867</v>
      </c>
      <c r="H3741" s="26" t="n">
        <v>1529489</v>
      </c>
      <c r="I3741" s="26" t="n">
        <v>1707501</v>
      </c>
      <c r="J3741" s="19" t="n">
        <v>1944429.679173064</v>
      </c>
      <c r="K3741" s="37" t="n">
        <v>0.06712584259446319</v>
      </c>
    </row>
    <row r="3742">
      <c r="A3742" s="34" t="inlineStr">
        <is>
          <t>Arbeidsgiveravgift</t>
        </is>
      </c>
      <c r="B3742" s="34" t="inlineStr">
        <is>
          <t>Region Vest</t>
        </is>
      </c>
      <c r="C3742" s="34" t="inlineStr">
        <is>
          <t>Sudmannske senter for foreldre og barn</t>
        </is>
      </c>
      <c r="D3742" s="18" t="n">
        <v>71</v>
      </c>
      <c r="E3742" s="18" t="n"/>
      <c r="F3742" s="18" t="n"/>
      <c r="G3742" s="18" t="n"/>
      <c r="H3742" s="18" t="n"/>
      <c r="I3742" s="18" t="n"/>
      <c r="J3742" s="19" t="n">
        <v>0</v>
      </c>
      <c r="K3742" s="35" t="n">
        <v>0.065</v>
      </c>
    </row>
    <row r="3743">
      <c r="A3743" s="36" t="inlineStr">
        <is>
          <t>Arbeidsgiveravgift</t>
        </is>
      </c>
      <c r="B3743" s="36" t="inlineStr">
        <is>
          <t>Region Vest</t>
        </is>
      </c>
      <c r="C3743" s="36" t="inlineStr">
        <is>
          <t>TFCO Bergen, avdeling fosterhjem</t>
        </is>
      </c>
      <c r="D3743" s="26" t="n"/>
      <c r="E3743" s="26" t="n"/>
      <c r="F3743" s="26" t="n">
        <v>309845</v>
      </c>
      <c r="G3743" s="26" t="n">
        <v>407553</v>
      </c>
      <c r="H3743" s="26" t="n">
        <v>-850</v>
      </c>
      <c r="I3743" s="26" t="n"/>
      <c r="J3743" s="19" t="n">
        <v>0</v>
      </c>
      <c r="K3743" s="37" t="n">
        <v>0.065</v>
      </c>
    </row>
    <row r="3744">
      <c r="A3744" s="34" t="inlineStr">
        <is>
          <t>Arbeidsgiveravgift</t>
        </is>
      </c>
      <c r="B3744" s="34" t="inlineStr">
        <is>
          <t>Region Vest</t>
        </is>
      </c>
      <c r="C3744" s="34" t="inlineStr">
        <is>
          <t>TFCO Stavanger</t>
        </is>
      </c>
      <c r="D3744" s="18" t="n"/>
      <c r="E3744" s="18" t="n"/>
      <c r="F3744" s="18" t="n">
        <v>23215</v>
      </c>
      <c r="G3744" s="18" t="n">
        <v>47860</v>
      </c>
      <c r="H3744" s="18" t="n"/>
      <c r="I3744" s="18" t="n"/>
      <c r="J3744" s="19" t="n">
        <v>0</v>
      </c>
      <c r="K3744" s="35" t="n">
        <v>0.065</v>
      </c>
    </row>
    <row r="3745">
      <c r="A3745" s="36" t="inlineStr">
        <is>
          <t>Arbeidsgiveravgift</t>
        </is>
      </c>
      <c r="B3745" s="36" t="inlineStr">
        <is>
          <t>Region Vest</t>
        </is>
      </c>
      <c r="C3745" s="36" t="inlineStr">
        <is>
          <t>Vestlundveien Ungdomssenter</t>
        </is>
      </c>
      <c r="D3745" s="26" t="n">
        <v>5853</v>
      </c>
      <c r="E3745" s="26" t="n"/>
      <c r="F3745" s="26" t="n"/>
      <c r="G3745" s="26" t="n"/>
      <c r="H3745" s="26" t="n"/>
      <c r="I3745" s="26" t="n"/>
      <c r="J3745" s="19" t="n">
        <v>0</v>
      </c>
      <c r="K3745" s="37" t="n">
        <v>0.065</v>
      </c>
    </row>
    <row r="3746">
      <c r="A3746" s="34" t="inlineStr">
        <is>
          <t>Arbeidsgiveravgift</t>
        </is>
      </c>
      <c r="B3746" s="34" t="inlineStr">
        <is>
          <t>Region Øst</t>
        </is>
      </c>
      <c r="C3746" s="34" t="inlineStr">
        <is>
          <t>Akershus ungdoms- og familiesenter - akutt  Adminstrasjon</t>
        </is>
      </c>
      <c r="D3746" s="18" t="n">
        <v>296712</v>
      </c>
      <c r="E3746" s="18" t="n">
        <v>322618</v>
      </c>
      <c r="F3746" s="18" t="n">
        <v>376757</v>
      </c>
      <c r="G3746" s="18" t="n">
        <v>416480</v>
      </c>
      <c r="H3746" s="18" t="n">
        <v>435467</v>
      </c>
      <c r="I3746" s="18" t="n">
        <v>6642</v>
      </c>
      <c r="J3746" s="19" t="n">
        <v>3736.125</v>
      </c>
      <c r="K3746" s="35" t="n">
        <v>-0.25</v>
      </c>
    </row>
    <row r="3747">
      <c r="A3747" s="36" t="inlineStr">
        <is>
          <t>Arbeidsgiveravgift</t>
        </is>
      </c>
      <c r="B3747" s="36" t="inlineStr">
        <is>
          <t>Region Øst</t>
        </is>
      </c>
      <c r="C3747" s="36" t="inlineStr">
        <is>
          <t>Akershus ungdoms- og familiesenter - akutt  Avdeling Sole</t>
        </is>
      </c>
      <c r="D3747" s="26" t="n">
        <v>1774689</v>
      </c>
      <c r="E3747" s="26" t="n">
        <v>1807392</v>
      </c>
      <c r="F3747" s="26" t="n">
        <v>1992206</v>
      </c>
      <c r="G3747" s="26" t="n">
        <v>2329939</v>
      </c>
      <c r="H3747" s="26" t="n">
        <v>2417409</v>
      </c>
      <c r="I3747" s="26" t="n">
        <v>133817</v>
      </c>
      <c r="J3747" s="19" t="n">
        <v>75272.0625</v>
      </c>
      <c r="K3747" s="37" t="n">
        <v>-0.25</v>
      </c>
    </row>
    <row r="3748">
      <c r="A3748" s="34" t="inlineStr">
        <is>
          <t>Arbeidsgiveravgift</t>
        </is>
      </c>
      <c r="B3748" s="34" t="inlineStr">
        <is>
          <t>Region Øst</t>
        </is>
      </c>
      <c r="C3748" s="34" t="inlineStr">
        <is>
          <t>Akershus ungdoms- og familiesenter - akutt  Avdeling Tjernlia</t>
        </is>
      </c>
      <c r="D3748" s="18" t="n">
        <v>1418272</v>
      </c>
      <c r="E3748" s="18" t="n">
        <v>1532413</v>
      </c>
      <c r="F3748" s="18" t="n">
        <v>1735979</v>
      </c>
      <c r="G3748" s="18" t="n">
        <v>1679490</v>
      </c>
      <c r="H3748" s="18" t="n">
        <v>1967431</v>
      </c>
      <c r="I3748" s="18" t="n">
        <v>84271</v>
      </c>
      <c r="J3748" s="19" t="n">
        <v>47402.4375</v>
      </c>
      <c r="K3748" s="35" t="n">
        <v>-0.25</v>
      </c>
    </row>
    <row r="3749">
      <c r="A3749" s="36" t="inlineStr">
        <is>
          <t>Arbeidsgiveravgift</t>
        </is>
      </c>
      <c r="B3749" s="36" t="inlineStr">
        <is>
          <t>Region Øst</t>
        </is>
      </c>
      <c r="C3749" s="36" t="inlineStr">
        <is>
          <t>Akershus ungdoms- og familiesenter - akutt Avdeling Bjørlien</t>
        </is>
      </c>
      <c r="D3749" s="26" t="n">
        <v>1383005</v>
      </c>
      <c r="E3749" s="26" t="n">
        <v>1473432</v>
      </c>
      <c r="F3749" s="26" t="n">
        <v>1573996</v>
      </c>
      <c r="G3749" s="26" t="n">
        <v>1626623</v>
      </c>
      <c r="H3749" s="26" t="n">
        <v>1789707</v>
      </c>
      <c r="I3749" s="26" t="n">
        <v>92941</v>
      </c>
      <c r="J3749" s="19" t="n">
        <v>52279.3125</v>
      </c>
      <c r="K3749" s="37" t="n">
        <v>-0.25</v>
      </c>
    </row>
    <row r="3750">
      <c r="A3750" s="34" t="inlineStr">
        <is>
          <t>Arbeidsgiveravgift</t>
        </is>
      </c>
      <c r="B3750" s="34" t="inlineStr">
        <is>
          <t>Region Øst</t>
        </is>
      </c>
      <c r="C3750" s="34" t="inlineStr">
        <is>
          <t>Akershus ungdoms- og familiesenter - akutt Avdeling Follo</t>
        </is>
      </c>
      <c r="D3750" s="18" t="n">
        <v>382786</v>
      </c>
      <c r="E3750" s="18" t="n">
        <v>1233541</v>
      </c>
      <c r="F3750" s="18" t="n">
        <v>19566</v>
      </c>
      <c r="G3750" s="18" t="n">
        <v>-13542</v>
      </c>
      <c r="H3750" s="18" t="n"/>
      <c r="I3750" s="18" t="n"/>
      <c r="J3750" s="19" t="n">
        <v>0</v>
      </c>
      <c r="K3750" s="35" t="n">
        <v>0.065</v>
      </c>
    </row>
    <row r="3751">
      <c r="A3751" s="36" t="inlineStr">
        <is>
          <t>Arbeidsgiveravgift</t>
        </is>
      </c>
      <c r="B3751" s="36" t="inlineStr">
        <is>
          <t>Region Øst</t>
        </is>
      </c>
      <c r="C3751" s="36" t="inlineStr">
        <is>
          <t>Akershus ungdoms- og familiesenter - akutt Avdeling Jibbe</t>
        </is>
      </c>
      <c r="D3751" s="26" t="n">
        <v>338117</v>
      </c>
      <c r="E3751" s="26" t="n">
        <v>1351435</v>
      </c>
      <c r="F3751" s="26" t="n">
        <v>1483630</v>
      </c>
      <c r="G3751" s="26" t="n">
        <v>1615584</v>
      </c>
      <c r="H3751" s="26" t="n">
        <v>1792359</v>
      </c>
      <c r="I3751" s="26" t="n">
        <v>84714</v>
      </c>
      <c r="J3751" s="19" t="n">
        <v>48697.92553601749</v>
      </c>
      <c r="K3751" s="37" t="n">
        <v>-0.2418107258272426</v>
      </c>
    </row>
    <row r="3752">
      <c r="A3752" s="34" t="inlineStr">
        <is>
          <t>Arbeidsgiveravgift</t>
        </is>
      </c>
      <c r="B3752" s="34" t="inlineStr">
        <is>
          <t>Region Øst</t>
        </is>
      </c>
      <c r="C3752" s="34" t="inlineStr">
        <is>
          <t>Akershus ungdoms- og familiesenter - akutt, adm</t>
        </is>
      </c>
      <c r="D3752" s="18" t="n"/>
      <c r="E3752" s="18" t="n"/>
      <c r="F3752" s="18" t="n"/>
      <c r="G3752" s="18" t="n"/>
      <c r="H3752" s="18" t="n"/>
      <c r="I3752" s="18" t="n">
        <v>467672</v>
      </c>
      <c r="J3752" s="19" t="n">
        <v>530445.2741999999</v>
      </c>
      <c r="K3752" s="35" t="n">
        <v>0.065</v>
      </c>
    </row>
    <row r="3753">
      <c r="A3753" s="36" t="inlineStr">
        <is>
          <t>Arbeidsgiveravgift</t>
        </is>
      </c>
      <c r="B3753" s="36" t="inlineStr">
        <is>
          <t>Region Øst</t>
        </is>
      </c>
      <c r="C3753" s="36" t="inlineStr">
        <is>
          <t>Akershus ungdoms- og familiesenter - akutt, avd Bjørlien</t>
        </is>
      </c>
      <c r="D3753" s="26" t="n"/>
      <c r="E3753" s="26" t="n"/>
      <c r="F3753" s="26" t="n"/>
      <c r="G3753" s="26" t="n"/>
      <c r="H3753" s="26" t="n"/>
      <c r="I3753" s="26" t="n">
        <v>1963453</v>
      </c>
      <c r="J3753" s="19" t="n">
        <v>2226997.478924999</v>
      </c>
      <c r="K3753" s="37" t="n">
        <v>0.065</v>
      </c>
    </row>
    <row r="3754">
      <c r="A3754" s="34" t="inlineStr">
        <is>
          <t>Arbeidsgiveravgift</t>
        </is>
      </c>
      <c r="B3754" s="34" t="inlineStr">
        <is>
          <t>Region Øst</t>
        </is>
      </c>
      <c r="C3754" s="34" t="inlineStr">
        <is>
          <t>Akershus ungdoms- og familiesenter - akutt, avd Jibbe</t>
        </is>
      </c>
      <c r="D3754" s="18" t="n"/>
      <c r="E3754" s="18" t="n"/>
      <c r="F3754" s="18" t="n"/>
      <c r="G3754" s="18" t="n"/>
      <c r="H3754" s="18" t="n"/>
      <c r="I3754" s="18" t="n">
        <v>2030730</v>
      </c>
      <c r="J3754" s="19" t="n">
        <v>2303304.73425</v>
      </c>
      <c r="K3754" s="35" t="n">
        <v>0.065</v>
      </c>
    </row>
    <row r="3755">
      <c r="A3755" s="36" t="inlineStr">
        <is>
          <t>Arbeidsgiveravgift</t>
        </is>
      </c>
      <c r="B3755" s="36" t="inlineStr">
        <is>
          <t>Region Øst</t>
        </is>
      </c>
      <c r="C3755" s="36" t="inlineStr">
        <is>
          <t>Akershus ungdoms- og familiesenter - akutt, avd Sole</t>
        </is>
      </c>
      <c r="D3755" s="26" t="n"/>
      <c r="E3755" s="26" t="n"/>
      <c r="F3755" s="26" t="n"/>
      <c r="G3755" s="26" t="n"/>
      <c r="H3755" s="26" t="n"/>
      <c r="I3755" s="26" t="n">
        <v>2702289</v>
      </c>
      <c r="J3755" s="19" t="n">
        <v>3065003.741024999</v>
      </c>
      <c r="K3755" s="37" t="n">
        <v>0.065</v>
      </c>
    </row>
    <row r="3756">
      <c r="A3756" s="34" t="inlineStr">
        <is>
          <t>Arbeidsgiveravgift</t>
        </is>
      </c>
      <c r="B3756" s="34" t="inlineStr">
        <is>
          <t>Region Øst</t>
        </is>
      </c>
      <c r="C3756" s="34" t="inlineStr">
        <is>
          <t>Akershus ungdoms- og familiesenter - akutt, avd Tjernlia</t>
        </is>
      </c>
      <c r="D3756" s="18" t="n"/>
      <c r="E3756" s="18" t="n"/>
      <c r="F3756" s="18" t="n"/>
      <c r="G3756" s="18" t="n"/>
      <c r="H3756" s="18" t="n"/>
      <c r="I3756" s="18" t="n">
        <v>2128849</v>
      </c>
      <c r="J3756" s="19" t="n">
        <v>2414593.757025</v>
      </c>
      <c r="K3756" s="35" t="n">
        <v>0.065</v>
      </c>
    </row>
    <row r="3757">
      <c r="A3757" s="36" t="inlineStr">
        <is>
          <t>Arbeidsgiveravgift</t>
        </is>
      </c>
      <c r="B3757" s="36" t="inlineStr">
        <is>
          <t>Region Øst</t>
        </is>
      </c>
      <c r="C3757" s="36" t="inlineStr">
        <is>
          <t>Akershus ungdoms- og familiesenter Avdeling Beredskapshjem</t>
        </is>
      </c>
      <c r="D3757" s="26" t="n">
        <v>237</v>
      </c>
      <c r="E3757" s="26" t="n"/>
      <c r="F3757" s="26" t="n"/>
      <c r="G3757" s="26" t="n"/>
      <c r="H3757" s="26" t="n"/>
      <c r="I3757" s="26" t="n"/>
      <c r="J3757" s="19" t="n">
        <v>0</v>
      </c>
      <c r="K3757" s="37" t="n">
        <v>0.065</v>
      </c>
    </row>
    <row r="3758">
      <c r="A3758" s="34" t="inlineStr">
        <is>
          <t>Arbeidsgiveravgift</t>
        </is>
      </c>
      <c r="B3758" s="34" t="inlineStr">
        <is>
          <t>Region Øst</t>
        </is>
      </c>
      <c r="C3758" s="34" t="inlineStr">
        <is>
          <t>Avdeling for brukertjenester</t>
        </is>
      </c>
      <c r="D3758" s="18" t="n"/>
      <c r="E3758" s="18" t="n"/>
      <c r="F3758" s="18" t="n"/>
      <c r="G3758" s="18" t="n"/>
      <c r="H3758" s="18" t="n"/>
      <c r="I3758" s="18" t="n">
        <v>26</v>
      </c>
      <c r="J3758" s="19" t="n">
        <v>29.48985</v>
      </c>
      <c r="K3758" s="35" t="n">
        <v>0.065</v>
      </c>
    </row>
    <row r="3759">
      <c r="A3759" s="36" t="inlineStr">
        <is>
          <t>Arbeidsgiveravgift</t>
        </is>
      </c>
      <c r="B3759" s="36" t="inlineStr">
        <is>
          <t>Region Øst</t>
        </is>
      </c>
      <c r="C3759" s="36" t="inlineStr">
        <is>
          <t>Avdeling for statlig barnevern</t>
        </is>
      </c>
      <c r="D3759" s="26" t="n"/>
      <c r="E3759" s="26" t="n"/>
      <c r="F3759" s="26" t="n">
        <v>34462</v>
      </c>
      <c r="G3759" s="26" t="n"/>
      <c r="H3759" s="26" t="n"/>
      <c r="I3759" s="26" t="n"/>
      <c r="J3759" s="19" t="n">
        <v>0</v>
      </c>
      <c r="K3759" s="37" t="n">
        <v>0.065</v>
      </c>
    </row>
    <row r="3760">
      <c r="A3760" s="34" t="inlineStr">
        <is>
          <t>Arbeidsgiveravgift</t>
        </is>
      </c>
      <c r="B3760" s="34" t="inlineStr">
        <is>
          <t>Region Øst</t>
        </is>
      </c>
      <c r="C3760" s="34" t="inlineStr">
        <is>
          <t>Borg barne- og  familiesenter  Avdeling for beredskapshjem</t>
        </is>
      </c>
      <c r="D3760" s="18" t="n">
        <v>5</v>
      </c>
      <c r="E3760" s="18" t="n"/>
      <c r="F3760" s="18" t="n"/>
      <c r="G3760" s="18" t="n"/>
      <c r="H3760" s="18" t="n"/>
      <c r="I3760" s="18" t="n"/>
      <c r="J3760" s="19" t="n">
        <v>0</v>
      </c>
      <c r="K3760" s="35" t="n">
        <v>0.065</v>
      </c>
    </row>
    <row r="3761">
      <c r="A3761" s="36" t="inlineStr">
        <is>
          <t>Arbeidsgiveravgift</t>
        </is>
      </c>
      <c r="B3761" s="36" t="inlineStr">
        <is>
          <t>Region Øst</t>
        </is>
      </c>
      <c r="C3761" s="36" t="inlineStr">
        <is>
          <t>Borg barne- og familiesenter Avdeling for beredskapshjem</t>
        </is>
      </c>
      <c r="D3761" s="26" t="n"/>
      <c r="E3761" s="26" t="n"/>
      <c r="F3761" s="26" t="n">
        <v>12</v>
      </c>
      <c r="G3761" s="26" t="n"/>
      <c r="H3761" s="26" t="n"/>
      <c r="I3761" s="26" t="n"/>
      <c r="J3761" s="19" t="n">
        <v>0</v>
      </c>
      <c r="K3761" s="37" t="n">
        <v>0.065</v>
      </c>
    </row>
    <row r="3762">
      <c r="A3762" s="34" t="inlineStr">
        <is>
          <t>Arbeidsgiveravgift</t>
        </is>
      </c>
      <c r="B3762" s="34" t="inlineStr">
        <is>
          <t>Region Øst</t>
        </is>
      </c>
      <c r="C3762" s="34" t="inlineStr">
        <is>
          <t>Borg barne- og familiesenter Avdeling for beredskapshjem - 2</t>
        </is>
      </c>
      <c r="D3762" s="18" t="n"/>
      <c r="E3762" s="18" t="n">
        <v>2</v>
      </c>
      <c r="F3762" s="18" t="n">
        <v>520</v>
      </c>
      <c r="G3762" s="18" t="n"/>
      <c r="H3762" s="18" t="n"/>
      <c r="I3762" s="18" t="n"/>
      <c r="J3762" s="19" t="n">
        <v>0</v>
      </c>
      <c r="K3762" s="35" t="n">
        <v>0.065</v>
      </c>
    </row>
    <row r="3763">
      <c r="A3763" s="36" t="inlineStr">
        <is>
          <t>Arbeidsgiveravgift</t>
        </is>
      </c>
      <c r="B3763" s="36" t="inlineStr">
        <is>
          <t>Region Øst</t>
        </is>
      </c>
      <c r="C3763" s="36" t="inlineStr">
        <is>
          <t>Borg barne- og familiesenter Avdeling for beredskapshjem - 3</t>
        </is>
      </c>
      <c r="D3763" s="26" t="n">
        <v>63556</v>
      </c>
      <c r="E3763" s="26" t="n"/>
      <c r="F3763" s="26" t="n"/>
      <c r="G3763" s="26" t="n"/>
      <c r="H3763" s="26" t="n"/>
      <c r="I3763" s="26" t="n"/>
      <c r="J3763" s="19" t="n">
        <v>0</v>
      </c>
      <c r="K3763" s="37" t="n">
        <v>0.065</v>
      </c>
    </row>
    <row r="3764">
      <c r="A3764" s="34" t="inlineStr">
        <is>
          <t>Arbeidsgiveravgift</t>
        </is>
      </c>
      <c r="B3764" s="34" t="inlineStr">
        <is>
          <t>Region Øst</t>
        </is>
      </c>
      <c r="C3764" s="34" t="inlineStr">
        <is>
          <t>Borg barne- og familiesenter Avdeling for spesialiserte fosterhjem</t>
        </is>
      </c>
      <c r="D3764" s="18" t="n">
        <v>2</v>
      </c>
      <c r="E3764" s="18" t="n"/>
      <c r="F3764" s="18" t="n"/>
      <c r="G3764" s="18" t="n"/>
      <c r="H3764" s="18" t="n"/>
      <c r="I3764" s="18" t="n"/>
      <c r="J3764" s="19" t="n">
        <v>0</v>
      </c>
      <c r="K3764" s="35" t="n">
        <v>0.065</v>
      </c>
    </row>
    <row r="3765">
      <c r="A3765" s="36" t="inlineStr">
        <is>
          <t>Arbeidsgiveravgift</t>
        </is>
      </c>
      <c r="B3765" s="36" t="inlineStr">
        <is>
          <t>Region Øst</t>
        </is>
      </c>
      <c r="C3765" s="36" t="inlineStr">
        <is>
          <t>Borg barne- og familiesenter, Avdeling for beredskapshjem - 2</t>
        </is>
      </c>
      <c r="D3765" s="26" t="n">
        <v>15</v>
      </c>
      <c r="E3765" s="26" t="n">
        <v>22</v>
      </c>
      <c r="F3765" s="26" t="n"/>
      <c r="G3765" s="26" t="n"/>
      <c r="H3765" s="26" t="n"/>
      <c r="I3765" s="26" t="n"/>
      <c r="J3765" s="19" t="n">
        <v>0</v>
      </c>
      <c r="K3765" s="37" t="n">
        <v>0.065</v>
      </c>
    </row>
    <row r="3766">
      <c r="A3766" s="34" t="inlineStr">
        <is>
          <t>Arbeidsgiveravgift</t>
        </is>
      </c>
      <c r="B3766" s="34" t="inlineStr">
        <is>
          <t>Region Øst</t>
        </is>
      </c>
      <c r="C3766" s="34" t="inlineStr">
        <is>
          <t>Bufetat Øst Innlandet Barnevernsenter</t>
        </is>
      </c>
      <c r="D3766" s="18" t="n">
        <v>302143</v>
      </c>
      <c r="E3766" s="18" t="n">
        <v>455224</v>
      </c>
      <c r="F3766" s="18" t="n">
        <v>483305</v>
      </c>
      <c r="G3766" s="18" t="n">
        <v>449733</v>
      </c>
      <c r="H3766" s="18" t="n">
        <v>604947</v>
      </c>
      <c r="I3766" s="18" t="n">
        <v>824227</v>
      </c>
      <c r="J3766" s="19" t="n">
        <v>1231347.284645299</v>
      </c>
      <c r="K3766" s="35" t="n">
        <v>0.2222691772006169</v>
      </c>
    </row>
    <row r="3767">
      <c r="A3767" s="36" t="inlineStr">
        <is>
          <t>Arbeidsgiveravgift</t>
        </is>
      </c>
      <c r="B3767" s="36" t="inlineStr">
        <is>
          <t>Region Øst</t>
        </is>
      </c>
      <c r="C3767" s="36" t="inlineStr">
        <is>
          <t>Bufetats behandlingssenter Akershus/Østfold - Administrasjon</t>
        </is>
      </c>
      <c r="D3767" s="26" t="n"/>
      <c r="E3767" s="26" t="n"/>
      <c r="F3767" s="26" t="n"/>
      <c r="G3767" s="26" t="n">
        <v>402539</v>
      </c>
      <c r="H3767" s="26" t="n">
        <v>460896</v>
      </c>
      <c r="I3767" s="26" t="n">
        <v>5631</v>
      </c>
      <c r="J3767" s="19" t="n">
        <v>6386.820974999999</v>
      </c>
      <c r="K3767" s="37" t="n">
        <v>0.065</v>
      </c>
    </row>
    <row r="3768">
      <c r="A3768" s="34" t="inlineStr">
        <is>
          <t>Arbeidsgiveravgift</t>
        </is>
      </c>
      <c r="B3768" s="34" t="inlineStr">
        <is>
          <t>Region Øst</t>
        </is>
      </c>
      <c r="C3768" s="34" t="inlineStr">
        <is>
          <t>Bufetats behandlingssenter Akershus/Østfold, Avdeling Kroerveien Institusjon</t>
        </is>
      </c>
      <c r="D3768" s="18" t="n"/>
      <c r="E3768" s="18" t="n"/>
      <c r="F3768" s="18" t="n"/>
      <c r="G3768" s="18" t="n">
        <v>1021673</v>
      </c>
      <c r="H3768" s="18" t="n">
        <v>2707479</v>
      </c>
      <c r="I3768" s="18" t="n">
        <v>105831</v>
      </c>
      <c r="J3768" s="19" t="n">
        <v>120036.165975</v>
      </c>
      <c r="K3768" s="35" t="n">
        <v>0.065</v>
      </c>
    </row>
    <row r="3769">
      <c r="A3769" s="36" t="inlineStr">
        <is>
          <t>Arbeidsgiveravgift</t>
        </is>
      </c>
      <c r="B3769" s="36" t="inlineStr">
        <is>
          <t>Region Øst</t>
        </is>
      </c>
      <c r="C3769" s="36" t="inlineStr">
        <is>
          <t>Bufetats behandlingssenter Akershus/Østfold, Avdeling Ressursteam</t>
        </is>
      </c>
      <c r="D3769" s="26" t="n"/>
      <c r="E3769" s="26" t="n"/>
      <c r="F3769" s="26" t="n"/>
      <c r="G3769" s="26" t="n">
        <v>502658</v>
      </c>
      <c r="H3769" s="26" t="n">
        <v>894168</v>
      </c>
      <c r="I3769" s="26" t="n">
        <v>-2946</v>
      </c>
      <c r="J3769" s="19" t="n">
        <v>-3341.426849999999</v>
      </c>
      <c r="K3769" s="37" t="n">
        <v>0.065</v>
      </c>
    </row>
    <row r="3770">
      <c r="A3770" s="34" t="inlineStr">
        <is>
          <t>Arbeidsgiveravgift</t>
        </is>
      </c>
      <c r="B3770" s="34" t="inlineStr">
        <is>
          <t>Region Øst</t>
        </is>
      </c>
      <c r="C3770" s="34" t="inlineStr">
        <is>
          <t>Bufetats behandlingssenter Akershus/Østfold, Avdeling Ås</t>
        </is>
      </c>
      <c r="D3770" s="18" t="n"/>
      <c r="E3770" s="18" t="n"/>
      <c r="F3770" s="18" t="n"/>
      <c r="G3770" s="18" t="n">
        <v>938064</v>
      </c>
      <c r="H3770" s="18" t="n">
        <v>2054429</v>
      </c>
      <c r="I3770" s="18" t="n">
        <v>78580</v>
      </c>
      <c r="J3770" s="19" t="n">
        <v>89127.40049999999</v>
      </c>
      <c r="K3770" s="35" t="n">
        <v>0.065</v>
      </c>
    </row>
    <row r="3771">
      <c r="A3771" s="36" t="inlineStr">
        <is>
          <t>Arbeidsgiveravgift</t>
        </is>
      </c>
      <c r="B3771" s="36" t="inlineStr">
        <is>
          <t>Region Øst</t>
        </is>
      </c>
      <c r="C3771" s="36" t="inlineStr">
        <is>
          <t>Bufetats behandlingssenter Akershus/Østfold, Avdeling Østheim</t>
        </is>
      </c>
      <c r="D3771" s="26" t="n"/>
      <c r="E3771" s="26" t="n"/>
      <c r="F3771" s="26" t="n"/>
      <c r="G3771" s="26" t="n">
        <v>761474</v>
      </c>
      <c r="H3771" s="26" t="n">
        <v>1467363</v>
      </c>
      <c r="I3771" s="26" t="n">
        <v>71829</v>
      </c>
      <c r="J3771" s="19" t="n">
        <v>81470.24752499998</v>
      </c>
      <c r="K3771" s="37" t="n">
        <v>0.065</v>
      </c>
    </row>
    <row r="3772">
      <c r="A3772" s="34" t="inlineStr">
        <is>
          <t>Arbeidsgiveravgift</t>
        </is>
      </c>
      <c r="B3772" s="34" t="inlineStr">
        <is>
          <t>Region Øst</t>
        </is>
      </c>
      <c r="C3772" s="34" t="inlineStr">
        <is>
          <t>Bufetats behandlingssenter Akershus/Østfold, Avdeling Østlund</t>
        </is>
      </c>
      <c r="D3772" s="18" t="n"/>
      <c r="E3772" s="18" t="n"/>
      <c r="F3772" s="18" t="n"/>
      <c r="G3772" s="18" t="n">
        <v>896524</v>
      </c>
      <c r="H3772" s="18" t="n">
        <v>1870889</v>
      </c>
      <c r="I3772" s="18" t="n">
        <v>70753</v>
      </c>
      <c r="J3772" s="19" t="n">
        <v>80249.82142499999</v>
      </c>
      <c r="K3772" s="35" t="n">
        <v>0.065</v>
      </c>
    </row>
    <row r="3773">
      <c r="A3773" s="36" t="inlineStr">
        <is>
          <t>Arbeidsgiveravgift</t>
        </is>
      </c>
      <c r="B3773" s="36" t="inlineStr">
        <is>
          <t>Region Øst</t>
        </is>
      </c>
      <c r="C3773" s="36" t="inlineStr">
        <is>
          <t>Bufetats behandlingssenter Akershus_Østfold, adm</t>
        </is>
      </c>
      <c r="D3773" s="26" t="n"/>
      <c r="E3773" s="26" t="n"/>
      <c r="F3773" s="26" t="n"/>
      <c r="G3773" s="26" t="n"/>
      <c r="H3773" s="26" t="n"/>
      <c r="I3773" s="26" t="n">
        <v>421981</v>
      </c>
      <c r="J3773" s="19" t="n">
        <v>478621.3997249999</v>
      </c>
      <c r="K3773" s="37" t="n">
        <v>0.065</v>
      </c>
    </row>
    <row r="3774">
      <c r="A3774" s="34" t="inlineStr">
        <is>
          <t>Arbeidsgiveravgift</t>
        </is>
      </c>
      <c r="B3774" s="34" t="inlineStr">
        <is>
          <t>Region Øst</t>
        </is>
      </c>
      <c r="C3774" s="34" t="inlineStr">
        <is>
          <t>Bufetats behandlingssenter Akershus_Østfold, avd Kroerveien</t>
        </is>
      </c>
      <c r="D3774" s="18" t="n"/>
      <c r="E3774" s="18" t="n"/>
      <c r="F3774" s="18" t="n"/>
      <c r="G3774" s="18" t="n"/>
      <c r="H3774" s="18" t="n"/>
      <c r="I3774" s="18" t="n">
        <v>2825348</v>
      </c>
      <c r="J3774" s="19" t="n">
        <v>3204580.335299999</v>
      </c>
      <c r="K3774" s="35" t="n">
        <v>0.065</v>
      </c>
    </row>
    <row r="3775">
      <c r="A3775" s="36" t="inlineStr">
        <is>
          <t>Arbeidsgiveravgift</t>
        </is>
      </c>
      <c r="B3775" s="36" t="inlineStr">
        <is>
          <t>Region Øst</t>
        </is>
      </c>
      <c r="C3775" s="36" t="inlineStr">
        <is>
          <t>Bufetats behandlingssenter Akershus_Østfold, avd Ressursteam</t>
        </is>
      </c>
      <c r="D3775" s="26" t="n"/>
      <c r="E3775" s="26" t="n"/>
      <c r="F3775" s="26" t="n"/>
      <c r="G3775" s="26" t="n"/>
      <c r="H3775" s="26" t="n"/>
      <c r="I3775" s="26" t="n">
        <v>966567</v>
      </c>
      <c r="J3775" s="19" t="n">
        <v>1096304.455575</v>
      </c>
      <c r="K3775" s="37" t="n">
        <v>0.065</v>
      </c>
    </row>
    <row r="3776">
      <c r="A3776" s="34" t="inlineStr">
        <is>
          <t>Arbeidsgiveravgift</t>
        </is>
      </c>
      <c r="B3776" s="34" t="inlineStr">
        <is>
          <t>Region Øst</t>
        </is>
      </c>
      <c r="C3776" s="34" t="inlineStr">
        <is>
          <t>Bufetats behandlingssenter Akershus_Østfold, avd Ås</t>
        </is>
      </c>
      <c r="D3776" s="18" t="n"/>
      <c r="E3776" s="18" t="n"/>
      <c r="F3776" s="18" t="n"/>
      <c r="G3776" s="18" t="n"/>
      <c r="H3776" s="18" t="n"/>
      <c r="I3776" s="18" t="n">
        <v>2645926</v>
      </c>
      <c r="J3776" s="19" t="n">
        <v>3001075.417349999</v>
      </c>
      <c r="K3776" s="35" t="n">
        <v>0.065</v>
      </c>
    </row>
    <row r="3777">
      <c r="A3777" s="36" t="inlineStr">
        <is>
          <t>Arbeidsgiveravgift</t>
        </is>
      </c>
      <c r="B3777" s="36" t="inlineStr">
        <is>
          <t>Region Øst</t>
        </is>
      </c>
      <c r="C3777" s="36" t="inlineStr">
        <is>
          <t>Bufetats behandlingssenter Akershus_Østfold, avd Østheim</t>
        </is>
      </c>
      <c r="D3777" s="26" t="n"/>
      <c r="E3777" s="26" t="n"/>
      <c r="F3777" s="26" t="n"/>
      <c r="G3777" s="26" t="n"/>
      <c r="H3777" s="26" t="n"/>
      <c r="I3777" s="26" t="n">
        <v>1979966</v>
      </c>
      <c r="J3777" s="19" t="n">
        <v>2245726.93635</v>
      </c>
      <c r="K3777" s="37" t="n">
        <v>0.065</v>
      </c>
    </row>
    <row r="3778">
      <c r="A3778" s="34" t="inlineStr">
        <is>
          <t>Arbeidsgiveravgift</t>
        </is>
      </c>
      <c r="B3778" s="34" t="inlineStr">
        <is>
          <t>Region Øst</t>
        </is>
      </c>
      <c r="C3778" s="34" t="inlineStr">
        <is>
          <t>Bufetats behandlingssenter Akershus_Østfold, avd Østlund</t>
        </is>
      </c>
      <c r="D3778" s="18" t="n"/>
      <c r="E3778" s="18" t="n"/>
      <c r="F3778" s="18" t="n"/>
      <c r="G3778" s="18" t="n"/>
      <c r="H3778" s="18" t="n"/>
      <c r="I3778" s="18" t="n">
        <v>1902319</v>
      </c>
      <c r="J3778" s="19" t="n">
        <v>2157657.767775</v>
      </c>
      <c r="K3778" s="35" t="n">
        <v>0.065</v>
      </c>
    </row>
    <row r="3779">
      <c r="A3779" s="36" t="inlineStr">
        <is>
          <t>Arbeidsgiveravgift</t>
        </is>
      </c>
      <c r="B3779" s="36" t="inlineStr">
        <is>
          <t>Region Øst</t>
        </is>
      </c>
      <c r="C3779" s="36" t="inlineStr">
        <is>
          <t>Bufetats enhet for godkjenning av barneverninstitusjoner</t>
        </is>
      </c>
      <c r="D3779" s="26" t="n"/>
      <c r="E3779" s="26" t="n"/>
      <c r="F3779" s="26" t="n">
        <v>1103656</v>
      </c>
      <c r="G3779" s="26" t="n">
        <v>1235549</v>
      </c>
      <c r="H3779" s="26" t="n">
        <v>1860</v>
      </c>
      <c r="I3779" s="26" t="n"/>
      <c r="J3779" s="19" t="n">
        <v>0</v>
      </c>
      <c r="K3779" s="37" t="n">
        <v>0.065</v>
      </c>
    </row>
    <row r="3780">
      <c r="A3780" s="34" t="inlineStr">
        <is>
          <t>Arbeidsgiveravgift</t>
        </is>
      </c>
      <c r="B3780" s="34" t="inlineStr">
        <is>
          <t>Region Øst</t>
        </is>
      </c>
      <c r="C3780" s="34" t="inlineStr">
        <is>
          <t>Enhet for psykologressurser EMA</t>
        </is>
      </c>
      <c r="D3780" s="18" t="n">
        <v>925039</v>
      </c>
      <c r="E3780" s="18" t="n">
        <v>915280</v>
      </c>
      <c r="F3780" s="18" t="n">
        <v>868820</v>
      </c>
      <c r="G3780" s="18" t="n">
        <v>977391</v>
      </c>
      <c r="H3780" s="18" t="n">
        <v>1118023</v>
      </c>
      <c r="I3780" s="18" t="n">
        <v>6136</v>
      </c>
      <c r="J3780" s="19" t="n">
        <v>3451.5</v>
      </c>
      <c r="K3780" s="35" t="n">
        <v>-0.25</v>
      </c>
    </row>
    <row r="3781">
      <c r="A3781" s="36" t="inlineStr">
        <is>
          <t>Arbeidsgiveravgift</t>
        </is>
      </c>
      <c r="B3781" s="36" t="inlineStr">
        <is>
          <t>Region Øst</t>
        </is>
      </c>
      <c r="C3781" s="36" t="inlineStr">
        <is>
          <t>Enhet for spesialiserte fosterhjem - region Øst</t>
        </is>
      </c>
      <c r="D3781" s="26" t="n"/>
      <c r="E3781" s="26" t="n"/>
      <c r="F3781" s="26" t="n"/>
      <c r="G3781" s="26" t="n"/>
      <c r="H3781" s="26" t="n"/>
      <c r="I3781" s="26" t="n">
        <v>7395</v>
      </c>
      <c r="J3781" s="19" t="n">
        <v>8387.593874999999</v>
      </c>
      <c r="K3781" s="37" t="n">
        <v>0.065</v>
      </c>
    </row>
    <row r="3782">
      <c r="A3782" s="34" t="inlineStr">
        <is>
          <t>Arbeidsgiveravgift</t>
        </is>
      </c>
      <c r="B3782" s="34" t="inlineStr">
        <is>
          <t>Region Øst</t>
        </is>
      </c>
      <c r="C3782" s="34" t="inlineStr">
        <is>
          <t>Enhet for tjenestestøtte</t>
        </is>
      </c>
      <c r="D3782" s="18" t="n"/>
      <c r="E3782" s="18" t="n"/>
      <c r="F3782" s="18" t="n"/>
      <c r="G3782" s="18" t="n"/>
      <c r="H3782" s="18" t="n"/>
      <c r="I3782" s="18" t="n">
        <v>1425987</v>
      </c>
      <c r="J3782" s="19" t="n">
        <v>1617390.105075</v>
      </c>
      <c r="K3782" s="35" t="n">
        <v>0.065</v>
      </c>
    </row>
    <row r="3783">
      <c r="A3783" s="36" t="inlineStr">
        <is>
          <t>Arbeidsgiveravgift</t>
        </is>
      </c>
      <c r="B3783" s="36" t="inlineStr">
        <is>
          <t>Region Øst</t>
        </is>
      </c>
      <c r="C3783" s="36" t="inlineStr">
        <is>
          <t>Follo ungdoms- og familiesenter - akutt  Administrasjon</t>
        </is>
      </c>
      <c r="D3783" s="26" t="n">
        <v>195779</v>
      </c>
      <c r="E3783" s="26" t="n"/>
      <c r="F3783" s="26" t="n"/>
      <c r="G3783" s="26" t="n"/>
      <c r="H3783" s="26" t="n"/>
      <c r="I3783" s="26" t="n"/>
      <c r="J3783" s="19" t="n">
        <v>0</v>
      </c>
      <c r="K3783" s="37" t="n">
        <v>0.065</v>
      </c>
    </row>
    <row r="3784">
      <c r="A3784" s="34" t="inlineStr">
        <is>
          <t>Arbeidsgiveravgift</t>
        </is>
      </c>
      <c r="B3784" s="34" t="inlineStr">
        <is>
          <t>Region Øst</t>
        </is>
      </c>
      <c r="C3784" s="34" t="inlineStr">
        <is>
          <t>Follo ungdoms- og familiesenter - akutt  Avdeling Follo</t>
        </is>
      </c>
      <c r="D3784" s="18" t="n">
        <v>1017122</v>
      </c>
      <c r="E3784" s="18" t="n">
        <v>-689</v>
      </c>
      <c r="F3784" s="18" t="n"/>
      <c r="G3784" s="18" t="n"/>
      <c r="H3784" s="18" t="n"/>
      <c r="I3784" s="18" t="n"/>
      <c r="J3784" s="19" t="n">
        <v>0</v>
      </c>
      <c r="K3784" s="35" t="n">
        <v>0.065</v>
      </c>
    </row>
    <row r="3785">
      <c r="A3785" s="36" t="inlineStr">
        <is>
          <t>Arbeidsgiveravgift</t>
        </is>
      </c>
      <c r="B3785" s="36" t="inlineStr">
        <is>
          <t>Region Øst</t>
        </is>
      </c>
      <c r="C3785" s="36" t="inlineStr">
        <is>
          <t>Follo ungdoms- og familiesenter - akutt  Avdeling Jibbe</t>
        </is>
      </c>
      <c r="D3785" s="26" t="n">
        <v>936215</v>
      </c>
      <c r="E3785" s="26" t="n">
        <v>-1320</v>
      </c>
      <c r="F3785" s="26" t="n"/>
      <c r="G3785" s="26" t="n"/>
      <c r="H3785" s="26" t="n"/>
      <c r="I3785" s="26" t="n"/>
      <c r="J3785" s="19" t="n">
        <v>0</v>
      </c>
      <c r="K3785" s="37" t="n">
        <v>0.065</v>
      </c>
    </row>
    <row r="3786">
      <c r="A3786" s="34" t="inlineStr">
        <is>
          <t>Arbeidsgiveravgift</t>
        </is>
      </c>
      <c r="B3786" s="34" t="inlineStr">
        <is>
          <t>Region Øst</t>
        </is>
      </c>
      <c r="C3786" s="34" t="inlineStr">
        <is>
          <t>Fosterhjemstjenesten Bufetat region øst, adm</t>
        </is>
      </c>
      <c r="D3786" s="18" t="n"/>
      <c r="E3786" s="18" t="n"/>
      <c r="F3786" s="18" t="n"/>
      <c r="G3786" s="18" t="n"/>
      <c r="H3786" s="18" t="n">
        <v>45</v>
      </c>
      <c r="I3786" s="18" t="n"/>
      <c r="J3786" s="19" t="n">
        <v>0</v>
      </c>
      <c r="K3786" s="35" t="n">
        <v>0.065</v>
      </c>
    </row>
    <row r="3787">
      <c r="A3787" s="36" t="inlineStr">
        <is>
          <t>Arbeidsgiveravgift</t>
        </is>
      </c>
      <c r="B3787" s="36" t="inlineStr">
        <is>
          <t>Region Øst</t>
        </is>
      </c>
      <c r="C3787" s="36" t="inlineStr">
        <is>
          <t>Fosterhjemstjenesten Bufetat region øst, avdeling Østfold</t>
        </is>
      </c>
      <c r="D3787" s="26" t="n"/>
      <c r="E3787" s="26" t="n"/>
      <c r="F3787" s="26" t="n"/>
      <c r="G3787" s="26" t="n">
        <v>44</v>
      </c>
      <c r="H3787" s="26" t="n"/>
      <c r="I3787" s="26" t="n"/>
      <c r="J3787" s="19" t="n">
        <v>0</v>
      </c>
      <c r="K3787" s="37" t="n">
        <v>0.065</v>
      </c>
    </row>
    <row r="3788">
      <c r="A3788" s="34" t="inlineStr">
        <is>
          <t>Arbeidsgiveravgift</t>
        </is>
      </c>
      <c r="B3788" s="34" t="inlineStr">
        <is>
          <t>Region Øst</t>
        </is>
      </c>
      <c r="C3788" s="34" t="inlineStr">
        <is>
          <t>Gullhella barne- og familiesenter Avdeling for beredskapshjem</t>
        </is>
      </c>
      <c r="D3788" s="18" t="n"/>
      <c r="E3788" s="18" t="n"/>
      <c r="F3788" s="18" t="n"/>
      <c r="G3788" s="18" t="n"/>
      <c r="H3788" s="18" t="n">
        <v>75942</v>
      </c>
      <c r="I3788" s="18" t="n"/>
      <c r="J3788" s="19" t="n">
        <v>0</v>
      </c>
      <c r="K3788" s="35" t="n">
        <v>0.065</v>
      </c>
    </row>
    <row r="3789">
      <c r="A3789" s="36" t="inlineStr">
        <is>
          <t>Arbeidsgiveravgift</t>
        </is>
      </c>
      <c r="B3789" s="36" t="inlineStr">
        <is>
          <t>Region Øst</t>
        </is>
      </c>
      <c r="C3789" s="36" t="inlineStr">
        <is>
          <t>Gullhella barne- og familiesenter Avdeling for beredskapshjem 3</t>
        </is>
      </c>
      <c r="D3789" s="26" t="n">
        <v>63525</v>
      </c>
      <c r="E3789" s="26" t="n"/>
      <c r="F3789" s="26" t="n"/>
      <c r="G3789" s="26" t="n"/>
      <c r="H3789" s="26" t="n"/>
      <c r="I3789" s="26" t="n"/>
      <c r="J3789" s="19" t="n">
        <v>0</v>
      </c>
      <c r="K3789" s="37" t="n">
        <v>0.065</v>
      </c>
    </row>
    <row r="3790">
      <c r="A3790" s="34" t="inlineStr">
        <is>
          <t>Arbeidsgiveravgift</t>
        </is>
      </c>
      <c r="B3790" s="34" t="inlineStr">
        <is>
          <t>Region Øst</t>
        </is>
      </c>
      <c r="C3790" s="34" t="inlineStr">
        <is>
          <t>Gullhella barne- og familiesenter Foreldre- og barn avdeling</t>
        </is>
      </c>
      <c r="D3790" s="18" t="n"/>
      <c r="E3790" s="18" t="n"/>
      <c r="F3790" s="18" t="n">
        <v>35072</v>
      </c>
      <c r="G3790" s="18" t="n">
        <v>82975</v>
      </c>
      <c r="H3790" s="18" t="n">
        <v>88432</v>
      </c>
      <c r="I3790" s="18" t="n"/>
      <c r="J3790" s="19" t="n">
        <v>0</v>
      </c>
      <c r="K3790" s="35" t="n">
        <v>0.065</v>
      </c>
    </row>
    <row r="3791">
      <c r="A3791" s="36" t="inlineStr">
        <is>
          <t>Arbeidsgiveravgift</t>
        </is>
      </c>
      <c r="B3791" s="36" t="inlineStr">
        <is>
          <t>Region Øst</t>
        </is>
      </c>
      <c r="C3791" s="36" t="inlineStr">
        <is>
          <t>Hedmark ungdoms- og  familiesenter - akutt  Administrasjon</t>
        </is>
      </c>
      <c r="D3791" s="26" t="n">
        <v>317659</v>
      </c>
      <c r="E3791" s="26" t="n">
        <v>325117</v>
      </c>
      <c r="F3791" s="26" t="n">
        <v>330777</v>
      </c>
      <c r="G3791" s="26" t="n">
        <v>316900</v>
      </c>
      <c r="H3791" s="26" t="n">
        <v>256891</v>
      </c>
      <c r="I3791" s="26" t="n">
        <v>1642</v>
      </c>
      <c r="J3791" s="19" t="n">
        <v>923.625</v>
      </c>
      <c r="K3791" s="37" t="n">
        <v>-0.25</v>
      </c>
    </row>
    <row r="3792">
      <c r="A3792" s="34" t="inlineStr">
        <is>
          <t>Arbeidsgiveravgift</t>
        </is>
      </c>
      <c r="B3792" s="34" t="inlineStr">
        <is>
          <t>Region Øst</t>
        </is>
      </c>
      <c r="C3792" s="34" t="inlineStr">
        <is>
          <t>Hedmark ungdoms- og  familiesenter - akutt  Avdeling  Stange 1</t>
        </is>
      </c>
      <c r="D3792" s="18" t="n">
        <v>1749024</v>
      </c>
      <c r="E3792" s="18" t="n">
        <v>1614387</v>
      </c>
      <c r="F3792" s="18" t="n">
        <v>1730602</v>
      </c>
      <c r="G3792" s="18" t="n">
        <v>1826604</v>
      </c>
      <c r="H3792" s="18" t="n">
        <v>1914001</v>
      </c>
      <c r="I3792" s="18" t="n">
        <v>17339</v>
      </c>
      <c r="J3792" s="19" t="n">
        <v>9753.1875</v>
      </c>
      <c r="K3792" s="35" t="n">
        <v>-0.25</v>
      </c>
    </row>
    <row r="3793">
      <c r="A3793" s="36" t="inlineStr">
        <is>
          <t>Arbeidsgiveravgift</t>
        </is>
      </c>
      <c r="B3793" s="36" t="inlineStr">
        <is>
          <t>Region Øst</t>
        </is>
      </c>
      <c r="C3793" s="36" t="inlineStr">
        <is>
          <t>Hedmark ungdoms- og  familiesenter - akutt  Avdeling  Vien 1</t>
        </is>
      </c>
      <c r="D3793" s="26" t="n">
        <v>1471315</v>
      </c>
      <c r="E3793" s="26" t="n">
        <v>1409449</v>
      </c>
      <c r="F3793" s="26" t="n">
        <v>1601162</v>
      </c>
      <c r="G3793" s="26" t="n">
        <v>1804884</v>
      </c>
      <c r="H3793" s="26" t="n">
        <v>2026398</v>
      </c>
      <c r="I3793" s="26" t="n">
        <v>31502</v>
      </c>
      <c r="J3793" s="19" t="n">
        <v>17719.875</v>
      </c>
      <c r="K3793" s="37" t="n">
        <v>-0.25</v>
      </c>
    </row>
    <row r="3794">
      <c r="A3794" s="34" t="inlineStr">
        <is>
          <t>Arbeidsgiveravgift</t>
        </is>
      </c>
      <c r="B3794" s="34" t="inlineStr">
        <is>
          <t>Region Øst</t>
        </is>
      </c>
      <c r="C3794" s="34" t="inlineStr">
        <is>
          <t>Hedmark ungdoms- og  familiesenter - akutt  Avdeling  Vien 2</t>
        </is>
      </c>
      <c r="D3794" s="18" t="n">
        <v>1533390</v>
      </c>
      <c r="E3794" s="18" t="n">
        <v>1582069</v>
      </c>
      <c r="F3794" s="18" t="n">
        <v>1810337</v>
      </c>
      <c r="G3794" s="18" t="n">
        <v>1768117</v>
      </c>
      <c r="H3794" s="18" t="n">
        <v>1867618</v>
      </c>
      <c r="I3794" s="18" t="n">
        <v>14001</v>
      </c>
      <c r="J3794" s="19" t="n">
        <v>7875.5625</v>
      </c>
      <c r="K3794" s="35" t="n">
        <v>-0.25</v>
      </c>
    </row>
    <row r="3795">
      <c r="A3795" s="36" t="inlineStr">
        <is>
          <t>Arbeidsgiveravgift</t>
        </is>
      </c>
      <c r="B3795" s="36" t="inlineStr">
        <is>
          <t>Region Øst</t>
        </is>
      </c>
      <c r="C3795" s="36" t="inlineStr">
        <is>
          <t>Hedmark ungdoms- og familiesenter - akutt Avdeling Disen</t>
        </is>
      </c>
      <c r="D3795" s="26" t="n"/>
      <c r="E3795" s="26" t="n"/>
      <c r="F3795" s="26" t="n">
        <v>1610894</v>
      </c>
      <c r="G3795" s="26" t="n">
        <v>1696090</v>
      </c>
      <c r="H3795" s="26" t="n">
        <v>1750334</v>
      </c>
      <c r="I3795" s="26" t="n">
        <v>20259</v>
      </c>
      <c r="J3795" s="19" t="n">
        <v>22978.264275</v>
      </c>
      <c r="K3795" s="37" t="n">
        <v>0.065</v>
      </c>
    </row>
    <row r="3796">
      <c r="A3796" s="34" t="inlineStr">
        <is>
          <t>Arbeidsgiveravgift</t>
        </is>
      </c>
      <c r="B3796" s="34" t="inlineStr">
        <is>
          <t>Region Øst</t>
        </is>
      </c>
      <c r="C3796" s="34" t="inlineStr">
        <is>
          <t>Hedmark ungdoms- og familiesenter - akutt Avdeling Irstad</t>
        </is>
      </c>
      <c r="D3796" s="18" t="n">
        <v>1533023</v>
      </c>
      <c r="E3796" s="18" t="n">
        <v>1542573</v>
      </c>
      <c r="F3796" s="18" t="n">
        <v>47265</v>
      </c>
      <c r="G3796" s="18" t="n"/>
      <c r="H3796" s="18" t="n"/>
      <c r="I3796" s="18" t="n"/>
      <c r="J3796" s="19" t="n">
        <v>0</v>
      </c>
      <c r="K3796" s="35" t="n">
        <v>0.065</v>
      </c>
    </row>
    <row r="3797">
      <c r="A3797" s="36" t="inlineStr">
        <is>
          <t>Arbeidsgiveravgift</t>
        </is>
      </c>
      <c r="B3797" s="36" t="inlineStr">
        <is>
          <t>Region Øst</t>
        </is>
      </c>
      <c r="C3797" s="36" t="inlineStr">
        <is>
          <t>Hedmark ungdoms- og familiesenter - akutt, adm</t>
        </is>
      </c>
      <c r="D3797" s="26" t="n"/>
      <c r="E3797" s="26" t="n"/>
      <c r="F3797" s="26" t="n"/>
      <c r="G3797" s="26" t="n"/>
      <c r="H3797" s="26" t="n"/>
      <c r="I3797" s="26" t="n">
        <v>398094</v>
      </c>
      <c r="J3797" s="19" t="n">
        <v>451528.1671499999</v>
      </c>
      <c r="K3797" s="37" t="n">
        <v>0.065</v>
      </c>
    </row>
    <row r="3798">
      <c r="A3798" s="34" t="inlineStr">
        <is>
          <t>Arbeidsgiveravgift</t>
        </is>
      </c>
      <c r="B3798" s="34" t="inlineStr">
        <is>
          <t>Region Øst</t>
        </is>
      </c>
      <c r="C3798" s="34" t="inlineStr">
        <is>
          <t>Hedmark ungdoms- og familiesenter - akutt, avd Disen</t>
        </is>
      </c>
      <c r="D3798" s="18" t="n"/>
      <c r="E3798" s="18" t="n"/>
      <c r="F3798" s="18" t="n"/>
      <c r="G3798" s="18" t="n"/>
      <c r="H3798" s="18" t="n"/>
      <c r="I3798" s="18" t="n">
        <v>1889516</v>
      </c>
      <c r="J3798" s="19" t="n">
        <v>2143136.2851</v>
      </c>
      <c r="K3798" s="35" t="n">
        <v>0.065</v>
      </c>
    </row>
    <row r="3799">
      <c r="A3799" s="36" t="inlineStr">
        <is>
          <t>Arbeidsgiveravgift</t>
        </is>
      </c>
      <c r="B3799" s="36" t="inlineStr">
        <is>
          <t>Region Øst</t>
        </is>
      </c>
      <c r="C3799" s="36" t="inlineStr">
        <is>
          <t>Hedmark ungdoms- og familiesenter - akutt, avd Stange 1</t>
        </is>
      </c>
      <c r="D3799" s="26" t="n"/>
      <c r="E3799" s="26" t="n"/>
      <c r="F3799" s="26" t="n"/>
      <c r="G3799" s="26" t="n"/>
      <c r="H3799" s="26" t="n"/>
      <c r="I3799" s="26" t="n">
        <v>2076191</v>
      </c>
      <c r="J3799" s="19" t="n">
        <v>2354867.736975</v>
      </c>
      <c r="K3799" s="37" t="n">
        <v>0.065</v>
      </c>
    </row>
    <row r="3800">
      <c r="A3800" s="34" t="inlineStr">
        <is>
          <t>Arbeidsgiveravgift</t>
        </is>
      </c>
      <c r="B3800" s="34" t="inlineStr">
        <is>
          <t>Region Øst</t>
        </is>
      </c>
      <c r="C3800" s="34" t="inlineStr">
        <is>
          <t>Hedmark ungdoms- og familiesenter - akutt, avd Vien 1</t>
        </is>
      </c>
      <c r="D3800" s="18" t="n"/>
      <c r="E3800" s="18" t="n"/>
      <c r="F3800" s="18" t="n"/>
      <c r="G3800" s="18" t="n"/>
      <c r="H3800" s="18" t="n"/>
      <c r="I3800" s="18" t="n">
        <v>2301667</v>
      </c>
      <c r="J3800" s="19" t="n">
        <v>2610608.253074999</v>
      </c>
      <c r="K3800" s="35" t="n">
        <v>0.065</v>
      </c>
    </row>
    <row r="3801">
      <c r="A3801" s="36" t="inlineStr">
        <is>
          <t>Arbeidsgiveravgift</t>
        </is>
      </c>
      <c r="B3801" s="36" t="inlineStr">
        <is>
          <t>Region Øst</t>
        </is>
      </c>
      <c r="C3801" s="36" t="inlineStr">
        <is>
          <t>Hedmark ungdoms- og familiesenter - akutt, avd Vien 2</t>
        </is>
      </c>
      <c r="D3801" s="26" t="n"/>
      <c r="E3801" s="26" t="n"/>
      <c r="F3801" s="26" t="n"/>
      <c r="G3801" s="26" t="n"/>
      <c r="H3801" s="26" t="n"/>
      <c r="I3801" s="26" t="n">
        <v>1896755</v>
      </c>
      <c r="J3801" s="19" t="n">
        <v>2151346.939875</v>
      </c>
      <c r="K3801" s="37" t="n">
        <v>0.065</v>
      </c>
    </row>
    <row r="3802">
      <c r="A3802" s="34" t="inlineStr">
        <is>
          <t>Arbeidsgiveravgift</t>
        </is>
      </c>
      <c r="B3802" s="34" t="inlineStr">
        <is>
          <t>Region Øst</t>
        </is>
      </c>
      <c r="C3802" s="34" t="inlineStr">
        <is>
          <t>Innlandet Barnevernsenter avdeling Sandvig</t>
        </is>
      </c>
      <c r="D3802" s="18" t="n">
        <v>332408</v>
      </c>
      <c r="E3802" s="18" t="n">
        <v>1165074</v>
      </c>
      <c r="F3802" s="18" t="n">
        <v>1319427</v>
      </c>
      <c r="G3802" s="18" t="n">
        <v>1403303</v>
      </c>
      <c r="H3802" s="18" t="n">
        <v>1804792</v>
      </c>
      <c r="I3802" s="18" t="n">
        <v>2001169</v>
      </c>
      <c r="J3802" s="19" t="n">
        <v>3126826.5625</v>
      </c>
      <c r="K3802" s="35" t="n">
        <v>0.25</v>
      </c>
    </row>
    <row r="3803">
      <c r="A3803" s="36" t="inlineStr">
        <is>
          <t>Arbeidsgiveravgift</t>
        </is>
      </c>
      <c r="B3803" s="36" t="inlineStr">
        <is>
          <t>Region Øst</t>
        </is>
      </c>
      <c r="C3803" s="36" t="inlineStr">
        <is>
          <t>Innlandet barnevernsenter avdeling Aukrust</t>
        </is>
      </c>
      <c r="D3803" s="26" t="n">
        <v>1280829</v>
      </c>
      <c r="E3803" s="26" t="n">
        <v>1143636</v>
      </c>
      <c r="F3803" s="26" t="n">
        <v>1220189</v>
      </c>
      <c r="G3803" s="26" t="n">
        <v>1310789</v>
      </c>
      <c r="H3803" s="26" t="n">
        <v>1508700</v>
      </c>
      <c r="I3803" s="26" t="n">
        <v>1675825</v>
      </c>
      <c r="J3803" s="19" t="n">
        <v>1866051.691948297</v>
      </c>
      <c r="K3803" s="37" t="n">
        <v>0.05523090613917891</v>
      </c>
    </row>
    <row r="3804">
      <c r="A3804" s="34" t="inlineStr">
        <is>
          <t>Arbeidsgiveravgift</t>
        </is>
      </c>
      <c r="B3804" s="34" t="inlineStr">
        <is>
          <t>Region Øst</t>
        </is>
      </c>
      <c r="C3804" s="34" t="inlineStr">
        <is>
          <t>Innlandet barnevernsenter avdeling Kauffeldt</t>
        </is>
      </c>
      <c r="D3804" s="18" t="n"/>
      <c r="E3804" s="18" t="n"/>
      <c r="F3804" s="18" t="n"/>
      <c r="G3804" s="18" t="n">
        <v>276155</v>
      </c>
      <c r="H3804" s="18" t="n">
        <v>1358892</v>
      </c>
      <c r="I3804" s="18" t="n">
        <v>1682619</v>
      </c>
      <c r="J3804" s="19" t="n">
        <v>1908468.535275</v>
      </c>
      <c r="K3804" s="35" t="n">
        <v>0.065</v>
      </c>
    </row>
    <row r="3805">
      <c r="A3805" s="36" t="inlineStr">
        <is>
          <t>Arbeidsgiveravgift</t>
        </is>
      </c>
      <c r="B3805" s="36" t="inlineStr">
        <is>
          <t>Region Øst</t>
        </is>
      </c>
      <c r="C3805" s="36" t="inlineStr">
        <is>
          <t>Innlandet barnevernsenter avdeling Prøysen</t>
        </is>
      </c>
      <c r="D3805" s="26" t="n">
        <v>1137557</v>
      </c>
      <c r="E3805" s="26" t="n">
        <v>1339811</v>
      </c>
      <c r="F3805" s="26" t="n">
        <v>1493765</v>
      </c>
      <c r="G3805" s="26" t="n">
        <v>1747018</v>
      </c>
      <c r="H3805" s="26" t="n">
        <v>1834456</v>
      </c>
      <c r="I3805" s="26" t="n">
        <v>2001614</v>
      </c>
      <c r="J3805" s="19" t="n">
        <v>2509245.737419988</v>
      </c>
      <c r="K3805" s="37" t="n">
        <v>0.119647803761517</v>
      </c>
    </row>
    <row r="3806">
      <c r="A3806" s="34" t="inlineStr">
        <is>
          <t>Arbeidsgiveravgift</t>
        </is>
      </c>
      <c r="B3806" s="34" t="inlineStr">
        <is>
          <t>Region Øst</t>
        </is>
      </c>
      <c r="C3806" s="34" t="inlineStr">
        <is>
          <t>Innlandet barnevernsenter avdeling Vestly</t>
        </is>
      </c>
      <c r="D3806" s="18" t="n">
        <v>1238674</v>
      </c>
      <c r="E3806" s="18" t="n">
        <v>1134632</v>
      </c>
      <c r="F3806" s="18" t="n">
        <v>1371203</v>
      </c>
      <c r="G3806" s="18" t="n">
        <v>1557635</v>
      </c>
      <c r="H3806" s="18" t="n">
        <v>1562780</v>
      </c>
      <c r="I3806" s="18" t="n">
        <v>1579413</v>
      </c>
      <c r="J3806" s="19" t="n">
        <v>1740648.911916774</v>
      </c>
      <c r="K3806" s="35" t="n">
        <v>0.04980282548392467</v>
      </c>
    </row>
    <row r="3807">
      <c r="A3807" s="36" t="inlineStr">
        <is>
          <t>Arbeidsgiveravgift</t>
        </is>
      </c>
      <c r="B3807" s="36" t="inlineStr">
        <is>
          <t>Region Øst</t>
        </is>
      </c>
      <c r="C3807" s="36" t="inlineStr">
        <is>
          <t>Jong ungdoms- og familiesenter, Administrasjon</t>
        </is>
      </c>
      <c r="D3807" s="26" t="n">
        <v>149211</v>
      </c>
      <c r="E3807" s="26" t="n">
        <v>245120</v>
      </c>
      <c r="F3807" s="26" t="n">
        <v>277865</v>
      </c>
      <c r="G3807" s="26" t="n">
        <v>257994</v>
      </c>
      <c r="H3807" s="26" t="n">
        <v>173291</v>
      </c>
      <c r="I3807" s="26" t="n">
        <v>-1453</v>
      </c>
      <c r="J3807" s="19" t="n">
        <v>-1648.028925</v>
      </c>
      <c r="K3807" s="37" t="n">
        <v>0.065</v>
      </c>
    </row>
    <row r="3808">
      <c r="A3808" s="34" t="inlineStr">
        <is>
          <t>Arbeidsgiveravgift</t>
        </is>
      </c>
      <c r="B3808" s="34" t="inlineStr">
        <is>
          <t>Region Øst</t>
        </is>
      </c>
      <c r="C3808" s="34" t="inlineStr">
        <is>
          <t>Jong ungdoms- og familiesenter, adm</t>
        </is>
      </c>
      <c r="D3808" s="18" t="n"/>
      <c r="E3808" s="18" t="n"/>
      <c r="F3808" s="18" t="n"/>
      <c r="G3808" s="18" t="n"/>
      <c r="H3808" s="18" t="n"/>
      <c r="I3808" s="18" t="n">
        <v>216587</v>
      </c>
      <c r="J3808" s="19" t="n">
        <v>245658.390075</v>
      </c>
      <c r="K3808" s="35" t="n">
        <v>0.065</v>
      </c>
    </row>
    <row r="3809">
      <c r="A3809" s="36" t="inlineStr">
        <is>
          <t>Arbeidsgiveravgift</t>
        </is>
      </c>
      <c r="B3809" s="36" t="inlineStr">
        <is>
          <t>Region Øst</t>
        </is>
      </c>
      <c r="C3809" s="36" t="inlineStr">
        <is>
          <t>Jong ungdoms- og familiesenter, avd Åsen</t>
        </is>
      </c>
      <c r="D3809" s="26" t="n"/>
      <c r="E3809" s="26" t="n"/>
      <c r="F3809" s="26" t="n"/>
      <c r="G3809" s="26" t="n"/>
      <c r="H3809" s="26" t="n"/>
      <c r="I3809" s="26" t="n">
        <v>2077368</v>
      </c>
      <c r="J3809" s="19" t="n">
        <v>2356202.7198</v>
      </c>
      <c r="K3809" s="37" t="n">
        <v>0.065</v>
      </c>
    </row>
    <row r="3810">
      <c r="A3810" s="34" t="inlineStr">
        <is>
          <t>Arbeidsgiveravgift</t>
        </is>
      </c>
      <c r="B3810" s="34" t="inlineStr">
        <is>
          <t>Region Øst</t>
        </is>
      </c>
      <c r="C3810" s="34" t="inlineStr">
        <is>
          <t>Jong ungdoms- og familiesenter, avd. Kollen</t>
        </is>
      </c>
      <c r="D3810" s="18" t="n"/>
      <c r="E3810" s="18" t="n"/>
      <c r="F3810" s="18" t="n"/>
      <c r="G3810" s="18" t="n"/>
      <c r="H3810" s="18" t="n"/>
      <c r="I3810" s="18" t="n">
        <v>1860449</v>
      </c>
      <c r="J3810" s="19" t="n">
        <v>2110167.767024999</v>
      </c>
      <c r="K3810" s="35" t="n">
        <v>0.065</v>
      </c>
    </row>
    <row r="3811">
      <c r="A3811" s="36" t="inlineStr">
        <is>
          <t>Arbeidsgiveravgift</t>
        </is>
      </c>
      <c r="B3811" s="36" t="inlineStr">
        <is>
          <t>Region Øst</t>
        </is>
      </c>
      <c r="C3811" s="36" t="inlineStr">
        <is>
          <t>Jong ungdoms- og familiesenter, avdeling Kollen</t>
        </is>
      </c>
      <c r="D3811" s="26" t="n">
        <v>8901</v>
      </c>
      <c r="E3811" s="26" t="n">
        <v>26250</v>
      </c>
      <c r="F3811" s="26" t="n">
        <v>68827</v>
      </c>
      <c r="G3811" s="26" t="n">
        <v>58116</v>
      </c>
      <c r="H3811" s="26" t="n">
        <v>660262</v>
      </c>
      <c r="I3811" s="26" t="n">
        <v>9629</v>
      </c>
      <c r="J3811" s="19" t="n">
        <v>9936.607628622134</v>
      </c>
      <c r="K3811" s="37" t="n">
        <v>0.0158474087678302</v>
      </c>
    </row>
    <row r="3812">
      <c r="A3812" s="34" t="inlineStr">
        <is>
          <t>Arbeidsgiveravgift</t>
        </is>
      </c>
      <c r="B3812" s="34" t="inlineStr">
        <is>
          <t>Region Øst</t>
        </is>
      </c>
      <c r="C3812" s="34" t="inlineStr">
        <is>
          <t>Jong ungdoms- og familiesenter, avdeling Åsen</t>
        </is>
      </c>
      <c r="D3812" s="18" t="n">
        <v>1632699</v>
      </c>
      <c r="E3812" s="18" t="n">
        <v>1590855</v>
      </c>
      <c r="F3812" s="18" t="n">
        <v>1663934</v>
      </c>
      <c r="G3812" s="18" t="n">
        <v>1707710</v>
      </c>
      <c r="H3812" s="18" t="n">
        <v>1849385</v>
      </c>
      <c r="I3812" s="18" t="n">
        <v>-1262</v>
      </c>
      <c r="J3812" s="19" t="n">
        <v>-1431.39195</v>
      </c>
      <c r="K3812" s="35" t="n">
        <v>0.065</v>
      </c>
    </row>
    <row r="3813">
      <c r="A3813" s="36" t="inlineStr">
        <is>
          <t>Arbeidsgiveravgift</t>
        </is>
      </c>
      <c r="B3813" s="36" t="inlineStr">
        <is>
          <t>Region Øst</t>
        </is>
      </c>
      <c r="C3813" s="36" t="inlineStr">
        <is>
          <t>Kirkenær barnever- og omsorgssenter Avdeling Frigg</t>
        </is>
      </c>
      <c r="D3813" s="26" t="n"/>
      <c r="E3813" s="26" t="n">
        <v>674710</v>
      </c>
      <c r="F3813" s="26" t="n">
        <v>835437</v>
      </c>
      <c r="G3813" s="26" t="n">
        <v>1023875</v>
      </c>
      <c r="H3813" s="26" t="n">
        <v>1278811</v>
      </c>
      <c r="I3813" s="26" t="n">
        <v>1035784</v>
      </c>
      <c r="J3813" s="19" t="n">
        <v>1283350.321228053</v>
      </c>
      <c r="K3813" s="37" t="n">
        <v>0.1131098164385627</v>
      </c>
    </row>
    <row r="3814">
      <c r="A3814" s="34" t="inlineStr">
        <is>
          <t>Arbeidsgiveravgift</t>
        </is>
      </c>
      <c r="B3814" s="34" t="inlineStr">
        <is>
          <t>Region Øst</t>
        </is>
      </c>
      <c r="C3814" s="34" t="inlineStr">
        <is>
          <t>Kirkenær barnevern- og omsorgssenter  Administrasjon</t>
        </is>
      </c>
      <c r="D3814" s="18" t="n">
        <v>215531</v>
      </c>
      <c r="E3814" s="18" t="n">
        <v>196131</v>
      </c>
      <c r="F3814" s="18" t="n">
        <v>219670</v>
      </c>
      <c r="G3814" s="18" t="n">
        <v>215735</v>
      </c>
      <c r="H3814" s="18" t="n">
        <v>231082</v>
      </c>
      <c r="I3814" s="18" t="n">
        <v>237997</v>
      </c>
      <c r="J3814" s="19" t="n">
        <v>247625.9634287331</v>
      </c>
      <c r="K3814" s="35" t="n">
        <v>0.02002859739889717</v>
      </c>
    </row>
    <row r="3815">
      <c r="A3815" s="36" t="inlineStr">
        <is>
          <t>Arbeidsgiveravgift</t>
        </is>
      </c>
      <c r="B3815" s="36" t="inlineStr">
        <is>
          <t>Region Øst</t>
        </is>
      </c>
      <c r="C3815" s="36" t="inlineStr">
        <is>
          <t>Kirkenær barnevern- og omsorgssenter  Avdeling Frydenlund</t>
        </is>
      </c>
      <c r="D3815" s="26" t="n">
        <v>1147</v>
      </c>
      <c r="E3815" s="26" t="n">
        <v>40374</v>
      </c>
      <c r="F3815" s="26" t="n">
        <v>1</v>
      </c>
      <c r="G3815" s="26" t="n">
        <v>184</v>
      </c>
      <c r="H3815" s="26" t="n">
        <v>642</v>
      </c>
      <c r="I3815" s="26" t="n">
        <v>69</v>
      </c>
      <c r="J3815" s="19" t="n">
        <v>38.8125</v>
      </c>
      <c r="K3815" s="37" t="n">
        <v>-0.25</v>
      </c>
    </row>
    <row r="3816">
      <c r="A3816" s="34" t="inlineStr">
        <is>
          <t>Arbeidsgiveravgift</t>
        </is>
      </c>
      <c r="B3816" s="34" t="inlineStr">
        <is>
          <t>Region Øst</t>
        </is>
      </c>
      <c r="C3816" s="34" t="inlineStr">
        <is>
          <t>Kirkenær barnevern- og omsorgssenter  Avdeling Furubo</t>
        </is>
      </c>
      <c r="D3816" s="18" t="n">
        <v>17151</v>
      </c>
      <c r="E3816" s="18" t="n">
        <v>120267</v>
      </c>
      <c r="F3816" s="18" t="n">
        <v>-2</v>
      </c>
      <c r="G3816" s="18" t="n"/>
      <c r="H3816" s="18" t="n"/>
      <c r="I3816" s="18" t="n"/>
      <c r="J3816" s="19" t="n">
        <v>0</v>
      </c>
      <c r="K3816" s="35" t="n">
        <v>0.065</v>
      </c>
    </row>
    <row r="3817">
      <c r="A3817" s="36" t="inlineStr">
        <is>
          <t>Arbeidsgiveravgift</t>
        </is>
      </c>
      <c r="B3817" s="36" t="inlineStr">
        <is>
          <t>Region Øst</t>
        </is>
      </c>
      <c r="C3817" s="36" t="inlineStr">
        <is>
          <t>Kirkenær barnevern- og omsorgssenter  Avdeling Kirkenærtunet</t>
        </is>
      </c>
      <c r="D3817" s="26" t="n">
        <v>351</v>
      </c>
      <c r="E3817" s="26" t="n"/>
      <c r="F3817" s="26" t="n">
        <v>34</v>
      </c>
      <c r="G3817" s="26" t="n">
        <v>12289</v>
      </c>
      <c r="H3817" s="26" t="n">
        <v>13366</v>
      </c>
      <c r="I3817" s="26" t="n"/>
      <c r="J3817" s="19" t="n">
        <v>0</v>
      </c>
      <c r="K3817" s="37" t="n">
        <v>0.065</v>
      </c>
    </row>
    <row r="3818">
      <c r="A3818" s="34" t="inlineStr">
        <is>
          <t>Arbeidsgiveravgift</t>
        </is>
      </c>
      <c r="B3818" s="34" t="inlineStr">
        <is>
          <t>Region Øst</t>
        </is>
      </c>
      <c r="C3818" s="34" t="inlineStr">
        <is>
          <t>Kirkenær barnevern- og omsorgssenter  Edda ungdomshjem</t>
        </is>
      </c>
      <c r="D3818" s="18" t="n">
        <v>852082</v>
      </c>
      <c r="E3818" s="18" t="n">
        <v>904097</v>
      </c>
      <c r="F3818" s="18" t="n">
        <v>1055544</v>
      </c>
      <c r="G3818" s="18" t="n">
        <v>1213057</v>
      </c>
      <c r="H3818" s="18" t="n">
        <v>1400337</v>
      </c>
      <c r="I3818" s="18" t="n">
        <v>1496840</v>
      </c>
      <c r="J3818" s="19" t="n">
        <v>1875223.237017522</v>
      </c>
      <c r="K3818" s="35" t="n">
        <v>0.1192801398508925</v>
      </c>
    </row>
    <row r="3819">
      <c r="A3819" s="36" t="inlineStr">
        <is>
          <t>Arbeidsgiveravgift</t>
        </is>
      </c>
      <c r="B3819" s="36" t="inlineStr">
        <is>
          <t>Region Øst</t>
        </is>
      </c>
      <c r="C3819" s="36" t="inlineStr">
        <is>
          <t>Kirkenær barnevern- og omsorgssenter  Snorre ungdomshjem</t>
        </is>
      </c>
      <c r="D3819" s="26" t="n">
        <v>961464</v>
      </c>
      <c r="E3819" s="26" t="n">
        <v>1069829</v>
      </c>
      <c r="F3819" s="26" t="n">
        <v>1091627</v>
      </c>
      <c r="G3819" s="26" t="n">
        <v>1186497</v>
      </c>
      <c r="H3819" s="26" t="n">
        <v>1291209</v>
      </c>
      <c r="I3819" s="26" t="n">
        <v>1483813</v>
      </c>
      <c r="J3819" s="19" t="n">
        <v>1765052.506898312</v>
      </c>
      <c r="K3819" s="37" t="n">
        <v>0.09065960610909429</v>
      </c>
    </row>
    <row r="3820">
      <c r="A3820" s="34" t="inlineStr">
        <is>
          <t>Arbeidsgiveravgift</t>
        </is>
      </c>
      <c r="B3820" s="34" t="inlineStr">
        <is>
          <t>Region Øst</t>
        </is>
      </c>
      <c r="C3820" s="34" t="inlineStr">
        <is>
          <t>Kirkenær barnevern- og omsorgssenter Avdeling Balder</t>
        </is>
      </c>
      <c r="D3820" s="18" t="n">
        <v>622380</v>
      </c>
      <c r="E3820" s="18" t="n">
        <v>1079873</v>
      </c>
      <c r="F3820" s="18" t="n">
        <v>982943</v>
      </c>
      <c r="G3820" s="18" t="n">
        <v>985229</v>
      </c>
      <c r="H3820" s="18" t="n">
        <v>1359660</v>
      </c>
      <c r="I3820" s="18" t="n">
        <v>1196324</v>
      </c>
      <c r="J3820" s="19" t="n">
        <v>1553696.152421385</v>
      </c>
      <c r="K3820" s="35" t="n">
        <v>0.1396162608298113</v>
      </c>
    </row>
    <row r="3821">
      <c r="A3821" s="36" t="inlineStr">
        <is>
          <t>Arbeidsgiveravgift</t>
        </is>
      </c>
      <c r="B3821" s="36" t="inlineStr">
        <is>
          <t>Region Øst</t>
        </is>
      </c>
      <c r="C3821" s="36" t="inlineStr">
        <is>
          <t>Kirkenær barnevern- og omsorgssenter avdeling for spesialiserte fosterhjem</t>
        </is>
      </c>
      <c r="D3821" s="26" t="n">
        <v>188705</v>
      </c>
      <c r="E3821" s="26" t="n">
        <v>189644</v>
      </c>
      <c r="F3821" s="26" t="n">
        <v>8782</v>
      </c>
      <c r="G3821" s="26" t="n">
        <v>1410</v>
      </c>
      <c r="H3821" s="26" t="n">
        <v>9511</v>
      </c>
      <c r="I3821" s="26" t="n">
        <v>435</v>
      </c>
      <c r="J3821" s="19" t="n">
        <v>244.6875</v>
      </c>
      <c r="K3821" s="37" t="n">
        <v>-0.25</v>
      </c>
    </row>
    <row r="3822">
      <c r="A3822" s="34" t="inlineStr">
        <is>
          <t>Arbeidsgiveravgift</t>
        </is>
      </c>
      <c r="B3822" s="34" t="inlineStr">
        <is>
          <t>Region Øst</t>
        </is>
      </c>
      <c r="C3822" s="34" t="inlineStr">
        <is>
          <t>Lierfoss ungdoms- og familiesenter - avdeling Skogtun</t>
        </is>
      </c>
      <c r="D3822" s="18" t="n"/>
      <c r="E3822" s="18" t="n"/>
      <c r="F3822" s="18" t="n"/>
      <c r="G3822" s="18" t="n">
        <v>84881</v>
      </c>
      <c r="H3822" s="18" t="n">
        <v>2062311</v>
      </c>
      <c r="I3822" s="18" t="n">
        <v>2381752</v>
      </c>
      <c r="J3822" s="19" t="n">
        <v>2701442.6622</v>
      </c>
      <c r="K3822" s="35" t="n">
        <v>0.065</v>
      </c>
    </row>
    <row r="3823">
      <c r="A3823" s="36" t="inlineStr">
        <is>
          <t>Arbeidsgiveravgift</t>
        </is>
      </c>
      <c r="B3823" s="36" t="inlineStr">
        <is>
          <t>Region Øst</t>
        </is>
      </c>
      <c r="C3823" s="36" t="inlineStr">
        <is>
          <t>Lierfoss ungdoms- og familiesenter - omsorg  Administrasjon</t>
        </is>
      </c>
      <c r="D3823" s="26" t="n">
        <v>61671</v>
      </c>
      <c r="E3823" s="26" t="n">
        <v>32963</v>
      </c>
      <c r="F3823" s="26" t="n">
        <v>86782</v>
      </c>
      <c r="G3823" s="26" t="n">
        <v>263839</v>
      </c>
      <c r="H3823" s="26" t="n">
        <v>222496</v>
      </c>
      <c r="I3823" s="26" t="n">
        <v>248879</v>
      </c>
      <c r="J3823" s="19" t="n">
        <v>388873.4375</v>
      </c>
      <c r="K3823" s="37" t="n">
        <v>0.25</v>
      </c>
    </row>
    <row r="3824">
      <c r="A3824" s="34" t="inlineStr">
        <is>
          <t>Arbeidsgiveravgift</t>
        </is>
      </c>
      <c r="B3824" s="34" t="inlineStr">
        <is>
          <t>Region Øst</t>
        </is>
      </c>
      <c r="C3824" s="34" t="inlineStr">
        <is>
          <t>Lierfoss ungdoms- og familiesenter - omsorg  Autentoppen ungdomshjem</t>
        </is>
      </c>
      <c r="D3824" s="18" t="n">
        <v>731000</v>
      </c>
      <c r="E3824" s="18" t="n">
        <v>743416</v>
      </c>
      <c r="F3824" s="18" t="n">
        <v>36715</v>
      </c>
      <c r="G3824" s="18" t="n"/>
      <c r="H3824" s="18" t="n"/>
      <c r="I3824" s="18" t="n"/>
      <c r="J3824" s="19" t="n">
        <v>0</v>
      </c>
      <c r="K3824" s="35" t="n">
        <v>0.065</v>
      </c>
    </row>
    <row r="3825">
      <c r="A3825" s="36" t="inlineStr">
        <is>
          <t>Arbeidsgiveravgift</t>
        </is>
      </c>
      <c r="B3825" s="36" t="inlineStr">
        <is>
          <t>Region Øst</t>
        </is>
      </c>
      <c r="C3825" s="36" t="inlineStr">
        <is>
          <t>Lierfoss ungdoms- og familiesenter - omsorg  Berglia ungdomshjem</t>
        </is>
      </c>
      <c r="D3825" s="26" t="n">
        <v>1433225</v>
      </c>
      <c r="E3825" s="26" t="n">
        <v>1509810</v>
      </c>
      <c r="F3825" s="26" t="n">
        <v>1546276</v>
      </c>
      <c r="G3825" s="26" t="n">
        <v>1525249</v>
      </c>
      <c r="H3825" s="26" t="n">
        <v>1034487</v>
      </c>
      <c r="I3825" s="26" t="n">
        <v>1670378</v>
      </c>
      <c r="J3825" s="19" t="n">
        <v>1775885.314752289</v>
      </c>
      <c r="K3825" s="37" t="n">
        <v>0.03109831531449747</v>
      </c>
    </row>
    <row r="3826">
      <c r="A3826" s="34" t="inlineStr">
        <is>
          <t>Arbeidsgiveravgift</t>
        </is>
      </c>
      <c r="B3826" s="34" t="inlineStr">
        <is>
          <t>Region Øst</t>
        </is>
      </c>
      <c r="C3826" s="34" t="inlineStr">
        <is>
          <t>Lierfoss ungdoms- og familiesenter - omsorg  Furulia ungdomshjem</t>
        </is>
      </c>
      <c r="D3826" s="18" t="n">
        <v>525252</v>
      </c>
      <c r="E3826" s="18" t="n">
        <v>490486</v>
      </c>
      <c r="F3826" s="18" t="n">
        <v>1030434</v>
      </c>
      <c r="G3826" s="18" t="n">
        <v>1668346</v>
      </c>
      <c r="H3826" s="18" t="n">
        <v>1778407</v>
      </c>
      <c r="I3826" s="18" t="n">
        <v>1994153</v>
      </c>
      <c r="J3826" s="19" t="n">
        <v>3115864.0625</v>
      </c>
      <c r="K3826" s="35" t="n">
        <v>0.25</v>
      </c>
    </row>
    <row r="3827">
      <c r="A3827" s="36" t="inlineStr">
        <is>
          <t>Arbeidsgiveravgift</t>
        </is>
      </c>
      <c r="B3827" s="36" t="inlineStr">
        <is>
          <t>Region Øst</t>
        </is>
      </c>
      <c r="C3827" s="36" t="inlineStr">
        <is>
          <t>Lierfoss ungdoms- og familiesenter - omsorg Lillehagen</t>
        </is>
      </c>
      <c r="D3827" s="26" t="n">
        <v>1247899</v>
      </c>
      <c r="E3827" s="26" t="n">
        <v>905629</v>
      </c>
      <c r="F3827" s="26" t="n">
        <v>18375</v>
      </c>
      <c r="G3827" s="26" t="n"/>
      <c r="H3827" s="26" t="n"/>
      <c r="I3827" s="26" t="n"/>
      <c r="J3827" s="19" t="n">
        <v>0</v>
      </c>
      <c r="K3827" s="37" t="n">
        <v>0.065</v>
      </c>
    </row>
    <row r="3828">
      <c r="A3828" s="34" t="inlineStr">
        <is>
          <t>Arbeidsgiveravgift</t>
        </is>
      </c>
      <c r="B3828" s="34" t="inlineStr">
        <is>
          <t>Region Øst</t>
        </is>
      </c>
      <c r="C3828" s="34" t="inlineStr">
        <is>
          <t>Lierfoss ungdoms- og familiesenter, avdeling Riserhagen</t>
        </is>
      </c>
      <c r="D3828" s="18" t="n"/>
      <c r="E3828" s="18" t="n">
        <v>335166</v>
      </c>
      <c r="F3828" s="18" t="n">
        <v>1819084</v>
      </c>
      <c r="G3828" s="18" t="n">
        <v>2081685</v>
      </c>
      <c r="H3828" s="18" t="n">
        <v>2010269</v>
      </c>
      <c r="I3828" s="18" t="n">
        <v>2114479</v>
      </c>
      <c r="J3828" s="19" t="n">
        <v>3303873.4375</v>
      </c>
      <c r="K3828" s="35" t="n">
        <v>0.25</v>
      </c>
    </row>
    <row r="3829">
      <c r="A3829" s="36" t="inlineStr">
        <is>
          <t>Arbeidsgiveravgift</t>
        </is>
      </c>
      <c r="B3829" s="36" t="inlineStr">
        <is>
          <t>Region Øst</t>
        </is>
      </c>
      <c r="C3829" s="36" t="inlineStr">
        <is>
          <t>Multisystemisk  terapi-team Ski</t>
        </is>
      </c>
      <c r="D3829" s="26" t="n"/>
      <c r="E3829" s="26" t="n">
        <v>19728</v>
      </c>
      <c r="F3829" s="26" t="n"/>
      <c r="G3829" s="26" t="n"/>
      <c r="H3829" s="26" t="n"/>
      <c r="I3829" s="26" t="n"/>
      <c r="J3829" s="19" t="n">
        <v>0</v>
      </c>
      <c r="K3829" s="37" t="n">
        <v>0.065</v>
      </c>
    </row>
    <row r="3830">
      <c r="A3830" s="34" t="inlineStr">
        <is>
          <t>Arbeidsgiveravgift</t>
        </is>
      </c>
      <c r="B3830" s="34" t="inlineStr">
        <is>
          <t>Region Øst</t>
        </is>
      </c>
      <c r="C3830" s="34" t="inlineStr">
        <is>
          <t>Multisystemisk terapi-team Nedre Romerike</t>
        </is>
      </c>
      <c r="D3830" s="18" t="n"/>
      <c r="E3830" s="18" t="n">
        <v>20079</v>
      </c>
      <c r="F3830" s="18" t="n">
        <v>12658</v>
      </c>
      <c r="G3830" s="18" t="n"/>
      <c r="H3830" s="18" t="n"/>
      <c r="I3830" s="18" t="n"/>
      <c r="J3830" s="19" t="n">
        <v>0</v>
      </c>
      <c r="K3830" s="35" t="n">
        <v>0.065</v>
      </c>
    </row>
    <row r="3831">
      <c r="A3831" s="36" t="inlineStr">
        <is>
          <t>Arbeidsgiveravgift</t>
        </is>
      </c>
      <c r="B3831" s="36" t="inlineStr">
        <is>
          <t>Region Øst</t>
        </is>
      </c>
      <c r="C3831" s="36" t="inlineStr">
        <is>
          <t>Multisystemisk terapi-team Sandvika</t>
        </is>
      </c>
      <c r="D3831" s="26" t="n"/>
      <c r="E3831" s="26" t="n">
        <v>39209</v>
      </c>
      <c r="F3831" s="26" t="n">
        <v>4443</v>
      </c>
      <c r="G3831" s="26" t="n"/>
      <c r="H3831" s="26" t="n"/>
      <c r="I3831" s="26" t="n"/>
      <c r="J3831" s="19" t="n">
        <v>0</v>
      </c>
      <c r="K3831" s="37" t="n">
        <v>0.065</v>
      </c>
    </row>
    <row r="3832">
      <c r="A3832" s="34" t="inlineStr">
        <is>
          <t>Arbeidsgiveravgift</t>
        </is>
      </c>
      <c r="B3832" s="34" t="inlineStr">
        <is>
          <t>Region Øst</t>
        </is>
      </c>
      <c r="C3832" s="34" t="inlineStr">
        <is>
          <t>Regionalt ressursmiljø rus i barnevernstiltak</t>
        </is>
      </c>
      <c r="D3832" s="18" t="n"/>
      <c r="E3832" s="18" t="n"/>
      <c r="F3832" s="18" t="n">
        <v>45</v>
      </c>
      <c r="G3832" s="18" t="n">
        <v>84232</v>
      </c>
      <c r="H3832" s="18" t="n">
        <v>98304</v>
      </c>
      <c r="I3832" s="18" t="n">
        <v>98986</v>
      </c>
      <c r="J3832" s="19" t="n">
        <v>112272.39585</v>
      </c>
      <c r="K3832" s="35" t="n">
        <v>0.065</v>
      </c>
    </row>
    <row r="3833">
      <c r="A3833" s="36" t="inlineStr">
        <is>
          <t>Arbeidsgiveravgift</t>
        </is>
      </c>
      <c r="B3833" s="36" t="inlineStr">
        <is>
          <t>Region Øst</t>
        </is>
      </c>
      <c r="C3833" s="36" t="inlineStr">
        <is>
          <t>Regionkontor F3 Funksjon omsorg ungdom</t>
        </is>
      </c>
      <c r="D3833" s="26" t="n">
        <v>94722</v>
      </c>
      <c r="E3833" s="26" t="n">
        <v>98665</v>
      </c>
      <c r="F3833" s="26" t="n">
        <v>87243</v>
      </c>
      <c r="G3833" s="26" t="n"/>
      <c r="H3833" s="26" t="n"/>
      <c r="I3833" s="26" t="n"/>
      <c r="J3833" s="19" t="n">
        <v>0</v>
      </c>
      <c r="K3833" s="37" t="n">
        <v>0.065</v>
      </c>
    </row>
    <row r="3834">
      <c r="A3834" s="34" t="inlineStr">
        <is>
          <t>Arbeidsgiveravgift</t>
        </is>
      </c>
      <c r="B3834" s="34" t="inlineStr">
        <is>
          <t>Region Øst</t>
        </is>
      </c>
      <c r="C3834" s="34" t="inlineStr">
        <is>
          <t>Regionkontor Seksjon HR</t>
        </is>
      </c>
      <c r="D3834" s="18" t="n">
        <v>-1754</v>
      </c>
      <c r="E3834" s="18" t="n"/>
      <c r="F3834" s="18" t="n"/>
      <c r="G3834" s="18" t="n"/>
      <c r="H3834" s="18" t="n"/>
      <c r="I3834" s="18" t="n">
        <v>1600</v>
      </c>
      <c r="J3834" s="19" t="n">
        <v>1814.76</v>
      </c>
      <c r="K3834" s="35" t="n">
        <v>0.065</v>
      </c>
    </row>
    <row r="3835">
      <c r="A3835" s="36" t="inlineStr">
        <is>
          <t>Arbeidsgiveravgift</t>
        </is>
      </c>
      <c r="B3835" s="36" t="inlineStr">
        <is>
          <t>Region Øst</t>
        </is>
      </c>
      <c r="C3835" s="36" t="inlineStr">
        <is>
          <t>Regionkontor Seksjon ØV - teknisk Statlige institusjoner</t>
        </is>
      </c>
      <c r="D3835" s="26" t="n"/>
      <c r="E3835" s="26" t="n"/>
      <c r="F3835" s="26" t="n">
        <v>44416</v>
      </c>
      <c r="G3835" s="26" t="n">
        <v>115384</v>
      </c>
      <c r="H3835" s="26" t="n">
        <v>14570</v>
      </c>
      <c r="I3835" s="26" t="n"/>
      <c r="J3835" s="19" t="n">
        <v>0</v>
      </c>
      <c r="K3835" s="37" t="n">
        <v>0.065</v>
      </c>
    </row>
    <row r="3836">
      <c r="A3836" s="34" t="inlineStr">
        <is>
          <t>Arbeidsgiveravgift</t>
        </is>
      </c>
      <c r="B3836" s="34" t="inlineStr">
        <is>
          <t>Region Øst</t>
        </is>
      </c>
      <c r="C3836" s="34" t="inlineStr">
        <is>
          <t>Regionkontor Stab</t>
        </is>
      </c>
      <c r="D3836" s="18" t="n"/>
      <c r="E3836" s="18" t="n"/>
      <c r="F3836" s="18" t="n"/>
      <c r="G3836" s="18" t="n"/>
      <c r="H3836" s="18" t="n"/>
      <c r="I3836" s="18" t="n">
        <v>9341</v>
      </c>
      <c r="J3836" s="19" t="n">
        <v>10594.795725</v>
      </c>
      <c r="K3836" s="35" t="n">
        <v>0.065</v>
      </c>
    </row>
    <row r="3837">
      <c r="A3837" s="36" t="inlineStr">
        <is>
          <t>Arbeidsgiveravgift</t>
        </is>
      </c>
      <c r="B3837" s="36" t="inlineStr">
        <is>
          <t>Region Øst</t>
        </is>
      </c>
      <c r="C3837" s="36" t="inlineStr">
        <is>
          <t>Sarpsborg ungdoms og familiesenter - avdeling for spesialiserte fosterhjem</t>
        </is>
      </c>
      <c r="D3837" s="26" t="n">
        <v>33177</v>
      </c>
      <c r="E3837" s="26" t="n">
        <v>38276</v>
      </c>
      <c r="F3837" s="26" t="n"/>
      <c r="G3837" s="26" t="n"/>
      <c r="H3837" s="26" t="n"/>
      <c r="I3837" s="26" t="n"/>
      <c r="J3837" s="19" t="n">
        <v>0</v>
      </c>
      <c r="K3837" s="37" t="n">
        <v>0.065</v>
      </c>
    </row>
    <row r="3838">
      <c r="A3838" s="34" t="inlineStr">
        <is>
          <t>Arbeidsgiveravgift</t>
        </is>
      </c>
      <c r="B3838" s="34" t="inlineStr">
        <is>
          <t>Region Øst</t>
        </is>
      </c>
      <c r="C3838" s="34" t="inlineStr">
        <is>
          <t>Sarpsborg ungdoms og familiesenter - behandling  Administrasjon</t>
        </is>
      </c>
      <c r="D3838" s="18" t="n">
        <v>265438</v>
      </c>
      <c r="E3838" s="18" t="n">
        <v>262359</v>
      </c>
      <c r="F3838" s="18" t="n">
        <v>257017</v>
      </c>
      <c r="G3838" s="18" t="n">
        <v>113317</v>
      </c>
      <c r="H3838" s="18" t="n"/>
      <c r="I3838" s="18" t="n"/>
      <c r="J3838" s="19" t="n">
        <v>0</v>
      </c>
      <c r="K3838" s="35" t="n">
        <v>0.065</v>
      </c>
    </row>
    <row r="3839">
      <c r="A3839" s="36" t="inlineStr">
        <is>
          <t>Arbeidsgiveravgift</t>
        </is>
      </c>
      <c r="B3839" s="36" t="inlineStr">
        <is>
          <t>Region Øst</t>
        </is>
      </c>
      <c r="C3839" s="36" t="inlineStr">
        <is>
          <t>Sarpsborg ungdoms og familiesenter - behandling  Avdeling Østheim</t>
        </is>
      </c>
      <c r="D3839" s="26" t="n">
        <v>1858736</v>
      </c>
      <c r="E3839" s="26" t="n">
        <v>1619383</v>
      </c>
      <c r="F3839" s="26" t="n">
        <v>1708607</v>
      </c>
      <c r="G3839" s="26" t="n">
        <v>1199548</v>
      </c>
      <c r="H3839" s="26" t="n">
        <v>-478</v>
      </c>
      <c r="I3839" s="26" t="n"/>
      <c r="J3839" s="19" t="n">
        <v>0</v>
      </c>
      <c r="K3839" s="37" t="n">
        <v>0.065</v>
      </c>
    </row>
    <row r="3840">
      <c r="A3840" s="34" t="inlineStr">
        <is>
          <t>Arbeidsgiveravgift</t>
        </is>
      </c>
      <c r="B3840" s="34" t="inlineStr">
        <is>
          <t>Region Øst</t>
        </is>
      </c>
      <c r="C3840" s="34" t="inlineStr">
        <is>
          <t>Sarpsborg ungdoms og familiesenter - behandling  Avdeling Østlund</t>
        </is>
      </c>
      <c r="D3840" s="18" t="n">
        <v>1464440</v>
      </c>
      <c r="E3840" s="18" t="n">
        <v>1456016</v>
      </c>
      <c r="F3840" s="18" t="n">
        <v>1568381</v>
      </c>
      <c r="G3840" s="18" t="n">
        <v>887692</v>
      </c>
      <c r="H3840" s="18" t="n">
        <v>12</v>
      </c>
      <c r="I3840" s="18" t="n"/>
      <c r="J3840" s="19" t="n">
        <v>0</v>
      </c>
      <c r="K3840" s="35" t="n">
        <v>0.065</v>
      </c>
    </row>
    <row r="3841">
      <c r="A3841" s="36" t="inlineStr">
        <is>
          <t>Arbeidsgiveravgift</t>
        </is>
      </c>
      <c r="B3841" s="36" t="inlineStr">
        <is>
          <t>Region Øst</t>
        </is>
      </c>
      <c r="C3841" s="36" t="inlineStr">
        <is>
          <t>Seljelia barne- og  familiesenter  Avdeling for beredskapshjem</t>
        </is>
      </c>
      <c r="D3841" s="26" t="n">
        <v>2298</v>
      </c>
      <c r="E3841" s="26" t="n"/>
      <c r="F3841" s="26" t="n"/>
      <c r="G3841" s="26" t="n"/>
      <c r="H3841" s="26" t="n"/>
      <c r="I3841" s="26" t="n"/>
      <c r="J3841" s="19" t="n">
        <v>0</v>
      </c>
      <c r="K3841" s="37" t="n">
        <v>0.065</v>
      </c>
    </row>
    <row r="3842">
      <c r="A3842" s="34" t="inlineStr">
        <is>
          <t>Arbeidsgiveravgift</t>
        </is>
      </c>
      <c r="B3842" s="34" t="inlineStr">
        <is>
          <t>Region Øst</t>
        </is>
      </c>
      <c r="C3842" s="34" t="inlineStr">
        <is>
          <t>Seljelia barne- og  familiesenter  Foreldre- og barn avdeling</t>
        </is>
      </c>
      <c r="D3842" s="18" t="n">
        <v>12908</v>
      </c>
      <c r="E3842" s="18" t="n"/>
      <c r="F3842" s="18" t="n"/>
      <c r="G3842" s="18" t="n"/>
      <c r="H3842" s="18" t="n"/>
      <c r="I3842" s="18" t="n"/>
      <c r="J3842" s="19" t="n">
        <v>0</v>
      </c>
      <c r="K3842" s="35" t="n">
        <v>0.065</v>
      </c>
    </row>
    <row r="3843">
      <c r="A3843" s="36" t="inlineStr">
        <is>
          <t>Arbeidsgiveravgift</t>
        </is>
      </c>
      <c r="B3843" s="36" t="inlineStr">
        <is>
          <t>Region Øst</t>
        </is>
      </c>
      <c r="C3843" s="36" t="inlineStr">
        <is>
          <t>Seljelia barne- og familiesenter Foreldre- og barn avdeling</t>
        </is>
      </c>
      <c r="D3843" s="26" t="n">
        <v>1361</v>
      </c>
      <c r="E3843" s="26" t="n">
        <v>5983</v>
      </c>
      <c r="F3843" s="26" t="n"/>
      <c r="G3843" s="26" t="n"/>
      <c r="H3843" s="26" t="n"/>
      <c r="I3843" s="26" t="n"/>
      <c r="J3843" s="19" t="n">
        <v>0</v>
      </c>
      <c r="K3843" s="37" t="n">
        <v>0.065</v>
      </c>
    </row>
    <row r="3844">
      <c r="A3844" s="34" t="inlineStr">
        <is>
          <t>Arbeidsgiveravgift</t>
        </is>
      </c>
      <c r="B3844" s="34" t="inlineStr">
        <is>
          <t>Region Øst</t>
        </is>
      </c>
      <c r="C3844" s="34" t="inlineStr">
        <is>
          <t>Spisskompetansemiljø for trygghet og sikkerhet i institusjon for barn og ansatte</t>
        </is>
      </c>
      <c r="D3844" s="18" t="n">
        <v>844365</v>
      </c>
      <c r="E3844" s="18" t="n">
        <v>963014</v>
      </c>
      <c r="F3844" s="18" t="n">
        <v>966487</v>
      </c>
      <c r="G3844" s="18" t="n">
        <v>976845</v>
      </c>
      <c r="H3844" s="18" t="n">
        <v>1201845</v>
      </c>
      <c r="I3844" s="18" t="n">
        <v>1304404</v>
      </c>
      <c r="J3844" s="19" t="n">
        <v>1552261.483844409</v>
      </c>
      <c r="K3844" s="35" t="n">
        <v>0.09087849350717692</v>
      </c>
    </row>
    <row r="3845">
      <c r="A3845" s="36" t="inlineStr">
        <is>
          <t>Arbeidsgiveravgift</t>
        </is>
      </c>
      <c r="B3845" s="36" t="inlineStr">
        <is>
          <t>Region Øst</t>
        </is>
      </c>
      <c r="C3845" s="36" t="inlineStr">
        <is>
          <t>Støttespillerne - Ambulant team</t>
        </is>
      </c>
      <c r="D3845" s="26" t="n"/>
      <c r="E3845" s="26" t="n">
        <v>320553</v>
      </c>
      <c r="F3845" s="26" t="n">
        <v>253433</v>
      </c>
      <c r="G3845" s="26" t="n">
        <v>-12383</v>
      </c>
      <c r="H3845" s="26" t="n"/>
      <c r="I3845" s="26" t="n"/>
      <c r="J3845" s="19" t="n">
        <v>0</v>
      </c>
      <c r="K3845" s="37" t="n">
        <v>0.065</v>
      </c>
    </row>
    <row r="3846">
      <c r="A3846" s="34" t="inlineStr">
        <is>
          <t>Arbeidsgiveravgift</t>
        </is>
      </c>
      <c r="B3846" s="34" t="inlineStr">
        <is>
          <t>Region Øst</t>
        </is>
      </c>
      <c r="C3846" s="34" t="inlineStr">
        <is>
          <t>Støttespillerne - Huset</t>
        </is>
      </c>
      <c r="D3846" s="18" t="n"/>
      <c r="E3846" s="18" t="n">
        <v>1394209</v>
      </c>
      <c r="F3846" s="18" t="n">
        <v>2228140</v>
      </c>
      <c r="G3846" s="18" t="n">
        <v>1309858</v>
      </c>
      <c r="H3846" s="18" t="n">
        <v>-711</v>
      </c>
      <c r="I3846" s="18" t="n"/>
      <c r="J3846" s="19" t="n">
        <v>0</v>
      </c>
      <c r="K3846" s="35" t="n">
        <v>0.065</v>
      </c>
    </row>
    <row r="3847">
      <c r="A3847" s="36" t="inlineStr">
        <is>
          <t>Arbeidsgiveravgift</t>
        </is>
      </c>
      <c r="B3847" s="36" t="inlineStr">
        <is>
          <t>Region Øst</t>
        </is>
      </c>
      <c r="C3847" s="36" t="inlineStr">
        <is>
          <t>TFCO Lillestrøm</t>
        </is>
      </c>
      <c r="D3847" s="26" t="n">
        <v>456882</v>
      </c>
      <c r="E3847" s="26" t="n">
        <v>878594</v>
      </c>
      <c r="F3847" s="26" t="n">
        <v>873143</v>
      </c>
      <c r="G3847" s="26" t="n">
        <v>1119180</v>
      </c>
      <c r="H3847" s="26" t="n">
        <v>126780</v>
      </c>
      <c r="I3847" s="26" t="n">
        <v>504</v>
      </c>
      <c r="J3847" s="19" t="n">
        <v>283.5</v>
      </c>
      <c r="K3847" s="37" t="n">
        <v>-0.25</v>
      </c>
    </row>
    <row r="3848">
      <c r="A3848" s="34" t="inlineStr">
        <is>
          <t>Arbeidsgiveravgift</t>
        </is>
      </c>
      <c r="B3848" s="34" t="inlineStr">
        <is>
          <t>Region Øst</t>
        </is>
      </c>
      <c r="C3848" s="34" t="inlineStr">
        <is>
          <t>TFCO Sandvika</t>
        </is>
      </c>
      <c r="D3848" s="18" t="n">
        <v>874476</v>
      </c>
      <c r="E3848" s="18" t="n">
        <v>716129</v>
      </c>
      <c r="F3848" s="18" t="n">
        <v>594171</v>
      </c>
      <c r="G3848" s="18" t="n">
        <v>-7592</v>
      </c>
      <c r="H3848" s="18" t="n"/>
      <c r="I3848" s="18" t="n"/>
      <c r="J3848" s="19" t="n">
        <v>0</v>
      </c>
      <c r="K3848" s="35" t="n">
        <v>0.065</v>
      </c>
    </row>
    <row r="3849">
      <c r="A3849" s="36" t="inlineStr">
        <is>
          <t>Arbeidsgiveravgift</t>
        </is>
      </c>
      <c r="B3849" s="36" t="inlineStr">
        <is>
          <t>Region Øst</t>
        </is>
      </c>
      <c r="C3849" s="36" t="inlineStr">
        <is>
          <t>Ås ungdomssenter  - MulitifunC-behandling  Avdeling Institusjon</t>
        </is>
      </c>
      <c r="D3849" s="26" t="n">
        <v>2608269</v>
      </c>
      <c r="E3849" s="26" t="n">
        <v>2566656</v>
      </c>
      <c r="F3849" s="26" t="n">
        <v>2398469</v>
      </c>
      <c r="G3849" s="26" t="n">
        <v>1280624</v>
      </c>
      <c r="H3849" s="26" t="n">
        <v>-4457</v>
      </c>
      <c r="I3849" s="26" t="n"/>
      <c r="J3849" s="19" t="n">
        <v>0</v>
      </c>
      <c r="K3849" s="37" t="n">
        <v>0.065</v>
      </c>
    </row>
    <row r="3850">
      <c r="A3850" s="34" t="inlineStr">
        <is>
          <t>Arbeidsgiveravgift</t>
        </is>
      </c>
      <c r="B3850" s="34" t="inlineStr">
        <is>
          <t>Region Øst</t>
        </is>
      </c>
      <c r="C3850" s="34" t="inlineStr">
        <is>
          <t>Ås ungdomssenter  - MulitifunC-behandling  Avdeling Oppfølging</t>
        </is>
      </c>
      <c r="D3850" s="18" t="n">
        <v>62395</v>
      </c>
      <c r="E3850" s="18" t="n">
        <v>23685</v>
      </c>
      <c r="F3850" s="18" t="n">
        <v>125</v>
      </c>
      <c r="G3850" s="18" t="n">
        <v>24</v>
      </c>
      <c r="H3850" s="18" t="n"/>
      <c r="I3850" s="18" t="n"/>
      <c r="J3850" s="19" t="n">
        <v>0</v>
      </c>
      <c r="K3850" s="35" t="n">
        <v>0.065</v>
      </c>
    </row>
    <row r="3851">
      <c r="A3851" s="36" t="inlineStr">
        <is>
          <t>Arbeidsgiveravgift</t>
        </is>
      </c>
      <c r="B3851" s="36" t="inlineStr">
        <is>
          <t>Region Øst</t>
        </is>
      </c>
      <c r="C3851" s="36" t="inlineStr">
        <is>
          <t>Ås ungdomssenter - Administrasjon</t>
        </is>
      </c>
      <c r="D3851" s="26" t="n">
        <v>268087</v>
      </c>
      <c r="E3851" s="26" t="n">
        <v>655668</v>
      </c>
      <c r="F3851" s="26" t="n">
        <v>571867</v>
      </c>
      <c r="G3851" s="26" t="n">
        <v>250436</v>
      </c>
      <c r="H3851" s="26" t="n"/>
      <c r="I3851" s="26" t="n"/>
      <c r="J3851" s="19" t="n">
        <v>0</v>
      </c>
      <c r="K3851" s="37" t="n">
        <v>0.065</v>
      </c>
    </row>
    <row r="3852">
      <c r="A3852" s="34" t="inlineStr">
        <is>
          <t>Arbeidsgiveravgift</t>
        </is>
      </c>
      <c r="B3852" s="34" t="inlineStr">
        <is>
          <t>Region Øst</t>
        </is>
      </c>
      <c r="C3852" s="34" t="inlineStr">
        <is>
          <t>Østfold ungdoms - og familiesenter - omsorg  Administrasjon</t>
        </is>
      </c>
      <c r="D3852" s="18" t="n">
        <v>417445</v>
      </c>
      <c r="E3852" s="18" t="n">
        <v>372895</v>
      </c>
      <c r="F3852" s="18" t="n">
        <v>295219</v>
      </c>
      <c r="G3852" s="18" t="n">
        <v>353283</v>
      </c>
      <c r="H3852" s="18" t="n">
        <v>377825</v>
      </c>
      <c r="I3852" s="18" t="n">
        <v>390837</v>
      </c>
      <c r="J3852" s="19" t="n">
        <v>380674.8927329674</v>
      </c>
      <c r="K3852" s="35" t="n">
        <v>-0.01308606424073755</v>
      </c>
    </row>
    <row r="3853">
      <c r="A3853" s="36" t="inlineStr">
        <is>
          <t>Arbeidsgiveravgift</t>
        </is>
      </c>
      <c r="B3853" s="36" t="inlineStr">
        <is>
          <t>Region Øst</t>
        </is>
      </c>
      <c r="C3853" s="36" t="inlineStr">
        <is>
          <t>Østfold ungdoms - og familiesenter - omsorg  avdeling Eika</t>
        </is>
      </c>
      <c r="D3853" s="26" t="n">
        <v>66664</v>
      </c>
      <c r="E3853" s="26" t="n"/>
      <c r="F3853" s="26" t="n">
        <v>24464</v>
      </c>
      <c r="G3853" s="26" t="n"/>
      <c r="H3853" s="26" t="n"/>
      <c r="I3853" s="26" t="n"/>
      <c r="J3853" s="19" t="n">
        <v>0</v>
      </c>
      <c r="K3853" s="37" t="n">
        <v>0.065</v>
      </c>
    </row>
    <row r="3854">
      <c r="A3854" s="34" t="inlineStr">
        <is>
          <t>Arbeidsgiveravgift</t>
        </is>
      </c>
      <c r="B3854" s="34" t="inlineStr">
        <is>
          <t>Region Øst</t>
        </is>
      </c>
      <c r="C3854" s="34" t="inlineStr">
        <is>
          <t>Østfold ungdoms - og familiesenter - omsorg, avdeling Kurland ungdomshjem</t>
        </is>
      </c>
      <c r="D3854" s="18" t="n">
        <v>1255758</v>
      </c>
      <c r="E3854" s="18" t="n">
        <v>187820</v>
      </c>
      <c r="F3854" s="18" t="n">
        <v>518349</v>
      </c>
      <c r="G3854" s="18" t="n">
        <v>2109237</v>
      </c>
      <c r="H3854" s="18" t="n">
        <v>2092916</v>
      </c>
      <c r="I3854" s="18" t="n">
        <v>2180222</v>
      </c>
      <c r="J3854" s="19" t="n">
        <v>2718558.126873845</v>
      </c>
      <c r="K3854" s="35" t="n">
        <v>0.1166548404055732</v>
      </c>
    </row>
    <row r="3855">
      <c r="A3855" s="36" t="inlineStr">
        <is>
          <t>Arbeidsgiveravgift</t>
        </is>
      </c>
      <c r="B3855" s="36" t="inlineStr">
        <is>
          <t>Region Øst</t>
        </is>
      </c>
      <c r="C3855" s="36" t="inlineStr">
        <is>
          <t>Østfold ungdoms- og familiesenter - avdeling Fossen</t>
        </is>
      </c>
      <c r="D3855" s="26" t="n"/>
      <c r="E3855" s="26" t="n"/>
      <c r="F3855" s="26" t="n"/>
      <c r="G3855" s="26" t="n">
        <v>17408</v>
      </c>
      <c r="H3855" s="26" t="n">
        <v>1122893</v>
      </c>
      <c r="I3855" s="26" t="n">
        <v>1806811</v>
      </c>
      <c r="J3855" s="19" t="n">
        <v>2049330.206475</v>
      </c>
      <c r="K3855" s="37" t="n">
        <v>0.065</v>
      </c>
    </row>
    <row r="3856">
      <c r="A3856" s="34" t="inlineStr">
        <is>
          <t>Arbeidsgiveravgift</t>
        </is>
      </c>
      <c r="B3856" s="34" t="inlineStr">
        <is>
          <t>Region Øst</t>
        </is>
      </c>
      <c r="C3856" s="34" t="inlineStr">
        <is>
          <t>Østfold ungdoms- og familiesenter - omsorg, avdeling Alfheim ungdomshjem</t>
        </is>
      </c>
      <c r="D3856" s="18" t="n">
        <v>1380718</v>
      </c>
      <c r="E3856" s="18" t="n">
        <v>1438942</v>
      </c>
      <c r="F3856" s="18" t="n">
        <v>1467172</v>
      </c>
      <c r="G3856" s="18" t="n">
        <v>1710707</v>
      </c>
      <c r="H3856" s="18" t="n">
        <v>1878547</v>
      </c>
      <c r="I3856" s="18" t="n">
        <v>2022407</v>
      </c>
      <c r="J3856" s="19" t="n">
        <v>2355992.96358219</v>
      </c>
      <c r="K3856" s="35" t="n">
        <v>0.07932618807135849</v>
      </c>
    </row>
    <row r="3857">
      <c r="A3857" s="36" t="inlineStr">
        <is>
          <t>Arbeidsgiveravgift</t>
        </is>
      </c>
      <c r="B3857" s="36" t="inlineStr">
        <is>
          <t>Region Øst</t>
        </is>
      </c>
      <c r="C3857" s="36" t="inlineStr">
        <is>
          <t>Østfold ungdoms- og familiesenter - omsorg, avdeling Dal</t>
        </is>
      </c>
      <c r="D3857" s="26" t="n">
        <v>55228</v>
      </c>
      <c r="E3857" s="26" t="n">
        <v>978123</v>
      </c>
      <c r="F3857" s="26" t="n">
        <v>1079664</v>
      </c>
      <c r="G3857" s="26" t="n">
        <v>1624577</v>
      </c>
      <c r="H3857" s="26" t="n">
        <v>2064835</v>
      </c>
      <c r="I3857" s="26" t="n">
        <v>1931043</v>
      </c>
      <c r="J3857" s="19" t="n">
        <v>3017254.6875</v>
      </c>
      <c r="K3857" s="37" t="n">
        <v>0.25</v>
      </c>
    </row>
    <row r="3858">
      <c r="A3858" s="34" t="inlineStr">
        <is>
          <t>Arbeidsgiveravgift</t>
        </is>
      </c>
      <c r="B3858" s="34" t="inlineStr">
        <is>
          <t>Region Øst</t>
        </is>
      </c>
      <c r="C3858" s="34" t="inlineStr">
        <is>
          <t>Østfold ungdoms- og familiesenter - omsorg, avdeling Rokkeveien ungdomshjem</t>
        </is>
      </c>
      <c r="D3858" s="18" t="n">
        <v>1237767</v>
      </c>
      <c r="E3858" s="18" t="n">
        <v>1273168</v>
      </c>
      <c r="F3858" s="18" t="n">
        <v>1510146</v>
      </c>
      <c r="G3858" s="18" t="n">
        <v>1593310</v>
      </c>
      <c r="H3858" s="18" t="n">
        <v>1876409</v>
      </c>
      <c r="I3858" s="18" t="n">
        <v>1931169</v>
      </c>
      <c r="J3858" s="19" t="n">
        <v>2307240.327064456</v>
      </c>
      <c r="K3858" s="35" t="n">
        <v>0.09304055614591999</v>
      </c>
    </row>
    <row r="3859">
      <c r="A3859" s="36" t="inlineStr">
        <is>
          <t>Arbeidsgiveravgift</t>
        </is>
      </c>
      <c r="B3859" s="36" t="inlineStr">
        <is>
          <t>Region Øst</t>
        </is>
      </c>
      <c r="C3859" s="36" t="inlineStr">
        <is>
          <t>Østfold ungdoms- og familiesenter - omsorg, avdeling Tune ungdomshjem</t>
        </is>
      </c>
      <c r="D3859" s="26" t="n">
        <v>1328711</v>
      </c>
      <c r="E3859" s="26" t="n">
        <v>1581149</v>
      </c>
      <c r="F3859" s="26" t="n">
        <v>1594905</v>
      </c>
      <c r="G3859" s="26" t="n">
        <v>1661391</v>
      </c>
      <c r="H3859" s="26" t="n">
        <v>1799397</v>
      </c>
      <c r="I3859" s="26" t="n">
        <v>1826172</v>
      </c>
      <c r="J3859" s="19" t="n">
        <v>2073892.014257489</v>
      </c>
      <c r="K3859" s="37" t="n">
        <v>0.06566874819294832</v>
      </c>
    </row>
    <row r="3860">
      <c r="A3860" s="34" t="inlineStr">
        <is>
          <t>Faste stillinger</t>
        </is>
      </c>
      <c r="B3860" s="34" t="inlineStr">
        <is>
          <t>Region Midt-Norge</t>
        </is>
      </c>
      <c r="C3860" s="34" t="inlineStr">
        <is>
          <t>Avdeling for tjenestestøtte barnevern</t>
        </is>
      </c>
      <c r="D3860" s="18" t="n"/>
      <c r="E3860" s="18" t="n"/>
      <c r="F3860" s="18" t="n"/>
      <c r="G3860" s="18" t="n">
        <v>3248307</v>
      </c>
      <c r="H3860" s="18" t="n">
        <v>3647853</v>
      </c>
      <c r="I3860" s="18" t="n">
        <v>3787854</v>
      </c>
      <c r="J3860" s="19" t="n">
        <v>4296278.703149999</v>
      </c>
      <c r="K3860" s="35" t="n">
        <v>0.065</v>
      </c>
    </row>
    <row r="3861">
      <c r="A3861" s="36" t="inlineStr">
        <is>
          <t>Faste stillinger</t>
        </is>
      </c>
      <c r="B3861" s="36" t="inlineStr">
        <is>
          <t>Region Midt-Norge</t>
        </is>
      </c>
      <c r="C3861" s="36" t="inlineStr">
        <is>
          <t>Buvika ungdomssenter</t>
        </is>
      </c>
      <c r="D3861" s="26" t="n">
        <v>2332604</v>
      </c>
      <c r="E3861" s="26" t="n">
        <v>9660813</v>
      </c>
      <c r="F3861" s="26" t="n">
        <v>10184625</v>
      </c>
      <c r="G3861" s="26" t="n">
        <v>10973102</v>
      </c>
      <c r="H3861" s="26" t="n">
        <v>11718210</v>
      </c>
      <c r="I3861" s="26" t="n">
        <v>14772424</v>
      </c>
      <c r="J3861" s="19" t="n">
        <v>23081912.5</v>
      </c>
      <c r="K3861" s="37" t="n">
        <v>0.25</v>
      </c>
    </row>
    <row r="3862">
      <c r="A3862" s="34" t="inlineStr">
        <is>
          <t>Faste stillinger</t>
        </is>
      </c>
      <c r="B3862" s="34" t="inlineStr">
        <is>
          <t>Region Midt-Norge</t>
        </is>
      </c>
      <c r="C3862" s="34" t="inlineStr">
        <is>
          <t>Clausenengen ungdomshjem</t>
        </is>
      </c>
      <c r="D3862" s="18" t="n">
        <v>7302234</v>
      </c>
      <c r="E3862" s="18" t="n">
        <v>8050990</v>
      </c>
      <c r="F3862" s="18" t="n">
        <v>8498619</v>
      </c>
      <c r="G3862" s="18" t="n">
        <v>9227111</v>
      </c>
      <c r="H3862" s="18" t="n">
        <v>10030837</v>
      </c>
      <c r="I3862" s="18" t="n">
        <v>10856221</v>
      </c>
      <c r="J3862" s="19" t="n">
        <v>12722364.89602684</v>
      </c>
      <c r="K3862" s="35" t="n">
        <v>0.08254157887096802</v>
      </c>
    </row>
    <row r="3863">
      <c r="A3863" s="36" t="inlineStr">
        <is>
          <t>Faste stillinger</t>
        </is>
      </c>
      <c r="B3863" s="36" t="inlineStr">
        <is>
          <t>Region Midt-Norge</t>
        </is>
      </c>
      <c r="C3863" s="36" t="inlineStr">
        <is>
          <t>Gilantunet ungdomshjem</t>
        </is>
      </c>
      <c r="D3863" s="26" t="n">
        <v>14170755</v>
      </c>
      <c r="E3863" s="26" t="n">
        <v>15109375</v>
      </c>
      <c r="F3863" s="26" t="n">
        <v>15115990</v>
      </c>
      <c r="G3863" s="26" t="n">
        <v>15697295</v>
      </c>
      <c r="H3863" s="26" t="n">
        <v>17224739</v>
      </c>
      <c r="I3863" s="26" t="n">
        <v>17460264</v>
      </c>
      <c r="J3863" s="19" t="n">
        <v>18980774.62896222</v>
      </c>
      <c r="K3863" s="37" t="n">
        <v>0.04263323235133165</v>
      </c>
    </row>
    <row r="3864">
      <c r="A3864" s="34" t="inlineStr">
        <is>
          <t>Faste stillinger</t>
        </is>
      </c>
      <c r="B3864" s="34" t="inlineStr">
        <is>
          <t>Region Midt-Norge</t>
        </is>
      </c>
      <c r="C3864" s="34" t="inlineStr">
        <is>
          <t>Humla Akuttsenter</t>
        </is>
      </c>
      <c r="D3864" s="18" t="n">
        <v>6845946</v>
      </c>
      <c r="E3864" s="18" t="n">
        <v>7228656</v>
      </c>
      <c r="F3864" s="18" t="n">
        <v>7450144</v>
      </c>
      <c r="G3864" s="18" t="n">
        <v>8072986</v>
      </c>
      <c r="H3864" s="18" t="n">
        <v>9782167</v>
      </c>
      <c r="I3864" s="18" t="n">
        <v>9922767</v>
      </c>
      <c r="J3864" s="19" t="n">
        <v>11510985.94000529</v>
      </c>
      <c r="K3864" s="35" t="n">
        <v>0.07705991964068248</v>
      </c>
    </row>
    <row r="3865">
      <c r="A3865" s="36" t="inlineStr">
        <is>
          <t>Faste stillinger</t>
        </is>
      </c>
      <c r="B3865" s="36" t="inlineStr">
        <is>
          <t>Region Midt-Norge</t>
        </is>
      </c>
      <c r="C3865" s="36" t="inlineStr">
        <is>
          <t>Husafjellheimen ungdomsheim</t>
        </is>
      </c>
      <c r="D3865" s="26" t="n">
        <v>9329610</v>
      </c>
      <c r="E3865" s="26" t="n">
        <v>9459573</v>
      </c>
      <c r="F3865" s="26" t="n">
        <v>9677785</v>
      </c>
      <c r="G3865" s="26" t="n">
        <v>11060987</v>
      </c>
      <c r="H3865" s="26" t="n">
        <v>11786166</v>
      </c>
      <c r="I3865" s="26" t="n">
        <v>12028950</v>
      </c>
      <c r="J3865" s="19" t="n">
        <v>13315988.50942538</v>
      </c>
      <c r="K3865" s="37" t="n">
        <v>0.05213833856574523</v>
      </c>
    </row>
    <row r="3866">
      <c r="A3866" s="34" t="inlineStr">
        <is>
          <t>Faste stillinger</t>
        </is>
      </c>
      <c r="B3866" s="34" t="inlineStr">
        <is>
          <t>Region Midt-Norge</t>
        </is>
      </c>
      <c r="C3866" s="34" t="inlineStr">
        <is>
          <t>Karienborg ungdomsheim</t>
        </is>
      </c>
      <c r="D3866" s="18" t="n">
        <v>8504932</v>
      </c>
      <c r="E3866" s="18" t="n">
        <v>7488201</v>
      </c>
      <c r="F3866" s="18" t="n">
        <v>7710272</v>
      </c>
      <c r="G3866" s="18" t="n">
        <v>7680092</v>
      </c>
      <c r="H3866" s="18" t="n">
        <v>10134756</v>
      </c>
      <c r="I3866" s="18" t="n">
        <v>11623110</v>
      </c>
      <c r="J3866" s="19" t="n">
        <v>13169914.29903313</v>
      </c>
      <c r="K3866" s="35" t="n">
        <v>0.0644623387274732</v>
      </c>
    </row>
    <row r="3867">
      <c r="A3867" s="36" t="inlineStr">
        <is>
          <t>Faste stillinger</t>
        </is>
      </c>
      <c r="B3867" s="36" t="inlineStr">
        <is>
          <t>Region Midt-Norge</t>
        </is>
      </c>
      <c r="C3867" s="36" t="inlineStr">
        <is>
          <t>Kollen ungdomsbase</t>
        </is>
      </c>
      <c r="D3867" s="26" t="n">
        <v>15287598</v>
      </c>
      <c r="E3867" s="26" t="n">
        <v>15665871</v>
      </c>
      <c r="F3867" s="26" t="n">
        <v>15937592</v>
      </c>
      <c r="G3867" s="26" t="n">
        <v>17615401</v>
      </c>
      <c r="H3867" s="26" t="n">
        <v>19535412</v>
      </c>
      <c r="I3867" s="26" t="n">
        <v>19764999</v>
      </c>
      <c r="J3867" s="19" t="n">
        <v>21903817.57299361</v>
      </c>
      <c r="K3867" s="37" t="n">
        <v>0.05271669033702664</v>
      </c>
    </row>
    <row r="3868">
      <c r="A3868" s="34" t="inlineStr">
        <is>
          <t>Faste stillinger</t>
        </is>
      </c>
      <c r="B3868" s="34" t="inlineStr">
        <is>
          <t>Region Midt-Norge</t>
        </is>
      </c>
      <c r="C3868" s="34" t="inlineStr">
        <is>
          <t>Kvammen akuttsenter</t>
        </is>
      </c>
      <c r="D3868" s="18" t="n">
        <v>10983427</v>
      </c>
      <c r="E3868" s="18" t="n">
        <v>11326275</v>
      </c>
      <c r="F3868" s="18" t="n">
        <v>12721534</v>
      </c>
      <c r="G3868" s="18" t="n">
        <v>11850604</v>
      </c>
      <c r="H3868" s="18" t="n">
        <v>-22990</v>
      </c>
      <c r="I3868" s="18" t="n">
        <v>10639</v>
      </c>
      <c r="J3868" s="19" t="n">
        <v>5984.4375</v>
      </c>
      <c r="K3868" s="35" t="n">
        <v>-0.25</v>
      </c>
    </row>
    <row r="3869">
      <c r="A3869" s="36" t="inlineStr">
        <is>
          <t>Faste stillinger</t>
        </is>
      </c>
      <c r="B3869" s="36" t="inlineStr">
        <is>
          <t>Region Midt-Norge</t>
        </is>
      </c>
      <c r="C3869" s="36" t="inlineStr">
        <is>
          <t>Kvammen akuttsenter, avdeling Fannrem</t>
        </is>
      </c>
      <c r="D3869" s="26" t="n"/>
      <c r="E3869" s="26" t="n"/>
      <c r="F3869" s="26" t="n"/>
      <c r="G3869" s="26" t="n"/>
      <c r="H3869" s="26" t="n">
        <v>6048036</v>
      </c>
      <c r="I3869" s="26" t="n">
        <v>13028118</v>
      </c>
      <c r="J3869" s="19" t="n">
        <v>14776817.13855</v>
      </c>
      <c r="K3869" s="37" t="n">
        <v>0.065</v>
      </c>
    </row>
    <row r="3870">
      <c r="A3870" s="34" t="inlineStr">
        <is>
          <t>Faste stillinger</t>
        </is>
      </c>
      <c r="B3870" s="34" t="inlineStr">
        <is>
          <t>Region Midt-Norge</t>
        </is>
      </c>
      <c r="C3870" s="34" t="inlineStr">
        <is>
          <t>Kvammen akuttsenter, avdeling Melhus</t>
        </is>
      </c>
      <c r="D3870" s="18" t="n"/>
      <c r="E3870" s="18" t="n"/>
      <c r="F3870" s="18" t="n"/>
      <c r="G3870" s="18" t="n"/>
      <c r="H3870" s="18" t="n">
        <v>12395649</v>
      </c>
      <c r="I3870" s="18" t="n">
        <v>13732536</v>
      </c>
      <c r="J3870" s="19" t="n">
        <v>15575785.6446</v>
      </c>
      <c r="K3870" s="35" t="n">
        <v>0.065</v>
      </c>
    </row>
    <row r="3871">
      <c r="A3871" s="36" t="inlineStr">
        <is>
          <t>Faste stillinger</t>
        </is>
      </c>
      <c r="B3871" s="36" t="inlineStr">
        <is>
          <t>Region Midt-Norge</t>
        </is>
      </c>
      <c r="C3871" s="36" t="inlineStr">
        <is>
          <t>Kvammen, avdelig enetiltak</t>
        </is>
      </c>
      <c r="D3871" s="26" t="n"/>
      <c r="E3871" s="26" t="n"/>
      <c r="F3871" s="26" t="n"/>
      <c r="G3871" s="26" t="n"/>
      <c r="H3871" s="26" t="n"/>
      <c r="I3871" s="26" t="n">
        <v>2914874</v>
      </c>
      <c r="J3871" s="19" t="n">
        <v>3306122.96265</v>
      </c>
      <c r="K3871" s="37" t="n">
        <v>0.065</v>
      </c>
    </row>
    <row r="3872">
      <c r="A3872" s="34" t="inlineStr">
        <is>
          <t>Faste stillinger</t>
        </is>
      </c>
      <c r="B3872" s="34" t="inlineStr">
        <is>
          <t>Region Midt-Norge</t>
        </is>
      </c>
      <c r="C3872" s="34" t="inlineStr">
        <is>
          <t>Moholt ungdomssenter</t>
        </is>
      </c>
      <c r="D3872" s="18" t="n"/>
      <c r="E3872" s="18" t="n"/>
      <c r="F3872" s="18" t="n">
        <v>7886507</v>
      </c>
      <c r="G3872" s="18" t="n">
        <v>11627916</v>
      </c>
      <c r="H3872" s="18" t="n">
        <v>13954652</v>
      </c>
      <c r="I3872" s="18" t="n">
        <v>13860701</v>
      </c>
      <c r="J3872" s="19" t="n">
        <v>15721153.591725</v>
      </c>
      <c r="K3872" s="35" t="n">
        <v>0.065</v>
      </c>
    </row>
    <row r="3873">
      <c r="A3873" s="36" t="inlineStr">
        <is>
          <t>Faste stillinger</t>
        </is>
      </c>
      <c r="B3873" s="36" t="inlineStr">
        <is>
          <t>Region Midt-Norge</t>
        </is>
      </c>
      <c r="C3873" s="36" t="inlineStr">
        <is>
          <t>NABE, avdeling implementering og kvalitetssikring</t>
        </is>
      </c>
      <c r="D3873" s="26" t="n"/>
      <c r="E3873" s="26" t="n"/>
      <c r="F3873" s="26" t="n"/>
      <c r="G3873" s="26" t="n"/>
      <c r="H3873" s="26" t="n"/>
      <c r="I3873" s="26" t="n">
        <v>379098</v>
      </c>
      <c r="J3873" s="19" t="n">
        <v>429982.4290499999</v>
      </c>
      <c r="K3873" s="37" t="n">
        <v>0.065</v>
      </c>
    </row>
    <row r="3874">
      <c r="A3874" s="34" t="inlineStr">
        <is>
          <t>Faste stillinger</t>
        </is>
      </c>
      <c r="B3874" s="34" t="inlineStr">
        <is>
          <t>Region Midt-Norge</t>
        </is>
      </c>
      <c r="C3874" s="34" t="inlineStr">
        <is>
          <t>Orkdal barnevernsenter</t>
        </is>
      </c>
      <c r="D3874" s="18" t="n">
        <v>7250629</v>
      </c>
      <c r="E3874" s="18" t="n">
        <v>8266535</v>
      </c>
      <c r="F3874" s="18" t="n">
        <v>6926815</v>
      </c>
      <c r="G3874" s="18" t="n">
        <v>8074483</v>
      </c>
      <c r="H3874" s="18" t="n"/>
      <c r="I3874" s="18" t="n"/>
      <c r="J3874" s="19" t="n">
        <v>0</v>
      </c>
      <c r="K3874" s="35" t="n">
        <v>0.065</v>
      </c>
    </row>
    <row r="3875">
      <c r="A3875" s="36" t="inlineStr">
        <is>
          <t>Faste stillinger</t>
        </is>
      </c>
      <c r="B3875" s="36" t="inlineStr">
        <is>
          <t>Region Midt-Norge</t>
        </is>
      </c>
      <c r="C3875" s="36" t="inlineStr">
        <is>
          <t>Ranheim Vestre</t>
        </is>
      </c>
      <c r="D3875" s="26" t="n">
        <v>10098172</v>
      </c>
      <c r="E3875" s="26" t="n">
        <v>9461086</v>
      </c>
      <c r="F3875" s="26" t="n">
        <v>10299182</v>
      </c>
      <c r="G3875" s="26" t="n">
        <v>11558274</v>
      </c>
      <c r="H3875" s="26" t="n">
        <v>14156632</v>
      </c>
      <c r="I3875" s="26" t="n">
        <v>16466362</v>
      </c>
      <c r="J3875" s="19" t="n">
        <v>20023482.69837528</v>
      </c>
      <c r="K3875" s="37" t="n">
        <v>0.1027345430707112</v>
      </c>
    </row>
    <row r="3876">
      <c r="A3876" s="34" t="inlineStr">
        <is>
          <t>Faste stillinger</t>
        </is>
      </c>
      <c r="B3876" s="34" t="inlineStr">
        <is>
          <t>Region Midt-Norge</t>
        </is>
      </c>
      <c r="C3876" s="34" t="inlineStr">
        <is>
          <t>Ranheim Vestre, familiehjem</t>
        </is>
      </c>
      <c r="D3876" s="18" t="n"/>
      <c r="E3876" s="18" t="n"/>
      <c r="F3876" s="18" t="n"/>
      <c r="G3876" s="18" t="n"/>
      <c r="H3876" s="18" t="n"/>
      <c r="I3876" s="18" t="n">
        <v>10388</v>
      </c>
      <c r="J3876" s="19" t="n">
        <v>11782.3293</v>
      </c>
      <c r="K3876" s="35" t="n">
        <v>0.065</v>
      </c>
    </row>
    <row r="3877">
      <c r="A3877" s="36" t="inlineStr">
        <is>
          <t>Faste stillinger</t>
        </is>
      </c>
      <c r="B3877" s="36" t="inlineStr">
        <is>
          <t>Region Midt-Norge</t>
        </is>
      </c>
      <c r="C3877" s="36" t="inlineStr">
        <is>
          <t>Seksjon fagstøtte inkl adopsjon</t>
        </is>
      </c>
      <c r="D3877" s="26" t="n"/>
      <c r="E3877" s="26" t="n"/>
      <c r="F3877" s="26" t="n"/>
      <c r="G3877" s="26" t="n">
        <v>286070</v>
      </c>
      <c r="H3877" s="26" t="n">
        <v>720763</v>
      </c>
      <c r="I3877" s="26" t="n">
        <v>1138461</v>
      </c>
      <c r="J3877" s="19" t="n">
        <v>1291270.927725</v>
      </c>
      <c r="K3877" s="37" t="n">
        <v>0.065</v>
      </c>
    </row>
    <row r="3878">
      <c r="A3878" s="34" t="inlineStr">
        <is>
          <t>Faste stillinger</t>
        </is>
      </c>
      <c r="B3878" s="34" t="inlineStr">
        <is>
          <t>Region Midt-Norge</t>
        </is>
      </c>
      <c r="C3878" s="34" t="inlineStr">
        <is>
          <t>Skatval ungdomssenter</t>
        </is>
      </c>
      <c r="D3878" s="18" t="n"/>
      <c r="E3878" s="18" t="n"/>
      <c r="F3878" s="18" t="n"/>
      <c r="G3878" s="18" t="n"/>
      <c r="H3878" s="18" t="n">
        <v>6368845</v>
      </c>
      <c r="I3878" s="18" t="n">
        <v>17546028</v>
      </c>
      <c r="J3878" s="19" t="n">
        <v>19901143.6083</v>
      </c>
      <c r="K3878" s="35" t="n">
        <v>0.065</v>
      </c>
    </row>
    <row r="3879">
      <c r="A3879" s="36" t="inlineStr">
        <is>
          <t>Faste stillinger</t>
        </is>
      </c>
      <c r="B3879" s="36" t="inlineStr">
        <is>
          <t>Region Midt-Norge</t>
        </is>
      </c>
      <c r="C3879" s="36" t="inlineStr">
        <is>
          <t>Spillumheimen ungdomsheim</t>
        </is>
      </c>
      <c r="D3879" s="26" t="n">
        <v>8955548</v>
      </c>
      <c r="E3879" s="26" t="n">
        <v>9796850</v>
      </c>
      <c r="F3879" s="26" t="n">
        <v>9308126</v>
      </c>
      <c r="G3879" s="26" t="n">
        <v>9742795</v>
      </c>
      <c r="H3879" s="26" t="n">
        <v>8160866</v>
      </c>
      <c r="I3879" s="26" t="n">
        <v>3069392</v>
      </c>
      <c r="J3879" s="19" t="n">
        <v>2000029.646169054</v>
      </c>
      <c r="K3879" s="37" t="n">
        <v>-0.1927797684742476</v>
      </c>
    </row>
    <row r="3880">
      <c r="A3880" s="34" t="inlineStr">
        <is>
          <t>Faste stillinger</t>
        </is>
      </c>
      <c r="B3880" s="34" t="inlineStr">
        <is>
          <t>Region Midt-Norge</t>
        </is>
      </c>
      <c r="C3880" s="34" t="inlineStr">
        <is>
          <t>SpisskompetansemiljøF4 behandling ungdom</t>
        </is>
      </c>
      <c r="D3880" s="18" t="n"/>
      <c r="E3880" s="18" t="n"/>
      <c r="F3880" s="18" t="n"/>
      <c r="G3880" s="18" t="n">
        <v>4209415</v>
      </c>
      <c r="H3880" s="18" t="n">
        <v>4401405</v>
      </c>
      <c r="I3880" s="18" t="n">
        <v>4034459</v>
      </c>
      <c r="J3880" s="19" t="n">
        <v>4575984.259275</v>
      </c>
      <c r="K3880" s="35" t="n">
        <v>0.065</v>
      </c>
    </row>
    <row r="3881">
      <c r="A3881" s="36" t="inlineStr">
        <is>
          <t>Faste stillinger</t>
        </is>
      </c>
      <c r="B3881" s="36" t="inlineStr">
        <is>
          <t>Region Midt-Norge</t>
        </is>
      </c>
      <c r="C3881" s="36" t="inlineStr">
        <is>
          <t>Stjørdal ungdomssenter</t>
        </is>
      </c>
      <c r="D3881" s="26" t="n">
        <v>17936606</v>
      </c>
      <c r="E3881" s="26" t="n">
        <v>11102055</v>
      </c>
      <c r="F3881" s="26" t="n">
        <v>3662013</v>
      </c>
      <c r="G3881" s="26" t="n"/>
      <c r="H3881" s="26" t="n"/>
      <c r="I3881" s="26" t="n"/>
      <c r="J3881" s="19" t="n">
        <v>0</v>
      </c>
      <c r="K3881" s="37" t="n">
        <v>0.065</v>
      </c>
    </row>
    <row r="3882">
      <c r="A3882" s="34" t="inlineStr">
        <is>
          <t>Faste stillinger</t>
        </is>
      </c>
      <c r="B3882" s="34" t="inlineStr">
        <is>
          <t>Region Midt-Norge</t>
        </is>
      </c>
      <c r="C3882" s="34" t="inlineStr">
        <is>
          <t>Sunnmørsheimen akuttinsitusjon</t>
        </is>
      </c>
      <c r="D3882" s="18" t="n"/>
      <c r="E3882" s="18" t="n"/>
      <c r="F3882" s="18" t="n"/>
      <c r="G3882" s="18" t="n"/>
      <c r="H3882" s="18" t="n"/>
      <c r="I3882" s="18" t="n">
        <v>9711</v>
      </c>
      <c r="J3882" s="19" t="n">
        <v>11014.458975</v>
      </c>
      <c r="K3882" s="35" t="n">
        <v>0.065</v>
      </c>
    </row>
    <row r="3883">
      <c r="A3883" s="36" t="inlineStr">
        <is>
          <t>Faste stillinger</t>
        </is>
      </c>
      <c r="B3883" s="36" t="inlineStr">
        <is>
          <t>Region Midt-Norge</t>
        </is>
      </c>
      <c r="C3883" s="36" t="inlineStr">
        <is>
          <t>Sunnmørsheimen akuttinstitusjon, avd. Klatrevegen</t>
        </is>
      </c>
      <c r="D3883" s="26" t="n"/>
      <c r="E3883" s="26" t="n"/>
      <c r="F3883" s="26" t="n">
        <v>4334788</v>
      </c>
      <c r="G3883" s="26" t="n">
        <v>9126443</v>
      </c>
      <c r="H3883" s="26" t="n">
        <v>10280327</v>
      </c>
      <c r="I3883" s="26" t="n">
        <v>12411254</v>
      </c>
      <c r="J3883" s="19" t="n">
        <v>14077154.56815</v>
      </c>
      <c r="K3883" s="37" t="n">
        <v>0.065</v>
      </c>
    </row>
    <row r="3884">
      <c r="A3884" s="34" t="inlineStr">
        <is>
          <t>Faste stillinger</t>
        </is>
      </c>
      <c r="B3884" s="34" t="inlineStr">
        <is>
          <t>Region Midt-Norge</t>
        </is>
      </c>
      <c r="C3884" s="34" t="inlineStr">
        <is>
          <t>Sunnmørsheimen ungdomsheim</t>
        </is>
      </c>
      <c r="D3884" s="18" t="n">
        <v>217930</v>
      </c>
      <c r="E3884" s="18" t="n">
        <v>577597</v>
      </c>
      <c r="F3884" s="18" t="n">
        <v>270392</v>
      </c>
      <c r="G3884" s="18" t="n">
        <v>286494</v>
      </c>
      <c r="H3884" s="18" t="n">
        <v>296888</v>
      </c>
      <c r="I3884" s="18" t="n">
        <v>326550</v>
      </c>
      <c r="J3884" s="19" t="n">
        <v>383886.4258270963</v>
      </c>
      <c r="K3884" s="35" t="n">
        <v>0.08424276750722925</v>
      </c>
    </row>
    <row r="3885">
      <c r="A3885" s="36" t="inlineStr">
        <is>
          <t>Faste stillinger</t>
        </is>
      </c>
      <c r="B3885" s="36" t="inlineStr">
        <is>
          <t>Region Midt-Norge</t>
        </is>
      </c>
      <c r="C3885" s="36" t="inlineStr">
        <is>
          <t>Sunnmørsheimen ungdomsheim, avd. Klatrevegen</t>
        </is>
      </c>
      <c r="D3885" s="26" t="n">
        <v>5865159</v>
      </c>
      <c r="E3885" s="26" t="n">
        <v>6972963</v>
      </c>
      <c r="F3885" s="26" t="n">
        <v>3268990</v>
      </c>
      <c r="G3885" s="26" t="n"/>
      <c r="H3885" s="26" t="n"/>
      <c r="I3885" s="26" t="n"/>
      <c r="J3885" s="19" t="n">
        <v>0</v>
      </c>
      <c r="K3885" s="37" t="n">
        <v>0.065</v>
      </c>
    </row>
    <row r="3886">
      <c r="A3886" s="34" t="inlineStr">
        <is>
          <t>Faste stillinger</t>
        </is>
      </c>
      <c r="B3886" s="34" t="inlineStr">
        <is>
          <t>Region Midt-Norge</t>
        </is>
      </c>
      <c r="C3886" s="34" t="inlineStr">
        <is>
          <t>Sunnmørsheimen ungdomsheim, avd. Nygardsvegen</t>
        </is>
      </c>
      <c r="D3886" s="18" t="n">
        <v>6079237</v>
      </c>
      <c r="E3886" s="18" t="n">
        <v>7337893</v>
      </c>
      <c r="F3886" s="18" t="n">
        <v>7572570</v>
      </c>
      <c r="G3886" s="18" t="n">
        <v>8400774</v>
      </c>
      <c r="H3886" s="18" t="n">
        <v>8327065</v>
      </c>
      <c r="I3886" s="18" t="n">
        <v>9915707</v>
      </c>
      <c r="J3886" s="19" t="n">
        <v>12059062.04069708</v>
      </c>
      <c r="K3886" s="35" t="n">
        <v>0.1027953395796672</v>
      </c>
    </row>
    <row r="3887">
      <c r="A3887" s="36" t="inlineStr">
        <is>
          <t>Faste stillinger</t>
        </is>
      </c>
      <c r="B3887" s="36" t="inlineStr">
        <is>
          <t>Region Midt-Norge</t>
        </is>
      </c>
      <c r="C3887" s="36" t="inlineStr">
        <is>
          <t>TFCO Trondheim</t>
        </is>
      </c>
      <c r="D3887" s="26" t="n">
        <v>1718621</v>
      </c>
      <c r="E3887" s="26" t="n">
        <v>3898576</v>
      </c>
      <c r="F3887" s="26" t="n">
        <v>3684464</v>
      </c>
      <c r="G3887" s="26" t="n">
        <v>3710589</v>
      </c>
      <c r="H3887" s="26" t="n">
        <v>1446793</v>
      </c>
      <c r="I3887" s="26" t="n">
        <v>50586</v>
      </c>
      <c r="J3887" s="19" t="n">
        <v>28454.625</v>
      </c>
      <c r="K3887" s="37" t="n">
        <v>-0.25</v>
      </c>
    </row>
    <row r="3888">
      <c r="A3888" s="34" t="inlineStr">
        <is>
          <t>Faste stillinger</t>
        </is>
      </c>
      <c r="B3888" s="34" t="inlineStr">
        <is>
          <t>Region Midt-Norge</t>
        </is>
      </c>
      <c r="C3888" s="34" t="inlineStr">
        <is>
          <t>Trøndelag behandlingssenter for ungdom</t>
        </is>
      </c>
      <c r="D3888" s="18" t="n">
        <v>1634624</v>
      </c>
      <c r="E3888" s="18" t="n">
        <v>5321365</v>
      </c>
      <c r="F3888" s="18" t="n">
        <v>6397428</v>
      </c>
      <c r="G3888" s="18" t="n">
        <v>2701813</v>
      </c>
      <c r="H3888" s="18" t="n">
        <v>3062463</v>
      </c>
      <c r="I3888" s="18" t="n">
        <v>2797464</v>
      </c>
      <c r="J3888" s="19" t="n">
        <v>3468192.226760497</v>
      </c>
      <c r="K3888" s="35" t="n">
        <v>0.1134464297856541</v>
      </c>
    </row>
    <row r="3889">
      <c r="A3889" s="36" t="inlineStr">
        <is>
          <t>Faste stillinger</t>
        </is>
      </c>
      <c r="B3889" s="36" t="inlineStr">
        <is>
          <t>Region Midt-Norge</t>
        </is>
      </c>
      <c r="C3889" s="36" t="inlineStr">
        <is>
          <t>Vikhovlia akuttsenter</t>
        </is>
      </c>
      <c r="D3889" s="26" t="n">
        <v>9505585</v>
      </c>
      <c r="E3889" s="26" t="n">
        <v>9977789</v>
      </c>
      <c r="F3889" s="26" t="n">
        <v>11320728</v>
      </c>
      <c r="G3889" s="26" t="n">
        <v>13058947</v>
      </c>
      <c r="H3889" s="26" t="n">
        <v>15699871</v>
      </c>
      <c r="I3889" s="26" t="n">
        <v>16786772</v>
      </c>
      <c r="J3889" s="19" t="n">
        <v>21074754.71593453</v>
      </c>
      <c r="K3889" s="37" t="n">
        <v>0.1204633834234923</v>
      </c>
    </row>
    <row r="3890">
      <c r="A3890" s="34" t="inlineStr">
        <is>
          <t>Faste stillinger</t>
        </is>
      </c>
      <c r="B3890" s="34" t="inlineStr">
        <is>
          <t>Region Nord</t>
        </is>
      </c>
      <c r="C3890" s="34" t="inlineStr">
        <is>
          <t>Alta Ungdomssenter administrasjon</t>
        </is>
      </c>
      <c r="D3890" s="18" t="n">
        <v>1525449</v>
      </c>
      <c r="E3890" s="18" t="n">
        <v>1599636</v>
      </c>
      <c r="F3890" s="18" t="n">
        <v>1679392</v>
      </c>
      <c r="G3890" s="18" t="n">
        <v>1772315</v>
      </c>
      <c r="H3890" s="18" t="n">
        <v>1088102</v>
      </c>
      <c r="I3890" s="18" t="n">
        <v>2042896</v>
      </c>
      <c r="J3890" s="19" t="n">
        <v>2296072.961089764</v>
      </c>
      <c r="K3890" s="35" t="n">
        <v>0.0601558474478614</v>
      </c>
    </row>
    <row r="3891">
      <c r="A3891" s="36" t="inlineStr">
        <is>
          <t>Faste stillinger</t>
        </is>
      </c>
      <c r="B3891" s="36" t="inlineStr">
        <is>
          <t>Region Nord</t>
        </is>
      </c>
      <c r="C3891" s="36" t="inlineStr">
        <is>
          <t>Alta Ungdomssenter sjøtun</t>
        </is>
      </c>
      <c r="D3891" s="26" t="n">
        <v>8342610</v>
      </c>
      <c r="E3891" s="26" t="n">
        <v>7065576</v>
      </c>
      <c r="F3891" s="26" t="n">
        <v>7695415</v>
      </c>
      <c r="G3891" s="26" t="n">
        <v>10483447</v>
      </c>
      <c r="H3891" s="26" t="n">
        <v>9629163</v>
      </c>
      <c r="I3891" s="26" t="n">
        <v>9535331</v>
      </c>
      <c r="J3891" s="19" t="n">
        <v>10058872.56083919</v>
      </c>
      <c r="K3891" s="37" t="n">
        <v>0.02708589794399607</v>
      </c>
    </row>
    <row r="3892">
      <c r="A3892" s="34" t="inlineStr">
        <is>
          <t>Faste stillinger</t>
        </is>
      </c>
      <c r="B3892" s="34" t="inlineStr">
        <is>
          <t>Region Nord</t>
        </is>
      </c>
      <c r="C3892" s="34" t="inlineStr">
        <is>
          <t>Alta Ungdomssenter utsikten</t>
        </is>
      </c>
      <c r="D3892" s="18" t="n">
        <v>794631</v>
      </c>
      <c r="E3892" s="18" t="n"/>
      <c r="F3892" s="18" t="n"/>
      <c r="G3892" s="18" t="n"/>
      <c r="H3892" s="18" t="n"/>
      <c r="I3892" s="18" t="n"/>
      <c r="J3892" s="19" t="n">
        <v>0</v>
      </c>
      <c r="K3892" s="35" t="n">
        <v>0.065</v>
      </c>
    </row>
    <row r="3893">
      <c r="A3893" s="36" t="inlineStr">
        <is>
          <t>Faste stillinger</t>
        </is>
      </c>
      <c r="B3893" s="36" t="inlineStr">
        <is>
          <t>Region Nord</t>
        </is>
      </c>
      <c r="C3893" s="36" t="inlineStr">
        <is>
          <t>Alta ungdomssenter Utsikten akutt</t>
        </is>
      </c>
      <c r="D3893" s="26" t="n"/>
      <c r="E3893" s="26" t="n"/>
      <c r="F3893" s="26" t="n"/>
      <c r="G3893" s="26" t="n"/>
      <c r="H3893" s="26" t="n">
        <v>2553692</v>
      </c>
      <c r="I3893" s="26" t="n">
        <v>7210528</v>
      </c>
      <c r="J3893" s="19" t="n">
        <v>8178361.120799999</v>
      </c>
      <c r="K3893" s="37" t="n">
        <v>0.065</v>
      </c>
    </row>
    <row r="3894">
      <c r="A3894" s="34" t="inlineStr">
        <is>
          <t>Faste stillinger</t>
        </is>
      </c>
      <c r="B3894" s="34" t="inlineStr">
        <is>
          <t>Region Nord</t>
        </is>
      </c>
      <c r="C3894" s="34" t="inlineStr">
        <is>
          <t>Alta ungdomssenter Utsikten omsorg</t>
        </is>
      </c>
      <c r="D3894" s="18" t="n">
        <v>1564841</v>
      </c>
      <c r="E3894" s="18" t="n">
        <v>5116020</v>
      </c>
      <c r="F3894" s="18" t="n">
        <v>5368587</v>
      </c>
      <c r="G3894" s="18" t="n">
        <v>5070882</v>
      </c>
      <c r="H3894" s="18" t="n">
        <v>2801212</v>
      </c>
      <c r="I3894" s="18" t="n">
        <v>17785</v>
      </c>
      <c r="J3894" s="19" t="n">
        <v>10004.0625</v>
      </c>
      <c r="K3894" s="35" t="n">
        <v>-0.25</v>
      </c>
    </row>
    <row r="3895">
      <c r="A3895" s="36" t="inlineStr">
        <is>
          <t>Faste stillinger</t>
        </is>
      </c>
      <c r="B3895" s="36" t="inlineStr">
        <is>
          <t>Region Nord</t>
        </is>
      </c>
      <c r="C3895" s="36" t="inlineStr">
        <is>
          <t>Avdelingsdirektør omsorg for ungdom og behandling av ungdom</t>
        </is>
      </c>
      <c r="D3895" s="26" t="n"/>
      <c r="E3895" s="26" t="n"/>
      <c r="F3895" s="26" t="n"/>
      <c r="G3895" s="26" t="n"/>
      <c r="H3895" s="26" t="n">
        <v>300110</v>
      </c>
      <c r="I3895" s="26" t="n">
        <v>-300110</v>
      </c>
      <c r="J3895" s="19" t="n">
        <v>-340392.26475</v>
      </c>
      <c r="K3895" s="37" t="n">
        <v>0.065</v>
      </c>
    </row>
    <row r="3896">
      <c r="A3896" s="34" t="inlineStr">
        <is>
          <t>Faste stillinger</t>
        </is>
      </c>
      <c r="B3896" s="34" t="inlineStr">
        <is>
          <t>Region Nord</t>
        </is>
      </c>
      <c r="C3896" s="34" t="inlineStr">
        <is>
          <t>Bodø behandlingssenter Landegode</t>
        </is>
      </c>
      <c r="D3896" s="18" t="n"/>
      <c r="E3896" s="18" t="n"/>
      <c r="F3896" s="18" t="n"/>
      <c r="G3896" s="18" t="n">
        <v>53122</v>
      </c>
      <c r="H3896" s="18" t="n">
        <v>509301</v>
      </c>
      <c r="I3896" s="18" t="n">
        <v>5414</v>
      </c>
      <c r="J3896" s="19" t="n">
        <v>6140.694149999999</v>
      </c>
      <c r="K3896" s="35" t="n">
        <v>0.065</v>
      </c>
    </row>
    <row r="3897">
      <c r="A3897" s="36" t="inlineStr">
        <is>
          <t>Faste stillinger</t>
        </is>
      </c>
      <c r="B3897" s="36" t="inlineStr">
        <is>
          <t>Region Nord</t>
        </is>
      </c>
      <c r="C3897" s="36" t="inlineStr">
        <is>
          <t>Bodø behandlingssenter Sandhornet</t>
        </is>
      </c>
      <c r="D3897" s="26" t="n">
        <v>9317094</v>
      </c>
      <c r="E3897" s="26" t="n">
        <v>9513667</v>
      </c>
      <c r="F3897" s="26" t="n">
        <v>11586214</v>
      </c>
      <c r="G3897" s="26" t="n">
        <v>12125343</v>
      </c>
      <c r="H3897" s="26" t="n">
        <v>11292663</v>
      </c>
      <c r="I3897" s="26" t="n">
        <v>12756295</v>
      </c>
      <c r="J3897" s="19" t="n">
        <v>14464458.67087563</v>
      </c>
      <c r="K3897" s="37" t="n">
        <v>0.06485093214743887</v>
      </c>
    </row>
    <row r="3898">
      <c r="A3898" s="34" t="inlineStr">
        <is>
          <t>Faste stillinger</t>
        </is>
      </c>
      <c r="B3898" s="34" t="inlineStr">
        <is>
          <t>Region Nord</t>
        </is>
      </c>
      <c r="C3898" s="34" t="inlineStr">
        <is>
          <t>Bodø behandlingssenter adm</t>
        </is>
      </c>
      <c r="D3898" s="18" t="n">
        <v>1907265</v>
      </c>
      <c r="E3898" s="18" t="n">
        <v>1979316</v>
      </c>
      <c r="F3898" s="18" t="n">
        <v>2055308</v>
      </c>
      <c r="G3898" s="18" t="n">
        <v>2153687</v>
      </c>
      <c r="H3898" s="18" t="n">
        <v>2160835</v>
      </c>
      <c r="I3898" s="18" t="n">
        <v>2319096</v>
      </c>
      <c r="J3898" s="19" t="n">
        <v>2507735.926906738</v>
      </c>
      <c r="K3898" s="35" t="n">
        <v>0.03987595830285318</v>
      </c>
    </row>
    <row r="3899">
      <c r="A3899" s="36" t="inlineStr">
        <is>
          <t>Faste stillinger</t>
        </is>
      </c>
      <c r="B3899" s="36" t="inlineStr">
        <is>
          <t>Region Nord</t>
        </is>
      </c>
      <c r="C3899" s="36" t="inlineStr">
        <is>
          <t>Bodø behandlingssenter avdeling 3</t>
        </is>
      </c>
      <c r="D3899" s="26" t="n"/>
      <c r="E3899" s="26" t="n"/>
      <c r="F3899" s="26" t="n"/>
      <c r="G3899" s="26" t="n"/>
      <c r="H3899" s="26" t="n"/>
      <c r="I3899" s="26" t="n">
        <v>292376</v>
      </c>
      <c r="J3899" s="19" t="n">
        <v>331620.1686</v>
      </c>
      <c r="K3899" s="37" t="n">
        <v>0.065</v>
      </c>
    </row>
    <row r="3900">
      <c r="A3900" s="34" t="inlineStr">
        <is>
          <t>Faste stillinger</t>
        </is>
      </c>
      <c r="B3900" s="34" t="inlineStr">
        <is>
          <t>Region Nord</t>
        </is>
      </c>
      <c r="C3900" s="34" t="inlineStr">
        <is>
          <t>Enhet for inntak avd. akutt</t>
        </is>
      </c>
      <c r="D3900" s="18" t="n"/>
      <c r="E3900" s="18" t="n"/>
      <c r="F3900" s="18" t="n"/>
      <c r="G3900" s="18" t="n"/>
      <c r="H3900" s="18" t="n">
        <v>634274</v>
      </c>
      <c r="I3900" s="18" t="n">
        <v>727674</v>
      </c>
      <c r="J3900" s="19" t="n">
        <v>825346.0426499998</v>
      </c>
      <c r="K3900" s="35" t="n">
        <v>0.065</v>
      </c>
    </row>
    <row r="3901">
      <c r="A3901" s="36" t="inlineStr">
        <is>
          <t>Faste stillinger</t>
        </is>
      </c>
      <c r="B3901" s="36" t="inlineStr">
        <is>
          <t>Region Nord</t>
        </is>
      </c>
      <c r="C3901" s="36" t="inlineStr">
        <is>
          <t>KUS SKM Omsorg for ungdom</t>
        </is>
      </c>
      <c r="D3901" s="26" t="n">
        <v>3210314</v>
      </c>
      <c r="E3901" s="26" t="n">
        <v>4879362</v>
      </c>
      <c r="F3901" s="26" t="n">
        <v>5801354</v>
      </c>
      <c r="G3901" s="26" t="n">
        <v>6151218</v>
      </c>
      <c r="H3901" s="26" t="n">
        <v>5742320</v>
      </c>
      <c r="I3901" s="26" t="n">
        <v>6514625</v>
      </c>
      <c r="J3901" s="19" t="n">
        <v>8646218.074794278</v>
      </c>
      <c r="K3901" s="37" t="n">
        <v>0.1520421838791162</v>
      </c>
    </row>
    <row r="3902">
      <c r="A3902" s="34" t="inlineStr">
        <is>
          <t>Faste stillinger</t>
        </is>
      </c>
      <c r="B3902" s="34" t="inlineStr">
        <is>
          <t>Region Nord</t>
        </is>
      </c>
      <c r="C3902" s="34" t="inlineStr">
        <is>
          <t>Lamo ungdomssenter Tunet</t>
        </is>
      </c>
      <c r="D3902" s="18" t="n">
        <v>7625429</v>
      </c>
      <c r="E3902" s="18" t="n">
        <v>8433185</v>
      </c>
      <c r="F3902" s="18" t="n">
        <v>8982721</v>
      </c>
      <c r="G3902" s="18" t="n">
        <v>8593636</v>
      </c>
      <c r="H3902" s="18" t="n">
        <v>8994845</v>
      </c>
      <c r="I3902" s="18" t="n">
        <v>10881408</v>
      </c>
      <c r="J3902" s="19" t="n">
        <v>12544501.8435075</v>
      </c>
      <c r="K3902" s="35" t="n">
        <v>0.07370299011347026</v>
      </c>
    </row>
    <row r="3903">
      <c r="A3903" s="36" t="inlineStr">
        <is>
          <t>Faste stillinger</t>
        </is>
      </c>
      <c r="B3903" s="36" t="inlineStr">
        <is>
          <t>Region Nord</t>
        </is>
      </c>
      <c r="C3903" s="36" t="inlineStr">
        <is>
          <t>Lamo ungdomssenter adm</t>
        </is>
      </c>
      <c r="D3903" s="26" t="n">
        <v>970261</v>
      </c>
      <c r="E3903" s="26" t="n">
        <v>762739</v>
      </c>
      <c r="F3903" s="26" t="n">
        <v>1070841</v>
      </c>
      <c r="G3903" s="26" t="n">
        <v>1238714</v>
      </c>
      <c r="H3903" s="26" t="n">
        <v>1194522</v>
      </c>
      <c r="I3903" s="26" t="n">
        <v>1206221</v>
      </c>
      <c r="J3903" s="19" t="n">
        <v>1315958.547187096</v>
      </c>
      <c r="K3903" s="37" t="n">
        <v>0.04449811851711516</v>
      </c>
    </row>
    <row r="3904">
      <c r="A3904" s="34" t="inlineStr">
        <is>
          <t>Faste stillinger</t>
        </is>
      </c>
      <c r="B3904" s="34" t="inlineStr">
        <is>
          <t>Region Nord</t>
        </is>
      </c>
      <c r="C3904" s="34" t="inlineStr">
        <is>
          <t>Nye Kvæfjord ungdomssenter Lilleheimen</t>
        </is>
      </c>
      <c r="D3904" s="18" t="n">
        <v>5696395</v>
      </c>
      <c r="E3904" s="18" t="n">
        <v>5563254</v>
      </c>
      <c r="F3904" s="18" t="n">
        <v>5784315</v>
      </c>
      <c r="G3904" s="18" t="n">
        <v>5934124</v>
      </c>
      <c r="H3904" s="18" t="n">
        <v>6293544</v>
      </c>
      <c r="I3904" s="18" t="n">
        <v>7286284</v>
      </c>
      <c r="J3904" s="19" t="n">
        <v>8040230.403405428</v>
      </c>
      <c r="K3904" s="35" t="n">
        <v>0.0504640633375133</v>
      </c>
    </row>
    <row r="3905">
      <c r="A3905" s="36" t="inlineStr">
        <is>
          <t>Faste stillinger</t>
        </is>
      </c>
      <c r="B3905" s="36" t="inlineStr">
        <is>
          <t>Region Nord</t>
        </is>
      </c>
      <c r="C3905" s="36" t="inlineStr">
        <is>
          <t>Nye Kvæfjord ungdomssenter Storheimen</t>
        </is>
      </c>
      <c r="D3905" s="26" t="n">
        <v>6664412</v>
      </c>
      <c r="E3905" s="26" t="n">
        <v>7144580</v>
      </c>
      <c r="F3905" s="26" t="n">
        <v>6993409</v>
      </c>
      <c r="G3905" s="26" t="n">
        <v>7692791</v>
      </c>
      <c r="H3905" s="26" t="n">
        <v>8714162</v>
      </c>
      <c r="I3905" s="26" t="n">
        <v>10028149</v>
      </c>
      <c r="J3905" s="19" t="n">
        <v>11808761.58250546</v>
      </c>
      <c r="K3905" s="37" t="n">
        <v>0.08515503065301133</v>
      </c>
    </row>
    <row r="3906">
      <c r="A3906" s="34" t="inlineStr">
        <is>
          <t>Faste stillinger</t>
        </is>
      </c>
      <c r="B3906" s="34" t="inlineStr">
        <is>
          <t>Region Nord</t>
        </is>
      </c>
      <c r="C3906" s="34" t="inlineStr">
        <is>
          <t>Nye Kvæfjord ungdomssenter adm</t>
        </is>
      </c>
      <c r="D3906" s="18" t="n">
        <v>1844246</v>
      </c>
      <c r="E3906" s="18" t="n">
        <v>1945527</v>
      </c>
      <c r="F3906" s="18" t="n">
        <v>1958042</v>
      </c>
      <c r="G3906" s="18" t="n">
        <v>2228449</v>
      </c>
      <c r="H3906" s="18" t="n">
        <v>2821725</v>
      </c>
      <c r="I3906" s="18" t="n">
        <v>3680698</v>
      </c>
      <c r="J3906" s="19" t="n">
        <v>4852602.517616457</v>
      </c>
      <c r="K3906" s="35" t="n">
        <v>0.148212490755782</v>
      </c>
    </row>
    <row r="3907">
      <c r="A3907" s="36" t="inlineStr">
        <is>
          <t>Faste stillinger</t>
        </is>
      </c>
      <c r="B3907" s="36" t="inlineStr">
        <is>
          <t>Region Nord</t>
        </is>
      </c>
      <c r="C3907" s="36" t="inlineStr">
        <is>
          <t>Røvika ungdomssenter Administrasjon</t>
        </is>
      </c>
      <c r="D3907" s="26" t="n">
        <v>1576670</v>
      </c>
      <c r="E3907" s="26" t="n">
        <v>1743237</v>
      </c>
      <c r="F3907" s="26" t="n">
        <v>1904258</v>
      </c>
      <c r="G3907" s="26" t="n">
        <v>1636362</v>
      </c>
      <c r="H3907" s="26" t="n">
        <v>1648911</v>
      </c>
      <c r="I3907" s="26" t="n">
        <v>1522512</v>
      </c>
      <c r="J3907" s="19" t="n">
        <v>1501373.314242197</v>
      </c>
      <c r="K3907" s="37" t="n">
        <v>-0.006966307130915284</v>
      </c>
    </row>
    <row r="3908">
      <c r="A3908" s="34" t="inlineStr">
        <is>
          <t>Faste stillinger</t>
        </is>
      </c>
      <c r="B3908" s="34" t="inlineStr">
        <is>
          <t>Region Nord</t>
        </is>
      </c>
      <c r="C3908" s="34" t="inlineStr">
        <is>
          <t>Røvika ungdomssenter Skogly</t>
        </is>
      </c>
      <c r="D3908" s="18" t="n">
        <v>6243474</v>
      </c>
      <c r="E3908" s="18" t="n">
        <v>8124822</v>
      </c>
      <c r="F3908" s="18" t="n">
        <v>8085809</v>
      </c>
      <c r="G3908" s="18" t="n">
        <v>8523653</v>
      </c>
      <c r="H3908" s="18" t="n">
        <v>7731469</v>
      </c>
      <c r="I3908" s="18" t="n">
        <v>10043927</v>
      </c>
      <c r="J3908" s="19" t="n">
        <v>12147710.78471656</v>
      </c>
      <c r="K3908" s="35" t="n">
        <v>0.09975374108780333</v>
      </c>
    </row>
    <row r="3909">
      <c r="A3909" s="36" t="inlineStr">
        <is>
          <t>Faste stillinger</t>
        </is>
      </c>
      <c r="B3909" s="36" t="inlineStr">
        <is>
          <t>Region Nord</t>
        </is>
      </c>
      <c r="C3909" s="36" t="inlineStr">
        <is>
          <t>Røvika ungdomssenter beredskapshjem</t>
        </is>
      </c>
      <c r="D3909" s="26" t="n"/>
      <c r="E3909" s="26" t="n"/>
      <c r="F3909" s="26" t="n">
        <v>76047</v>
      </c>
      <c r="G3909" s="26" t="n">
        <v>51876</v>
      </c>
      <c r="H3909" s="26" t="n"/>
      <c r="I3909" s="26" t="n"/>
      <c r="J3909" s="19" t="n">
        <v>0</v>
      </c>
      <c r="K3909" s="37" t="n">
        <v>0.065</v>
      </c>
    </row>
    <row r="3910">
      <c r="A3910" s="34" t="inlineStr">
        <is>
          <t>Faste stillinger</t>
        </is>
      </c>
      <c r="B3910" s="34" t="inlineStr">
        <is>
          <t>Region Nord</t>
        </is>
      </c>
      <c r="C3910" s="34" t="inlineStr">
        <is>
          <t>Røvika ungdomssenter Åsheim akutt</t>
        </is>
      </c>
      <c r="D3910" s="18" t="n"/>
      <c r="E3910" s="18" t="n"/>
      <c r="F3910" s="18" t="n"/>
      <c r="G3910" s="18" t="n"/>
      <c r="H3910" s="18" t="n">
        <v>2164448</v>
      </c>
      <c r="I3910" s="18" t="n">
        <v>7102068</v>
      </c>
      <c r="J3910" s="19" t="n">
        <v>8055343.077299999</v>
      </c>
      <c r="K3910" s="35" t="n">
        <v>0.065</v>
      </c>
    </row>
    <row r="3911">
      <c r="A3911" s="36" t="inlineStr">
        <is>
          <t>Faste stillinger</t>
        </is>
      </c>
      <c r="B3911" s="36" t="inlineStr">
        <is>
          <t>Region Nord</t>
        </is>
      </c>
      <c r="C3911" s="36" t="inlineStr">
        <is>
          <t>Røvika Åsheim</t>
        </is>
      </c>
      <c r="D3911" s="26" t="n">
        <v>4689524</v>
      </c>
      <c r="E3911" s="26" t="n">
        <v>5260782</v>
      </c>
      <c r="F3911" s="26" t="n">
        <v>5368673</v>
      </c>
      <c r="G3911" s="26" t="n">
        <v>6077272</v>
      </c>
      <c r="H3911" s="26" t="n">
        <v>4068984</v>
      </c>
      <c r="I3911" s="26" t="n">
        <v>44434</v>
      </c>
      <c r="J3911" s="19" t="n">
        <v>24994.125</v>
      </c>
      <c r="K3911" s="37" t="n">
        <v>-0.25</v>
      </c>
    </row>
    <row r="3912">
      <c r="A3912" s="34" t="inlineStr">
        <is>
          <t>Faste stillinger</t>
        </is>
      </c>
      <c r="B3912" s="34" t="inlineStr">
        <is>
          <t>Region Nord</t>
        </is>
      </c>
      <c r="C3912" s="34" t="inlineStr">
        <is>
          <t>Seksjon faglig støtte</t>
        </is>
      </c>
      <c r="D3912" s="18" t="n"/>
      <c r="E3912" s="18" t="n"/>
      <c r="F3912" s="18" t="n"/>
      <c r="G3912" s="18" t="n">
        <v>1259172</v>
      </c>
      <c r="H3912" s="18" t="n">
        <v>1603466</v>
      </c>
      <c r="I3912" s="18" t="n">
        <v>1701877</v>
      </c>
      <c r="J3912" s="19" t="n">
        <v>1930311.440325</v>
      </c>
      <c r="K3912" s="35" t="n">
        <v>0.065</v>
      </c>
    </row>
    <row r="3913">
      <c r="A3913" s="36" t="inlineStr">
        <is>
          <t>Faste stillinger</t>
        </is>
      </c>
      <c r="B3913" s="36" t="inlineStr">
        <is>
          <t>Region Nord</t>
        </is>
      </c>
      <c r="C3913" s="36" t="inlineStr">
        <is>
          <t>Silsand ungdomssenter Administrasjon F4</t>
        </is>
      </c>
      <c r="D3913" s="26" t="n"/>
      <c r="E3913" s="26" t="n"/>
      <c r="F3913" s="26" t="n"/>
      <c r="G3913" s="26" t="n"/>
      <c r="H3913" s="26" t="n">
        <v>594021</v>
      </c>
      <c r="I3913" s="26" t="n">
        <v>1562108</v>
      </c>
      <c r="J3913" s="19" t="n">
        <v>1771781.9463</v>
      </c>
      <c r="K3913" s="37" t="n">
        <v>0.065</v>
      </c>
    </row>
    <row r="3914">
      <c r="A3914" s="34" t="inlineStr">
        <is>
          <t>Faste stillinger</t>
        </is>
      </c>
      <c r="B3914" s="34" t="inlineStr">
        <is>
          <t>Region Nord</t>
        </is>
      </c>
      <c r="C3914" s="34" t="inlineStr">
        <is>
          <t>Silsand ungdomssenter administrasjon</t>
        </is>
      </c>
      <c r="D3914" s="18" t="n">
        <v>1228950</v>
      </c>
      <c r="E3914" s="18" t="n">
        <v>1698352</v>
      </c>
      <c r="F3914" s="18" t="n">
        <v>2057429</v>
      </c>
      <c r="G3914" s="18" t="n">
        <v>2113011</v>
      </c>
      <c r="H3914" s="18" t="n">
        <v>1277364</v>
      </c>
      <c r="I3914" s="18" t="n">
        <v>14886</v>
      </c>
      <c r="J3914" s="19" t="n">
        <v>8373.375</v>
      </c>
      <c r="K3914" s="35" t="n">
        <v>-0.25</v>
      </c>
    </row>
    <row r="3915">
      <c r="A3915" s="36" t="inlineStr">
        <is>
          <t>Faste stillinger</t>
        </is>
      </c>
      <c r="B3915" s="36" t="inlineStr">
        <is>
          <t>Region Nord</t>
        </is>
      </c>
      <c r="C3915" s="36" t="inlineStr">
        <is>
          <t>Silsand ungdomssenter avdeling 1</t>
        </is>
      </c>
      <c r="D3915" s="26" t="n">
        <v>6741154</v>
      </c>
      <c r="E3915" s="26" t="n">
        <v>7300693</v>
      </c>
      <c r="F3915" s="26" t="n">
        <v>7346924</v>
      </c>
      <c r="G3915" s="26" t="n">
        <v>7492627</v>
      </c>
      <c r="H3915" s="26" t="n">
        <v>4989388</v>
      </c>
      <c r="I3915" s="26" t="n">
        <v>43983</v>
      </c>
      <c r="J3915" s="19" t="n">
        <v>24740.4375</v>
      </c>
      <c r="K3915" s="37" t="n">
        <v>-0.25</v>
      </c>
    </row>
    <row r="3916">
      <c r="A3916" s="34" t="inlineStr">
        <is>
          <t>Faste stillinger</t>
        </is>
      </c>
      <c r="B3916" s="34" t="inlineStr">
        <is>
          <t>Region Nord</t>
        </is>
      </c>
      <c r="C3916" s="34" t="inlineStr">
        <is>
          <t>Silsand ungdomssenter miljøavdeling</t>
        </is>
      </c>
      <c r="D3916" s="18" t="n"/>
      <c r="E3916" s="18" t="n"/>
      <c r="F3916" s="18" t="n"/>
      <c r="G3916" s="18" t="n"/>
      <c r="H3916" s="18" t="n">
        <v>3999329</v>
      </c>
      <c r="I3916" s="18" t="n">
        <v>12034648</v>
      </c>
      <c r="J3916" s="19" t="n">
        <v>13649998.6278</v>
      </c>
      <c r="K3916" s="35" t="n">
        <v>0.065</v>
      </c>
    </row>
    <row r="3917">
      <c r="A3917" s="36" t="inlineStr">
        <is>
          <t>Faste stillinger</t>
        </is>
      </c>
      <c r="B3917" s="36" t="inlineStr">
        <is>
          <t>Region Nord</t>
        </is>
      </c>
      <c r="C3917" s="36" t="inlineStr">
        <is>
          <t>Sollia barne- og ungdomssenter adm</t>
        </is>
      </c>
      <c r="D3917" s="26" t="n">
        <v>956884</v>
      </c>
      <c r="E3917" s="26" t="n">
        <v>1268401</v>
      </c>
      <c r="F3917" s="26" t="n">
        <v>1050694</v>
      </c>
      <c r="G3917" s="26" t="n">
        <v>1077100</v>
      </c>
      <c r="H3917" s="26" t="n">
        <v>1092234</v>
      </c>
      <c r="I3917" s="26" t="n">
        <v>1204413</v>
      </c>
      <c r="J3917" s="19" t="n">
        <v>1320510.598238996</v>
      </c>
      <c r="K3917" s="37" t="n">
        <v>0.04708811061645823</v>
      </c>
    </row>
    <row r="3918">
      <c r="A3918" s="34" t="inlineStr">
        <is>
          <t>Faste stillinger</t>
        </is>
      </c>
      <c r="B3918" s="34" t="inlineStr">
        <is>
          <t>Region Nord</t>
        </is>
      </c>
      <c r="C3918" s="34" t="inlineStr">
        <is>
          <t>Sollia barne- og ungdomssenter miljøavdeling</t>
        </is>
      </c>
      <c r="D3918" s="18" t="n">
        <v>6702378</v>
      </c>
      <c r="E3918" s="18" t="n">
        <v>6000192</v>
      </c>
      <c r="F3918" s="18" t="n">
        <v>5484240</v>
      </c>
      <c r="G3918" s="18" t="n">
        <v>6953770</v>
      </c>
      <c r="H3918" s="18" t="n">
        <v>8208589</v>
      </c>
      <c r="I3918" s="18" t="n">
        <v>8323273</v>
      </c>
      <c r="J3918" s="19" t="n">
        <v>9076537.961546583</v>
      </c>
      <c r="K3918" s="35" t="n">
        <v>0.04427058364939884</v>
      </c>
    </row>
    <row r="3919">
      <c r="A3919" s="36" t="inlineStr">
        <is>
          <t>Faste stillinger</t>
        </is>
      </c>
      <c r="B3919" s="36" t="inlineStr">
        <is>
          <t>Region Nord</t>
        </is>
      </c>
      <c r="C3919" s="36" t="inlineStr">
        <is>
          <t>Tromsø ungdomssenter</t>
        </is>
      </c>
      <c r="D3919" s="26" t="n">
        <v>987035</v>
      </c>
      <c r="E3919" s="26" t="n">
        <v>1019193</v>
      </c>
      <c r="F3919" s="26" t="n">
        <v>1091762</v>
      </c>
      <c r="G3919" s="26" t="n">
        <v>1732758</v>
      </c>
      <c r="H3919" s="26" t="n">
        <v>1799634</v>
      </c>
      <c r="I3919" s="26" t="n">
        <v>1412358</v>
      </c>
      <c r="J3919" s="19" t="n">
        <v>1630007.830654737</v>
      </c>
      <c r="K3919" s="37" t="n">
        <v>0.074292263723714</v>
      </c>
    </row>
    <row r="3920">
      <c r="A3920" s="34" t="inlineStr">
        <is>
          <t>Faste stillinger</t>
        </is>
      </c>
      <c r="B3920" s="34" t="inlineStr">
        <is>
          <t>Region Nord</t>
        </is>
      </c>
      <c r="C3920" s="34" t="inlineStr">
        <is>
          <t>Tromsø ungdomssenter Fjære</t>
        </is>
      </c>
      <c r="D3920" s="18" t="n">
        <v>5518945</v>
      </c>
      <c r="E3920" s="18" t="n">
        <v>6096093</v>
      </c>
      <c r="F3920" s="18" t="n">
        <v>5951986</v>
      </c>
      <c r="G3920" s="18" t="n">
        <v>5943372</v>
      </c>
      <c r="H3920" s="18" t="n">
        <v>6652073</v>
      </c>
      <c r="I3920" s="18" t="n">
        <v>8759220</v>
      </c>
      <c r="J3920" s="19" t="n">
        <v>10536810.79608277</v>
      </c>
      <c r="K3920" s="35" t="n">
        <v>0.09678593795678969</v>
      </c>
    </row>
    <row r="3921">
      <c r="A3921" s="36" t="inlineStr">
        <is>
          <t>Faste stillinger</t>
        </is>
      </c>
      <c r="B3921" s="36" t="inlineStr">
        <is>
          <t>Region Nord</t>
        </is>
      </c>
      <c r="C3921" s="36" t="inlineStr">
        <is>
          <t>Tromsø ungdomssenter Flo</t>
        </is>
      </c>
      <c r="D3921" s="26" t="n">
        <v>5875833</v>
      </c>
      <c r="E3921" s="26" t="n">
        <v>6478446</v>
      </c>
      <c r="F3921" s="26" t="n">
        <v>7507269</v>
      </c>
      <c r="G3921" s="26" t="n">
        <v>7211609</v>
      </c>
      <c r="H3921" s="26" t="n">
        <v>7981683</v>
      </c>
      <c r="I3921" s="26" t="n">
        <v>9834346</v>
      </c>
      <c r="J3921" s="19" t="n">
        <v>12084144.22324093</v>
      </c>
      <c r="K3921" s="37" t="n">
        <v>0.1084987506860802</v>
      </c>
    </row>
    <row r="3922">
      <c r="A3922" s="34" t="inlineStr">
        <is>
          <t>Faste stillinger</t>
        </is>
      </c>
      <c r="B3922" s="34" t="inlineStr">
        <is>
          <t>Region Nord</t>
        </is>
      </c>
      <c r="C3922" s="34" t="inlineStr">
        <is>
          <t>Vadsø ungdomssenter administrasjon</t>
        </is>
      </c>
      <c r="D3922" s="18" t="n">
        <v>191177</v>
      </c>
      <c r="E3922" s="18" t="n"/>
      <c r="F3922" s="18" t="n"/>
      <c r="G3922" s="18" t="n"/>
      <c r="H3922" s="18" t="n"/>
      <c r="I3922" s="18" t="n"/>
      <c r="J3922" s="19" t="n">
        <v>0</v>
      </c>
      <c r="K3922" s="35" t="n">
        <v>0.065</v>
      </c>
    </row>
    <row r="3923">
      <c r="A3923" s="36" t="inlineStr">
        <is>
          <t>Faste stillinger</t>
        </is>
      </c>
      <c r="B3923" s="36" t="inlineStr">
        <is>
          <t>Region Nord</t>
        </is>
      </c>
      <c r="C3923" s="36" t="inlineStr">
        <is>
          <t>Vadsø ungdomssenter avdeling 1</t>
        </is>
      </c>
      <c r="D3923" s="26" t="n">
        <v>4642284</v>
      </c>
      <c r="E3923" s="26" t="n">
        <v>1116402</v>
      </c>
      <c r="F3923" s="26" t="n">
        <v>234999</v>
      </c>
      <c r="G3923" s="26" t="n"/>
      <c r="H3923" s="26" t="n"/>
      <c r="I3923" s="26" t="n"/>
      <c r="J3923" s="19" t="n">
        <v>0</v>
      </c>
      <c r="K3923" s="37" t="n">
        <v>0.065</v>
      </c>
    </row>
    <row r="3924">
      <c r="A3924" s="34" t="inlineStr">
        <is>
          <t>Faste stillinger</t>
        </is>
      </c>
      <c r="B3924" s="34" t="inlineStr">
        <is>
          <t>Region Nord</t>
        </is>
      </c>
      <c r="C3924" s="34" t="inlineStr">
        <is>
          <t>Yttrabekken ungdomssenter administrasjon</t>
        </is>
      </c>
      <c r="D3924" s="18" t="n">
        <v>1108907</v>
      </c>
      <c r="E3924" s="18" t="n">
        <v>1152019</v>
      </c>
      <c r="F3924" s="18" t="n">
        <v>1198998</v>
      </c>
      <c r="G3924" s="18" t="n">
        <v>1272415</v>
      </c>
      <c r="H3924" s="18" t="n">
        <v>1259019</v>
      </c>
      <c r="I3924" s="18" t="n">
        <v>1383546</v>
      </c>
      <c r="J3924" s="19" t="n">
        <v>1511586.464403201</v>
      </c>
      <c r="K3924" s="35" t="n">
        <v>0.04524884330743495</v>
      </c>
    </row>
    <row r="3925">
      <c r="A3925" s="36" t="inlineStr">
        <is>
          <t>Faste stillinger</t>
        </is>
      </c>
      <c r="B3925" s="36" t="inlineStr">
        <is>
          <t>Region Nord</t>
        </is>
      </c>
      <c r="C3925" s="36" t="inlineStr">
        <is>
          <t>Yttrabekken ungdomssenter avdeling 1</t>
        </is>
      </c>
      <c r="D3925" s="26" t="n">
        <v>8103965</v>
      </c>
      <c r="E3925" s="26" t="n">
        <v>9331331</v>
      </c>
      <c r="F3925" s="26" t="n">
        <v>11532850</v>
      </c>
      <c r="G3925" s="26" t="n">
        <v>12754739</v>
      </c>
      <c r="H3925" s="26" t="n">
        <v>11618324</v>
      </c>
      <c r="I3925" s="26" t="n">
        <v>13547661</v>
      </c>
      <c r="J3925" s="19" t="n">
        <v>16639145.77212766</v>
      </c>
      <c r="K3925" s="37" t="n">
        <v>0.1082388047813976</v>
      </c>
    </row>
    <row r="3926">
      <c r="A3926" s="34" t="inlineStr">
        <is>
          <t>Faste stillinger</t>
        </is>
      </c>
      <c r="B3926" s="34" t="inlineStr">
        <is>
          <t>Region Sør</t>
        </is>
      </c>
      <c r="C3926" s="34" t="inlineStr">
        <is>
          <t>Agder ungdomshjem</t>
        </is>
      </c>
      <c r="D3926" s="18" t="n">
        <v>1383786</v>
      </c>
      <c r="E3926" s="18" t="n">
        <v>803893</v>
      </c>
      <c r="F3926" s="18" t="n">
        <v>1055738</v>
      </c>
      <c r="G3926" s="18" t="n">
        <v>893723</v>
      </c>
      <c r="H3926" s="18" t="n">
        <v>921233</v>
      </c>
      <c r="I3926" s="18" t="n">
        <v>1000333</v>
      </c>
      <c r="J3926" s="19" t="n">
        <v>878566.9489639945</v>
      </c>
      <c r="K3926" s="35" t="n">
        <v>-0.0628370026719105</v>
      </c>
    </row>
    <row r="3927">
      <c r="A3927" s="36" t="inlineStr">
        <is>
          <t>Faste stillinger</t>
        </is>
      </c>
      <c r="B3927" s="36" t="inlineStr">
        <is>
          <t>Region Sør</t>
        </is>
      </c>
      <c r="C3927" s="36" t="inlineStr">
        <is>
          <t>Agder ungdomssenter</t>
        </is>
      </c>
      <c r="D3927" s="26" t="n">
        <v>775766</v>
      </c>
      <c r="E3927" s="26" t="n">
        <v>795295</v>
      </c>
      <c r="F3927" s="26" t="n">
        <v>822832</v>
      </c>
      <c r="G3927" s="26" t="n">
        <v>903022</v>
      </c>
      <c r="H3927" s="26" t="n">
        <v>923342</v>
      </c>
      <c r="I3927" s="26" t="n">
        <v>1356800</v>
      </c>
      <c r="J3927" s="19" t="n">
        <v>1696796.939782112</v>
      </c>
      <c r="K3927" s="37" t="n">
        <v>0.1182966364852913</v>
      </c>
    </row>
    <row r="3928">
      <c r="A3928" s="34" t="inlineStr">
        <is>
          <t>Faste stillinger</t>
        </is>
      </c>
      <c r="B3928" s="34" t="inlineStr">
        <is>
          <t>Region Sør</t>
        </is>
      </c>
      <c r="C3928" s="34" t="inlineStr">
        <is>
          <t>Avdeling Barkåker</t>
        </is>
      </c>
      <c r="D3928" s="18" t="n">
        <v>10608959</v>
      </c>
      <c r="E3928" s="18" t="n">
        <v>1920</v>
      </c>
      <c r="F3928" s="18" t="n"/>
      <c r="G3928" s="18" t="n"/>
      <c r="H3928" s="18" t="n"/>
      <c r="I3928" s="18" t="n"/>
      <c r="J3928" s="19" t="n">
        <v>0</v>
      </c>
      <c r="K3928" s="35" t="n">
        <v>0.065</v>
      </c>
    </row>
    <row r="3929">
      <c r="A3929" s="36" t="inlineStr">
        <is>
          <t>Faste stillinger</t>
        </is>
      </c>
      <c r="B3929" s="36" t="inlineStr">
        <is>
          <t>Region Sør</t>
        </is>
      </c>
      <c r="C3929" s="36" t="inlineStr">
        <is>
          <t>Avdeling Familiebehandling</t>
        </is>
      </c>
      <c r="D3929" s="26" t="n"/>
      <c r="E3929" s="26" t="n"/>
      <c r="F3929" s="26" t="n">
        <v>29247</v>
      </c>
      <c r="G3929" s="26" t="n"/>
      <c r="H3929" s="26" t="n"/>
      <c r="I3929" s="26" t="n"/>
      <c r="J3929" s="19" t="n">
        <v>0</v>
      </c>
      <c r="K3929" s="37" t="n">
        <v>0.065</v>
      </c>
    </row>
    <row r="3930">
      <c r="A3930" s="34" t="inlineStr">
        <is>
          <t>Faste stillinger</t>
        </is>
      </c>
      <c r="B3930" s="34" t="inlineStr">
        <is>
          <t>Region Sør</t>
        </is>
      </c>
      <c r="C3930" s="34" t="inlineStr">
        <is>
          <t>Avdeling Forvaltning og Økonomioppfølging</t>
        </is>
      </c>
      <c r="D3930" s="18" t="n">
        <v>4999451</v>
      </c>
      <c r="E3930" s="18" t="n">
        <v>4454289</v>
      </c>
      <c r="F3930" s="18" t="n">
        <v>4355632</v>
      </c>
      <c r="G3930" s="18" t="n">
        <v>5776260</v>
      </c>
      <c r="H3930" s="18" t="n">
        <v>7240376</v>
      </c>
      <c r="I3930" s="18" t="n">
        <v>8439069</v>
      </c>
      <c r="J3930" s="19" t="n">
        <v>10405032.1498911</v>
      </c>
      <c r="K3930" s="35" t="n">
        <v>0.1103871936549745</v>
      </c>
    </row>
    <row r="3931">
      <c r="A3931" s="36" t="inlineStr">
        <is>
          <t>Faste stillinger</t>
        </is>
      </c>
      <c r="B3931" s="36" t="inlineStr">
        <is>
          <t>Region Sør</t>
        </is>
      </c>
      <c r="C3931" s="36" t="inlineStr">
        <is>
          <t>Avdeling Furuly</t>
        </is>
      </c>
      <c r="D3931" s="26" t="n">
        <v>7235892</v>
      </c>
      <c r="E3931" s="26" t="n">
        <v>7763419</v>
      </c>
      <c r="F3931" s="26" t="n"/>
      <c r="G3931" s="26" t="n"/>
      <c r="H3931" s="26" t="n"/>
      <c r="I3931" s="26" t="n"/>
      <c r="J3931" s="19" t="n">
        <v>0</v>
      </c>
      <c r="K3931" s="37" t="n">
        <v>0.065</v>
      </c>
    </row>
    <row r="3932">
      <c r="A3932" s="34" t="inlineStr">
        <is>
          <t>Faste stillinger</t>
        </is>
      </c>
      <c r="B3932" s="34" t="inlineStr">
        <is>
          <t>Region Sør</t>
        </is>
      </c>
      <c r="C3932" s="34" t="inlineStr">
        <is>
          <t>Avdeling Geithus</t>
        </is>
      </c>
      <c r="D3932" s="18" t="n">
        <v>8155148</v>
      </c>
      <c r="E3932" s="18" t="n">
        <v>9723309</v>
      </c>
      <c r="F3932" s="18" t="n">
        <v>11708945</v>
      </c>
      <c r="G3932" s="18" t="n">
        <v>10189102</v>
      </c>
      <c r="H3932" s="18" t="n">
        <v>84081</v>
      </c>
      <c r="I3932" s="18" t="n"/>
      <c r="J3932" s="19" t="n">
        <v>0</v>
      </c>
      <c r="K3932" s="35" t="n">
        <v>0.065</v>
      </c>
    </row>
    <row r="3933">
      <c r="A3933" s="36" t="inlineStr">
        <is>
          <t>Faste stillinger</t>
        </is>
      </c>
      <c r="B3933" s="36" t="inlineStr">
        <is>
          <t>Region Sør</t>
        </is>
      </c>
      <c r="C3933" s="36" t="inlineStr">
        <is>
          <t>Avdeling Gemini</t>
        </is>
      </c>
      <c r="D3933" s="26" t="n">
        <v>5032585</v>
      </c>
      <c r="E3933" s="26" t="n">
        <v>5683537</v>
      </c>
      <c r="F3933" s="26" t="n">
        <v>-20716</v>
      </c>
      <c r="G3933" s="26" t="n"/>
      <c r="H3933" s="26" t="n"/>
      <c r="I3933" s="26" t="n"/>
      <c r="J3933" s="19" t="n">
        <v>0</v>
      </c>
      <c r="K3933" s="37" t="n">
        <v>0.065</v>
      </c>
    </row>
    <row r="3934">
      <c r="A3934" s="34" t="inlineStr">
        <is>
          <t>Faste stillinger</t>
        </is>
      </c>
      <c r="B3934" s="34" t="inlineStr">
        <is>
          <t>Region Sør</t>
        </is>
      </c>
      <c r="C3934" s="34" t="inlineStr">
        <is>
          <t>Avdeling Kjørbekk</t>
        </is>
      </c>
      <c r="D3934" s="18" t="n">
        <v>7524400</v>
      </c>
      <c r="E3934" s="18" t="n">
        <v>8658292</v>
      </c>
      <c r="F3934" s="18" t="n">
        <v>9433346</v>
      </c>
      <c r="G3934" s="18" t="n">
        <v>10249893</v>
      </c>
      <c r="H3934" s="18" t="n">
        <v>11327061</v>
      </c>
      <c r="I3934" s="18" t="n">
        <v>11611801</v>
      </c>
      <c r="J3934" s="19" t="n">
        <v>13812448.38868813</v>
      </c>
      <c r="K3934" s="35" t="n">
        <v>0.09065034713750131</v>
      </c>
    </row>
    <row r="3935">
      <c r="A3935" s="36" t="inlineStr">
        <is>
          <t>Faste stillinger</t>
        </is>
      </c>
      <c r="B3935" s="36" t="inlineStr">
        <is>
          <t>Region Sør</t>
        </is>
      </c>
      <c r="C3935" s="36" t="inlineStr">
        <is>
          <t>Avdeling Larønningen</t>
        </is>
      </c>
      <c r="D3935" s="26" t="n">
        <v>7168761</v>
      </c>
      <c r="E3935" s="26" t="n">
        <v>4880192</v>
      </c>
      <c r="F3935" s="26" t="n"/>
      <c r="G3935" s="26" t="n"/>
      <c r="H3935" s="26" t="n"/>
      <c r="I3935" s="26" t="n"/>
      <c r="J3935" s="19" t="n">
        <v>0</v>
      </c>
      <c r="K3935" s="37" t="n">
        <v>0.065</v>
      </c>
    </row>
    <row r="3936">
      <c r="A3936" s="34" t="inlineStr">
        <is>
          <t>Faste stillinger</t>
        </is>
      </c>
      <c r="B3936" s="34" t="inlineStr">
        <is>
          <t>Region Sør</t>
        </is>
      </c>
      <c r="C3936" s="34" t="inlineStr">
        <is>
          <t>Avdeling Miljøheimen</t>
        </is>
      </c>
      <c r="D3936" s="18" t="n">
        <v>6374131</v>
      </c>
      <c r="E3936" s="18" t="n">
        <v>7601734</v>
      </c>
      <c r="F3936" s="18" t="n">
        <v>7787744</v>
      </c>
      <c r="G3936" s="18" t="n">
        <v>8640231</v>
      </c>
      <c r="H3936" s="18" t="n">
        <v>9579349</v>
      </c>
      <c r="I3936" s="18" t="n">
        <v>11706949</v>
      </c>
      <c r="J3936" s="19" t="n">
        <v>14929759.88581661</v>
      </c>
      <c r="K3936" s="35" t="n">
        <v>0.1292875710728181</v>
      </c>
    </row>
    <row r="3937">
      <c r="A3937" s="36" t="inlineStr">
        <is>
          <t>Faste stillinger</t>
        </is>
      </c>
      <c r="B3937" s="36" t="inlineStr">
        <is>
          <t>Region Sør</t>
        </is>
      </c>
      <c r="C3937" s="36" t="inlineStr">
        <is>
          <t>Avdeling Nes</t>
        </is>
      </c>
      <c r="D3937" s="26" t="n">
        <v>5562251</v>
      </c>
      <c r="E3937" s="26" t="n">
        <v>6481572</v>
      </c>
      <c r="F3937" s="26" t="n">
        <v>7997785</v>
      </c>
      <c r="G3937" s="26" t="n">
        <v>7912690</v>
      </c>
      <c r="H3937" s="26" t="n">
        <v>12392703</v>
      </c>
      <c r="I3937" s="26" t="n">
        <v>13080750</v>
      </c>
      <c r="J3937" s="19" t="n">
        <v>18415582.92672263</v>
      </c>
      <c r="K3937" s="37" t="n">
        <v>0.1865236867917559</v>
      </c>
    </row>
    <row r="3938">
      <c r="A3938" s="34" t="inlineStr">
        <is>
          <t>Faste stillinger</t>
        </is>
      </c>
      <c r="B3938" s="34" t="inlineStr">
        <is>
          <t>Region Sør</t>
        </is>
      </c>
      <c r="C3938" s="34" t="inlineStr">
        <is>
          <t>Avdeling Nyli</t>
        </is>
      </c>
      <c r="D3938" s="18" t="n">
        <v>6065923</v>
      </c>
      <c r="E3938" s="18" t="n">
        <v>3558419</v>
      </c>
      <c r="F3938" s="18" t="n">
        <v>703</v>
      </c>
      <c r="G3938" s="18" t="n"/>
      <c r="H3938" s="18" t="n"/>
      <c r="I3938" s="18" t="n"/>
      <c r="J3938" s="19" t="n">
        <v>0</v>
      </c>
      <c r="K3938" s="35" t="n">
        <v>0.065</v>
      </c>
    </row>
    <row r="3939">
      <c r="A3939" s="36" t="inlineStr">
        <is>
          <t>Faste stillinger</t>
        </is>
      </c>
      <c r="B3939" s="36" t="inlineStr">
        <is>
          <t>Region Sør</t>
        </is>
      </c>
      <c r="C3939" s="36" t="inlineStr">
        <is>
          <t>Avdeling Orion</t>
        </is>
      </c>
      <c r="D3939" s="26" t="n">
        <v>5856349</v>
      </c>
      <c r="E3939" s="26" t="n">
        <v>6251801</v>
      </c>
      <c r="F3939" s="26" t="n">
        <v>142106</v>
      </c>
      <c r="G3939" s="26" t="n"/>
      <c r="H3939" s="26" t="n"/>
      <c r="I3939" s="26" t="n"/>
      <c r="J3939" s="19" t="n">
        <v>0</v>
      </c>
      <c r="K3939" s="37" t="n">
        <v>0.065</v>
      </c>
    </row>
    <row r="3940">
      <c r="A3940" s="34" t="inlineStr">
        <is>
          <t>Faste stillinger</t>
        </is>
      </c>
      <c r="B3940" s="34" t="inlineStr">
        <is>
          <t>Region Sør</t>
        </is>
      </c>
      <c r="C3940" s="34" t="inlineStr">
        <is>
          <t>Avdeling Skomrak</t>
        </is>
      </c>
      <c r="D3940" s="18" t="n">
        <v>7651128</v>
      </c>
      <c r="E3940" s="18" t="n">
        <v>8659643</v>
      </c>
      <c r="F3940" s="18" t="n">
        <v>9261188</v>
      </c>
      <c r="G3940" s="18" t="n">
        <v>10061546</v>
      </c>
      <c r="H3940" s="18" t="n">
        <v>10025084</v>
      </c>
      <c r="I3940" s="18" t="n">
        <v>11076553</v>
      </c>
      <c r="J3940" s="19" t="n">
        <v>12843290.17233378</v>
      </c>
      <c r="K3940" s="35" t="n">
        <v>0.07680194779157423</v>
      </c>
    </row>
    <row r="3941">
      <c r="A3941" s="36" t="inlineStr">
        <is>
          <t>Faste stillinger</t>
        </is>
      </c>
      <c r="B3941" s="36" t="inlineStr">
        <is>
          <t>Region Sør</t>
        </is>
      </c>
      <c r="C3941" s="36" t="inlineStr">
        <is>
          <t>Avdeling Vestre Kjenner</t>
        </is>
      </c>
      <c r="D3941" s="26" t="n">
        <v>5507236</v>
      </c>
      <c r="E3941" s="26" t="n">
        <v>6347717</v>
      </c>
      <c r="F3941" s="26" t="n">
        <v>1531285</v>
      </c>
      <c r="G3941" s="26" t="n"/>
      <c r="H3941" s="26" t="n"/>
      <c r="I3941" s="26" t="n"/>
      <c r="J3941" s="19" t="n">
        <v>0</v>
      </c>
      <c r="K3941" s="37" t="n">
        <v>0.065</v>
      </c>
    </row>
    <row r="3942">
      <c r="A3942" s="34" t="inlineStr">
        <is>
          <t>Faste stillinger</t>
        </is>
      </c>
      <c r="B3942" s="34" t="inlineStr">
        <is>
          <t>Region Sør</t>
        </is>
      </c>
      <c r="C3942" s="34" t="inlineStr">
        <is>
          <t>BVT behandling ungdom Adm</t>
        </is>
      </c>
      <c r="D3942" s="18" t="n">
        <v>1000874</v>
      </c>
      <c r="E3942" s="18" t="n">
        <v>1536152</v>
      </c>
      <c r="F3942" s="18" t="n">
        <v>1353430</v>
      </c>
      <c r="G3942" s="18" t="n">
        <v>1334450</v>
      </c>
      <c r="H3942" s="18" t="n">
        <v>95770</v>
      </c>
      <c r="I3942" s="18" t="n"/>
      <c r="J3942" s="19" t="n">
        <v>0</v>
      </c>
      <c r="K3942" s="35" t="n">
        <v>0.065</v>
      </c>
    </row>
    <row r="3943">
      <c r="A3943" s="36" t="inlineStr">
        <is>
          <t>Faste stillinger</t>
        </is>
      </c>
      <c r="B3943" s="36" t="inlineStr">
        <is>
          <t>Region Sør</t>
        </is>
      </c>
      <c r="C3943" s="36" t="inlineStr">
        <is>
          <t>Barkåker ungdomssenter akutt.</t>
        </is>
      </c>
      <c r="D3943" s="26" t="n"/>
      <c r="E3943" s="26" t="n">
        <v>776456</v>
      </c>
      <c r="F3943" s="26" t="n">
        <v>797024</v>
      </c>
      <c r="G3943" s="26" t="n">
        <v>835751</v>
      </c>
      <c r="H3943" s="26" t="n">
        <v>897477</v>
      </c>
      <c r="I3943" s="26" t="n">
        <v>1003296</v>
      </c>
      <c r="J3943" s="19" t="n">
        <v>1140473.493564749</v>
      </c>
      <c r="K3943" s="37" t="n">
        <v>0.06617392666199939</v>
      </c>
    </row>
    <row r="3944">
      <c r="A3944" s="34" t="inlineStr">
        <is>
          <t>Faste stillinger</t>
        </is>
      </c>
      <c r="B3944" s="34" t="inlineStr">
        <is>
          <t>Region Sør</t>
        </is>
      </c>
      <c r="C3944" s="34" t="inlineStr">
        <is>
          <t>Barkåker.</t>
        </is>
      </c>
      <c r="D3944" s="18" t="n"/>
      <c r="E3944" s="18" t="n">
        <v>10597988</v>
      </c>
      <c r="F3944" s="18" t="n">
        <v>10113111</v>
      </c>
      <c r="G3944" s="18" t="n">
        <v>12177033</v>
      </c>
      <c r="H3944" s="18" t="n">
        <v>14870166</v>
      </c>
      <c r="I3944" s="18" t="n">
        <v>16791393</v>
      </c>
      <c r="J3944" s="19" t="n">
        <v>21135784.77063747</v>
      </c>
      <c r="K3944" s="35" t="n">
        <v>0.1219301670746136</v>
      </c>
    </row>
    <row r="3945">
      <c r="A3945" s="36" t="inlineStr">
        <is>
          <t>Faste stillinger</t>
        </is>
      </c>
      <c r="B3945" s="36" t="inlineStr">
        <is>
          <t>Region Sør</t>
        </is>
      </c>
      <c r="C3945" s="36" t="inlineStr">
        <is>
          <t>Buskerud ungdomshjem Adm</t>
        </is>
      </c>
      <c r="D3945" s="26" t="n">
        <v>483956</v>
      </c>
      <c r="E3945" s="26" t="n">
        <v>1057217</v>
      </c>
      <c r="F3945" s="26" t="n">
        <v>14107</v>
      </c>
      <c r="G3945" s="26" t="n"/>
      <c r="H3945" s="26" t="n"/>
      <c r="I3945" s="26" t="n"/>
      <c r="J3945" s="19" t="n">
        <v>0</v>
      </c>
      <c r="K3945" s="37" t="n">
        <v>0.065</v>
      </c>
    </row>
    <row r="3946">
      <c r="A3946" s="34" t="inlineStr">
        <is>
          <t>Faste stillinger</t>
        </is>
      </c>
      <c r="B3946" s="34" t="inlineStr">
        <is>
          <t>Region Sør</t>
        </is>
      </c>
      <c r="C3946" s="34" t="inlineStr">
        <is>
          <t>Furuly</t>
        </is>
      </c>
      <c r="D3946" s="18" t="n"/>
      <c r="E3946" s="18" t="n"/>
      <c r="F3946" s="18" t="n">
        <v>8124017</v>
      </c>
      <c r="G3946" s="18" t="n">
        <v>8179695</v>
      </c>
      <c r="H3946" s="18" t="n">
        <v>8745320</v>
      </c>
      <c r="I3946" s="18" t="n">
        <v>10752984</v>
      </c>
      <c r="J3946" s="19" t="n">
        <v>12196303.2774</v>
      </c>
      <c r="K3946" s="35" t="n">
        <v>0.065</v>
      </c>
    </row>
    <row r="3947">
      <c r="A3947" s="36" t="inlineStr">
        <is>
          <t>Faste stillinger</t>
        </is>
      </c>
      <c r="B3947" s="36" t="inlineStr">
        <is>
          <t>Region Sør</t>
        </is>
      </c>
      <c r="C3947" s="36" t="inlineStr">
        <is>
          <t>Grøterød ungdomshjem</t>
        </is>
      </c>
      <c r="D3947" s="26" t="n"/>
      <c r="E3947" s="26" t="n">
        <v>596035</v>
      </c>
      <c r="F3947" s="26" t="n">
        <v>861849</v>
      </c>
      <c r="G3947" s="26" t="n">
        <v>894933</v>
      </c>
      <c r="H3947" s="26" t="n">
        <v>910605</v>
      </c>
      <c r="I3947" s="26" t="n">
        <v>101997</v>
      </c>
      <c r="J3947" s="19" t="n">
        <v>57373.3125</v>
      </c>
      <c r="K3947" s="37" t="n">
        <v>-0.25</v>
      </c>
    </row>
    <row r="3948">
      <c r="A3948" s="34" t="inlineStr">
        <is>
          <t>Faste stillinger</t>
        </is>
      </c>
      <c r="B3948" s="34" t="inlineStr">
        <is>
          <t>Region Sør</t>
        </is>
      </c>
      <c r="C3948" s="34" t="inlineStr">
        <is>
          <t>Ilaug</t>
        </is>
      </c>
      <c r="D3948" s="18" t="n">
        <v>5851253</v>
      </c>
      <c r="E3948" s="18" t="n">
        <v>3859219</v>
      </c>
      <c r="F3948" s="18" t="n"/>
      <c r="G3948" s="18" t="n"/>
      <c r="H3948" s="18" t="n"/>
      <c r="I3948" s="18" t="n"/>
      <c r="J3948" s="19" t="n">
        <v>0</v>
      </c>
      <c r="K3948" s="35" t="n">
        <v>0.065</v>
      </c>
    </row>
    <row r="3949">
      <c r="A3949" s="36" t="inlineStr">
        <is>
          <t>Faste stillinger</t>
        </is>
      </c>
      <c r="B3949" s="36" t="inlineStr">
        <is>
          <t>Region Sør</t>
        </is>
      </c>
      <c r="C3949" s="36" t="inlineStr">
        <is>
          <t>Justøya</t>
        </is>
      </c>
      <c r="D3949" s="26" t="n"/>
      <c r="E3949" s="26" t="n"/>
      <c r="F3949" s="26" t="n"/>
      <c r="G3949" s="26" t="n"/>
      <c r="H3949" s="26" t="n"/>
      <c r="I3949" s="26" t="n">
        <v>3411340</v>
      </c>
      <c r="J3949" s="19" t="n">
        <v>3869227.111499999</v>
      </c>
      <c r="K3949" s="37" t="n">
        <v>0.065</v>
      </c>
    </row>
    <row r="3950">
      <c r="A3950" s="34" t="inlineStr">
        <is>
          <t>Faste stillinger</t>
        </is>
      </c>
      <c r="B3950" s="34" t="inlineStr">
        <is>
          <t>Region Sør</t>
        </is>
      </c>
      <c r="C3950" s="34" t="inlineStr">
        <is>
          <t>Justøya behandling ungdom</t>
        </is>
      </c>
      <c r="D3950" s="18" t="n"/>
      <c r="E3950" s="18" t="n"/>
      <c r="F3950" s="18" t="n"/>
      <c r="G3950" s="18" t="n"/>
      <c r="H3950" s="18" t="n"/>
      <c r="I3950" s="18" t="n">
        <v>168983</v>
      </c>
      <c r="J3950" s="19" t="n">
        <v>191664.743175</v>
      </c>
      <c r="K3950" s="35" t="n">
        <v>0.065</v>
      </c>
    </row>
    <row r="3951">
      <c r="A3951" s="36" t="inlineStr">
        <is>
          <t>Faste stillinger</t>
        </is>
      </c>
      <c r="B3951" s="36" t="inlineStr">
        <is>
          <t>Region Sør</t>
        </is>
      </c>
      <c r="C3951" s="36" t="inlineStr">
        <is>
          <t>Kantum</t>
        </is>
      </c>
      <c r="D3951" s="26" t="n">
        <v>4803036</v>
      </c>
      <c r="E3951" s="26" t="n">
        <v>5373118</v>
      </c>
      <c r="F3951" s="26" t="n">
        <v>5417243</v>
      </c>
      <c r="G3951" s="26" t="n">
        <v>5692447</v>
      </c>
      <c r="H3951" s="26" t="n">
        <v>7666159</v>
      </c>
      <c r="I3951" s="26" t="n">
        <v>8477382</v>
      </c>
      <c r="J3951" s="19" t="n">
        <v>10640453.00669166</v>
      </c>
      <c r="K3951" s="37" t="n">
        <v>0.120338298074296</v>
      </c>
    </row>
    <row r="3952">
      <c r="A3952" s="34" t="inlineStr">
        <is>
          <t>Faste stillinger</t>
        </is>
      </c>
      <c r="B3952" s="34" t="inlineStr">
        <is>
          <t>Region Sør</t>
        </is>
      </c>
      <c r="C3952" s="34" t="inlineStr">
        <is>
          <t>Kartleggingsteam ungdom</t>
        </is>
      </c>
      <c r="D3952" s="18" t="n"/>
      <c r="E3952" s="18" t="n"/>
      <c r="F3952" s="18" t="n"/>
      <c r="G3952" s="18" t="n"/>
      <c r="H3952" s="18" t="n">
        <v>71040</v>
      </c>
      <c r="I3952" s="18" t="n">
        <v>-71040</v>
      </c>
      <c r="J3952" s="19" t="n">
        <v>-80575.34399999998</v>
      </c>
      <c r="K3952" s="35" t="n">
        <v>0.065</v>
      </c>
    </row>
    <row r="3953">
      <c r="A3953" s="36" t="inlineStr">
        <is>
          <t>Faste stillinger</t>
        </is>
      </c>
      <c r="B3953" s="36" t="inlineStr">
        <is>
          <t>Region Sør</t>
        </is>
      </c>
      <c r="C3953" s="36" t="inlineStr">
        <is>
          <t>Katfoss</t>
        </is>
      </c>
      <c r="D3953" s="26" t="n"/>
      <c r="E3953" s="26" t="n"/>
      <c r="F3953" s="26" t="n"/>
      <c r="G3953" s="26" t="n"/>
      <c r="H3953" s="26" t="n">
        <v>13100657</v>
      </c>
      <c r="I3953" s="26" t="n">
        <v>17815630</v>
      </c>
      <c r="J3953" s="19" t="n">
        <v>20206932.93675</v>
      </c>
      <c r="K3953" s="37" t="n">
        <v>0.065</v>
      </c>
    </row>
    <row r="3954">
      <c r="A3954" s="34" t="inlineStr">
        <is>
          <t>Faste stillinger</t>
        </is>
      </c>
      <c r="B3954" s="34" t="inlineStr">
        <is>
          <t>Region Sør</t>
        </is>
      </c>
      <c r="C3954" s="34" t="inlineStr">
        <is>
          <t>Katfoss behandling ungdom</t>
        </is>
      </c>
      <c r="D3954" s="18" t="n"/>
      <c r="E3954" s="18" t="n"/>
      <c r="F3954" s="18" t="n"/>
      <c r="G3954" s="18" t="n"/>
      <c r="H3954" s="18" t="n">
        <v>1377750</v>
      </c>
      <c r="I3954" s="18" t="n">
        <v>744335</v>
      </c>
      <c r="J3954" s="19" t="n">
        <v>844243.3653749998</v>
      </c>
      <c r="K3954" s="35" t="n">
        <v>0.065</v>
      </c>
    </row>
    <row r="3955">
      <c r="A3955" s="36" t="inlineStr">
        <is>
          <t>Faste stillinger</t>
        </is>
      </c>
      <c r="B3955" s="36" t="inlineStr">
        <is>
          <t>Region Sør</t>
        </is>
      </c>
      <c r="C3955" s="36" t="inlineStr">
        <is>
          <t>Klokkerhuset</t>
        </is>
      </c>
      <c r="D3955" s="26" t="n">
        <v>10663495</v>
      </c>
      <c r="E3955" s="26" t="n">
        <v>10238325</v>
      </c>
      <c r="F3955" s="26" t="n">
        <v>11014546</v>
      </c>
      <c r="G3955" s="26" t="n">
        <v>14260830</v>
      </c>
      <c r="H3955" s="26" t="n">
        <v>14632172</v>
      </c>
      <c r="I3955" s="26" t="n">
        <v>15805600</v>
      </c>
      <c r="J3955" s="19" t="n">
        <v>18500162.95081041</v>
      </c>
      <c r="K3955" s="37" t="n">
        <v>0.08188794940919575</v>
      </c>
    </row>
    <row r="3956">
      <c r="A3956" s="34" t="inlineStr">
        <is>
          <t>Faste stillinger</t>
        </is>
      </c>
      <c r="B3956" s="34" t="inlineStr">
        <is>
          <t>Region Sør</t>
        </is>
      </c>
      <c r="C3956" s="34" t="inlineStr">
        <is>
          <t>Klokkerhuset ungdomssenter akutt</t>
        </is>
      </c>
      <c r="D3956" s="18" t="n">
        <v>657339</v>
      </c>
      <c r="E3956" s="18" t="n">
        <v>649409</v>
      </c>
      <c r="F3956" s="18" t="n">
        <v>389037</v>
      </c>
      <c r="G3956" s="18" t="n">
        <v>436172</v>
      </c>
      <c r="H3956" s="18" t="n">
        <v>597361</v>
      </c>
      <c r="I3956" s="18" t="n">
        <v>643895</v>
      </c>
      <c r="J3956" s="19" t="n">
        <v>638594.7059812079</v>
      </c>
      <c r="K3956" s="35" t="n">
        <v>-0.004124311134276692</v>
      </c>
    </row>
    <row r="3957">
      <c r="A3957" s="36" t="inlineStr">
        <is>
          <t>Faste stillinger</t>
        </is>
      </c>
      <c r="B3957" s="36" t="inlineStr">
        <is>
          <t>Region Sør</t>
        </is>
      </c>
      <c r="C3957" s="36" t="inlineStr">
        <is>
          <t>Knuten</t>
        </is>
      </c>
      <c r="D3957" s="26" t="n"/>
      <c r="E3957" s="26" t="n"/>
      <c r="F3957" s="26" t="n">
        <v>7534596</v>
      </c>
      <c r="G3957" s="26" t="n">
        <v>8112178</v>
      </c>
      <c r="H3957" s="26" t="n">
        <v>9065282</v>
      </c>
      <c r="I3957" s="26" t="n">
        <v>7691815</v>
      </c>
      <c r="J3957" s="19" t="n">
        <v>8724248.868374998</v>
      </c>
      <c r="K3957" s="37" t="n">
        <v>0.065</v>
      </c>
    </row>
    <row r="3958">
      <c r="A3958" s="34" t="inlineStr">
        <is>
          <t>Faste stillinger</t>
        </is>
      </c>
      <c r="B3958" s="34" t="inlineStr">
        <is>
          <t>Region Sør</t>
        </is>
      </c>
      <c r="C3958" s="34" t="inlineStr">
        <is>
          <t>Lerketoppen</t>
        </is>
      </c>
      <c r="D3958" s="18" t="n"/>
      <c r="E3958" s="18" t="n"/>
      <c r="F3958" s="18" t="n"/>
      <c r="G3958" s="18" t="n"/>
      <c r="H3958" s="18" t="n">
        <v>5726767</v>
      </c>
      <c r="I3958" s="18" t="n">
        <v>13677154</v>
      </c>
      <c r="J3958" s="19" t="n">
        <v>15512969.99565</v>
      </c>
      <c r="K3958" s="35" t="n">
        <v>0.065</v>
      </c>
    </row>
    <row r="3959">
      <c r="A3959" s="36" t="inlineStr">
        <is>
          <t>Faste stillinger</t>
        </is>
      </c>
      <c r="B3959" s="36" t="inlineStr">
        <is>
          <t>Region Sør</t>
        </is>
      </c>
      <c r="C3959" s="36" t="inlineStr">
        <is>
          <t>Lunde behandlingssenter</t>
        </is>
      </c>
      <c r="D3959" s="26" t="n">
        <v>13572007</v>
      </c>
      <c r="E3959" s="26" t="n">
        <v>13694583</v>
      </c>
      <c r="F3959" s="26" t="n">
        <v>14600776</v>
      </c>
      <c r="G3959" s="26" t="n">
        <v>14928031</v>
      </c>
      <c r="H3959" s="26" t="n">
        <v>15640842</v>
      </c>
      <c r="I3959" s="26" t="n">
        <v>15844688</v>
      </c>
      <c r="J3959" s="19" t="n">
        <v>16856970.95876449</v>
      </c>
      <c r="K3959" s="37" t="n">
        <v>0.03144939004620539</v>
      </c>
    </row>
    <row r="3960">
      <c r="A3960" s="34" t="inlineStr">
        <is>
          <t>Faste stillinger</t>
        </is>
      </c>
      <c r="B3960" s="34" t="inlineStr">
        <is>
          <t>Region Sør</t>
        </is>
      </c>
      <c r="C3960" s="34" t="inlineStr">
        <is>
          <t>Lunde behandlingssenter adm.</t>
        </is>
      </c>
      <c r="D3960" s="18" t="n">
        <v>789701</v>
      </c>
      <c r="E3960" s="18" t="n">
        <v>820174</v>
      </c>
      <c r="F3960" s="18" t="n">
        <v>842786</v>
      </c>
      <c r="G3960" s="18" t="n">
        <v>611935</v>
      </c>
      <c r="H3960" s="18" t="n">
        <v>821693</v>
      </c>
      <c r="I3960" s="18" t="n">
        <v>891084</v>
      </c>
      <c r="J3960" s="19" t="n">
        <v>935192.5291748277</v>
      </c>
      <c r="K3960" s="35" t="n">
        <v>0.02445100196578465</v>
      </c>
    </row>
    <row r="3961">
      <c r="A3961" s="36" t="inlineStr">
        <is>
          <t>Faste stillinger</t>
        </is>
      </c>
      <c r="B3961" s="36" t="inlineStr">
        <is>
          <t>Region Sør</t>
        </is>
      </c>
      <c r="C3961" s="36" t="inlineStr">
        <is>
          <t>Lågen ungdomshjem</t>
        </is>
      </c>
      <c r="D3961" s="26" t="n"/>
      <c r="E3961" s="26" t="n">
        <v>40906</v>
      </c>
      <c r="F3961" s="26" t="n">
        <v>1155086</v>
      </c>
      <c r="G3961" s="26" t="n">
        <v>906018</v>
      </c>
      <c r="H3961" s="26" t="n">
        <v>748624</v>
      </c>
      <c r="I3961" s="26" t="n">
        <v>222763</v>
      </c>
      <c r="J3961" s="19" t="n">
        <v>348067.1875</v>
      </c>
      <c r="K3961" s="37" t="n">
        <v>0.25</v>
      </c>
    </row>
    <row r="3962">
      <c r="A3962" s="34" t="inlineStr">
        <is>
          <t>Faste stillinger</t>
        </is>
      </c>
      <c r="B3962" s="34" t="inlineStr">
        <is>
          <t>Region Sør</t>
        </is>
      </c>
      <c r="C3962" s="34" t="inlineStr">
        <is>
          <t>Mynten</t>
        </is>
      </c>
      <c r="D3962" s="18" t="n"/>
      <c r="E3962" s="18" t="n">
        <v>166980</v>
      </c>
      <c r="F3962" s="18" t="n">
        <v>8677248</v>
      </c>
      <c r="G3962" s="18" t="n">
        <v>10766504</v>
      </c>
      <c r="H3962" s="18" t="n">
        <v>9926899</v>
      </c>
      <c r="I3962" s="18" t="n">
        <v>10737202</v>
      </c>
      <c r="J3962" s="19" t="n">
        <v>16776878.125</v>
      </c>
      <c r="K3962" s="35" t="n">
        <v>0.25</v>
      </c>
    </row>
    <row r="3963">
      <c r="A3963" s="36" t="inlineStr">
        <is>
          <t>Faste stillinger</t>
        </is>
      </c>
      <c r="B3963" s="36" t="inlineStr">
        <is>
          <t>Region Sør</t>
        </is>
      </c>
      <c r="C3963" s="36" t="inlineStr">
        <is>
          <t>Nye Toppen</t>
        </is>
      </c>
      <c r="D3963" s="26" t="n">
        <v>7893907</v>
      </c>
      <c r="E3963" s="26" t="n">
        <v>8542762</v>
      </c>
      <c r="F3963" s="26" t="n">
        <v>8601174</v>
      </c>
      <c r="G3963" s="26" t="n">
        <v>10757218</v>
      </c>
      <c r="H3963" s="26" t="n">
        <v>12546547</v>
      </c>
      <c r="I3963" s="26" t="n">
        <v>13315497</v>
      </c>
      <c r="J3963" s="19" t="n">
        <v>16412832.27102164</v>
      </c>
      <c r="K3963" s="37" t="n">
        <v>0.1102302983157954</v>
      </c>
    </row>
    <row r="3964">
      <c r="A3964" s="34" t="inlineStr">
        <is>
          <t>Faste stillinger</t>
        </is>
      </c>
      <c r="B3964" s="34" t="inlineStr">
        <is>
          <t>Region Sør</t>
        </is>
      </c>
      <c r="C3964" s="34" t="inlineStr">
        <is>
          <t>Nyhuset</t>
        </is>
      </c>
      <c r="D3964" s="18" t="n"/>
      <c r="E3964" s="18" t="n"/>
      <c r="F3964" s="18" t="n"/>
      <c r="G3964" s="18" t="n">
        <v>10818361</v>
      </c>
      <c r="H3964" s="18" t="n">
        <v>11268069</v>
      </c>
      <c r="I3964" s="18" t="n">
        <v>12904568</v>
      </c>
      <c r="J3964" s="19" t="n">
        <v>14636683.6398</v>
      </c>
      <c r="K3964" s="35" t="n">
        <v>0.065</v>
      </c>
    </row>
    <row r="3965">
      <c r="A3965" s="36" t="inlineStr">
        <is>
          <t>Faste stillinger</t>
        </is>
      </c>
      <c r="B3965" s="36" t="inlineStr">
        <is>
          <t>Region Sør</t>
        </is>
      </c>
      <c r="C3965" s="36" t="inlineStr">
        <is>
          <t>Omsorg for ungdom</t>
        </is>
      </c>
      <c r="D3965" s="26" t="n">
        <v>742054</v>
      </c>
      <c r="E3965" s="26" t="n">
        <v>-25365</v>
      </c>
      <c r="F3965" s="26" t="n"/>
      <c r="G3965" s="26" t="n"/>
      <c r="H3965" s="26" t="n"/>
      <c r="I3965" s="26" t="n"/>
      <c r="J3965" s="19" t="n">
        <v>0</v>
      </c>
      <c r="K3965" s="37" t="n">
        <v>0.065</v>
      </c>
    </row>
    <row r="3966">
      <c r="A3966" s="34" t="inlineStr">
        <is>
          <t>Faste stillinger</t>
        </is>
      </c>
      <c r="B3966" s="34" t="inlineStr">
        <is>
          <t>Region Sør</t>
        </is>
      </c>
      <c r="C3966" s="34" t="inlineStr">
        <is>
          <t>Prosjekt Care</t>
        </is>
      </c>
      <c r="D3966" s="18" t="n"/>
      <c r="E3966" s="18" t="n">
        <v>94839</v>
      </c>
      <c r="F3966" s="18" t="n"/>
      <c r="G3966" s="18" t="n"/>
      <c r="H3966" s="18" t="n"/>
      <c r="I3966" s="18" t="n"/>
      <c r="J3966" s="19" t="n">
        <v>0</v>
      </c>
      <c r="K3966" s="35" t="n">
        <v>0.065</v>
      </c>
    </row>
    <row r="3967">
      <c r="A3967" s="36" t="inlineStr">
        <is>
          <t>Faste stillinger</t>
        </is>
      </c>
      <c r="B3967" s="36" t="inlineStr">
        <is>
          <t>Region Sør</t>
        </is>
      </c>
      <c r="C3967" s="36" t="inlineStr">
        <is>
          <t>Psykologteam</t>
        </is>
      </c>
      <c r="D3967" s="26" t="n"/>
      <c r="E3967" s="26" t="n">
        <v>2583737</v>
      </c>
      <c r="F3967" s="26" t="n">
        <v>3709597</v>
      </c>
      <c r="G3967" s="26" t="n">
        <v>5161453</v>
      </c>
      <c r="H3967" s="26" t="n">
        <v>5488047</v>
      </c>
      <c r="I3967" s="26" t="n">
        <v>5493613</v>
      </c>
      <c r="J3967" s="19" t="n">
        <v>8010561.165890721</v>
      </c>
      <c r="K3967" s="37" t="n">
        <v>0.2075425403640947</v>
      </c>
    </row>
    <row r="3968">
      <c r="A3968" s="34" t="inlineStr">
        <is>
          <t>Faste stillinger</t>
        </is>
      </c>
      <c r="B3968" s="34" t="inlineStr">
        <is>
          <t>Region Sør</t>
        </is>
      </c>
      <c r="C3968" s="34" t="inlineStr">
        <is>
          <t>Ressursmiljø for trygghet og sikkerhet</t>
        </is>
      </c>
      <c r="D3968" s="18" t="n">
        <v>1555478</v>
      </c>
      <c r="E3968" s="18" t="n">
        <v>1860048</v>
      </c>
      <c r="F3968" s="18" t="n">
        <v>2245274</v>
      </c>
      <c r="G3968" s="18" t="n">
        <v>2363531</v>
      </c>
      <c r="H3968" s="18" t="n">
        <v>3012470</v>
      </c>
      <c r="I3968" s="18" t="n">
        <v>3719119</v>
      </c>
      <c r="J3968" s="19" t="n">
        <v>5270727.400213993</v>
      </c>
      <c r="K3968" s="35" t="n">
        <v>0.1904611864428218</v>
      </c>
    </row>
    <row r="3969">
      <c r="A3969" s="36" t="inlineStr">
        <is>
          <t>Faste stillinger</t>
        </is>
      </c>
      <c r="B3969" s="36" t="inlineStr">
        <is>
          <t>Region Sør</t>
        </is>
      </c>
      <c r="C3969" s="36" t="inlineStr">
        <is>
          <t>Skjerfheimkollektivet</t>
        </is>
      </c>
      <c r="D3969" s="26" t="n">
        <v>12066396</v>
      </c>
      <c r="E3969" s="26" t="n">
        <v>10568783</v>
      </c>
      <c r="F3969" s="26" t="n">
        <v>11569253</v>
      </c>
      <c r="G3969" s="26" t="n">
        <v>22133</v>
      </c>
      <c r="H3969" s="26" t="n"/>
      <c r="I3969" s="26" t="n"/>
      <c r="J3969" s="19" t="n">
        <v>0</v>
      </c>
      <c r="K3969" s="37" t="n">
        <v>0.065</v>
      </c>
    </row>
    <row r="3970">
      <c r="A3970" s="34" t="inlineStr">
        <is>
          <t>Faste stillinger</t>
        </is>
      </c>
      <c r="B3970" s="34" t="inlineStr">
        <is>
          <t>Region Sør</t>
        </is>
      </c>
      <c r="C3970" s="34" t="inlineStr">
        <is>
          <t>Skjerven rusbehandling ungdom</t>
        </is>
      </c>
      <c r="D3970" s="18" t="n"/>
      <c r="E3970" s="18" t="n"/>
      <c r="F3970" s="18" t="n"/>
      <c r="G3970" s="18" t="n">
        <v>892076</v>
      </c>
      <c r="H3970" s="18" t="n">
        <v>971335</v>
      </c>
      <c r="I3970" s="18" t="n">
        <v>736123</v>
      </c>
      <c r="J3970" s="19" t="n">
        <v>834929.1096749998</v>
      </c>
      <c r="K3970" s="35" t="n">
        <v>0.065</v>
      </c>
    </row>
    <row r="3971">
      <c r="A3971" s="36" t="inlineStr">
        <is>
          <t>Faste stillinger</t>
        </is>
      </c>
      <c r="B3971" s="36" t="inlineStr">
        <is>
          <t>Region Sør</t>
        </is>
      </c>
      <c r="C3971" s="36" t="inlineStr">
        <is>
          <t>Spisskompetansemiljø for akuttarbeid</t>
        </is>
      </c>
      <c r="D3971" s="26" t="n">
        <v>654455</v>
      </c>
      <c r="E3971" s="26" t="n">
        <v>1322365</v>
      </c>
      <c r="F3971" s="26" t="n">
        <v>2745227</v>
      </c>
      <c r="G3971" s="26" t="n">
        <v>3031192</v>
      </c>
      <c r="H3971" s="26" t="n">
        <v>3099247</v>
      </c>
      <c r="I3971" s="26" t="n">
        <v>2863676</v>
      </c>
      <c r="J3971" s="19" t="n">
        <v>4474493.75</v>
      </c>
      <c r="K3971" s="37" t="n">
        <v>0.25</v>
      </c>
    </row>
    <row r="3972">
      <c r="A3972" s="34" t="inlineStr">
        <is>
          <t>Faste stillinger</t>
        </is>
      </c>
      <c r="B3972" s="34" t="inlineStr">
        <is>
          <t>Region Sør</t>
        </is>
      </c>
      <c r="C3972" s="34" t="inlineStr">
        <is>
          <t>St. Hansgården ungdomssenter akutt</t>
        </is>
      </c>
      <c r="D3972" s="18" t="n">
        <v>885595</v>
      </c>
      <c r="E3972" s="18" t="n">
        <v>629229</v>
      </c>
      <c r="F3972" s="18" t="n">
        <v>892948</v>
      </c>
      <c r="G3972" s="18" t="n">
        <v>912905</v>
      </c>
      <c r="H3972" s="18" t="n">
        <v>964547</v>
      </c>
      <c r="I3972" s="18" t="n">
        <v>897344</v>
      </c>
      <c r="J3972" s="19" t="n">
        <v>902087.128820827</v>
      </c>
      <c r="K3972" s="35" t="n">
        <v>0.002639387789069358</v>
      </c>
    </row>
    <row r="3973">
      <c r="A3973" s="36" t="inlineStr">
        <is>
          <t>Faste stillinger</t>
        </is>
      </c>
      <c r="B3973" s="36" t="inlineStr">
        <is>
          <t>Region Sør</t>
        </is>
      </c>
      <c r="C3973" s="36" t="inlineStr">
        <is>
          <t>St.Hansgården</t>
        </is>
      </c>
      <c r="D3973" s="26" t="n">
        <v>8532242</v>
      </c>
      <c r="E3973" s="26" t="n">
        <v>8823044</v>
      </c>
      <c r="F3973" s="26" t="n">
        <v>9704983</v>
      </c>
      <c r="G3973" s="26" t="n">
        <v>12616621</v>
      </c>
      <c r="H3973" s="26" t="n">
        <v>15395863</v>
      </c>
      <c r="I3973" s="26" t="n">
        <v>16964049</v>
      </c>
      <c r="J3973" s="19" t="n">
        <v>22331405.59830441</v>
      </c>
      <c r="K3973" s="37" t="n">
        <v>0.1473430009098209</v>
      </c>
    </row>
    <row r="3974">
      <c r="A3974" s="34" t="inlineStr">
        <is>
          <t>Faste stillinger</t>
        </is>
      </c>
      <c r="B3974" s="34" t="inlineStr">
        <is>
          <t>Region Sør</t>
        </is>
      </c>
      <c r="C3974" s="34" t="inlineStr">
        <is>
          <t>Stokke barnesenter</t>
        </is>
      </c>
      <c r="D3974" s="18" t="n"/>
      <c r="E3974" s="18" t="n"/>
      <c r="F3974" s="18" t="n"/>
      <c r="G3974" s="18" t="n"/>
      <c r="H3974" s="18" t="n">
        <v>904093</v>
      </c>
      <c r="I3974" s="18" t="n">
        <v>1023511</v>
      </c>
      <c r="J3974" s="19" t="n">
        <v>1160891.763975</v>
      </c>
      <c r="K3974" s="35" t="n">
        <v>0.065</v>
      </c>
    </row>
    <row r="3975">
      <c r="A3975" s="36" t="inlineStr">
        <is>
          <t>Faste stillinger</t>
        </is>
      </c>
      <c r="B3975" s="36" t="inlineStr">
        <is>
          <t>Region Sør</t>
        </is>
      </c>
      <c r="C3975" s="36" t="inlineStr">
        <is>
          <t>Sundstedtråkka</t>
        </is>
      </c>
      <c r="D3975" s="26" t="n">
        <v>8437223</v>
      </c>
      <c r="E3975" s="26" t="n">
        <v>7159484</v>
      </c>
      <c r="F3975" s="26" t="n">
        <v>9299477</v>
      </c>
      <c r="G3975" s="26" t="n">
        <v>11008834</v>
      </c>
      <c r="H3975" s="26" t="n">
        <v>14540088</v>
      </c>
      <c r="I3975" s="26" t="n">
        <v>16063938</v>
      </c>
      <c r="J3975" s="19" t="n">
        <v>20783228.66137675</v>
      </c>
      <c r="K3975" s="37" t="n">
        <v>0.1374452417711973</v>
      </c>
    </row>
    <row r="3976">
      <c r="A3976" s="34" t="inlineStr">
        <is>
          <t>Faste stillinger</t>
        </is>
      </c>
      <c r="B3976" s="34" t="inlineStr">
        <is>
          <t>Region Sør</t>
        </is>
      </c>
      <c r="C3976" s="34" t="inlineStr">
        <is>
          <t>Sundstedtråkka ungdomssenter akutt</t>
        </is>
      </c>
      <c r="D3976" s="18" t="n">
        <v>564063</v>
      </c>
      <c r="E3976" s="18" t="n">
        <v>569790</v>
      </c>
      <c r="F3976" s="18" t="n">
        <v>588197</v>
      </c>
      <c r="G3976" s="18" t="n">
        <v>610928</v>
      </c>
      <c r="H3976" s="18" t="n">
        <v>621216</v>
      </c>
      <c r="I3976" s="18" t="n">
        <v>1257542</v>
      </c>
      <c r="J3976" s="19" t="n">
        <v>1733007.543341404</v>
      </c>
      <c r="K3976" s="35" t="n">
        <v>0.1739212851410046</v>
      </c>
    </row>
    <row r="3977">
      <c r="A3977" s="36" t="inlineStr">
        <is>
          <t>Faste stillinger</t>
        </is>
      </c>
      <c r="B3977" s="36" t="inlineStr">
        <is>
          <t>Region Sør</t>
        </is>
      </c>
      <c r="C3977" s="36" t="inlineStr">
        <is>
          <t>Svenner</t>
        </is>
      </c>
      <c r="D3977" s="26" t="n"/>
      <c r="E3977" s="26" t="n">
        <v>3314357</v>
      </c>
      <c r="F3977" s="26" t="n">
        <v>9223835</v>
      </c>
      <c r="G3977" s="26" t="n">
        <v>10395787</v>
      </c>
      <c r="H3977" s="26" t="n">
        <v>11274386</v>
      </c>
      <c r="I3977" s="26" t="n">
        <v>11222885</v>
      </c>
      <c r="J3977" s="19" t="n">
        <v>17535757.8125</v>
      </c>
      <c r="K3977" s="37" t="n">
        <v>0.25</v>
      </c>
    </row>
    <row r="3978">
      <c r="A3978" s="34" t="inlineStr">
        <is>
          <t>Faste stillinger</t>
        </is>
      </c>
      <c r="B3978" s="34" t="inlineStr">
        <is>
          <t>Region Sør</t>
        </is>
      </c>
      <c r="C3978" s="34" t="inlineStr">
        <is>
          <t>TFCO Drammen</t>
        </is>
      </c>
      <c r="D3978" s="18" t="n">
        <v>2364367</v>
      </c>
      <c r="E3978" s="18" t="n">
        <v>2413982</v>
      </c>
      <c r="F3978" s="18" t="n">
        <v>2952298</v>
      </c>
      <c r="G3978" s="18" t="n">
        <v>1247940</v>
      </c>
      <c r="H3978" s="18" t="n"/>
      <c r="I3978" s="18" t="n"/>
      <c r="J3978" s="19" t="n">
        <v>0</v>
      </c>
      <c r="K3978" s="35" t="n">
        <v>0.065</v>
      </c>
    </row>
    <row r="3979">
      <c r="A3979" s="36" t="inlineStr">
        <is>
          <t>Faste stillinger</t>
        </is>
      </c>
      <c r="B3979" s="36" t="inlineStr">
        <is>
          <t>Region Sør</t>
        </is>
      </c>
      <c r="C3979" s="36" t="inlineStr">
        <is>
          <t>Telemark ungdomssenter</t>
        </is>
      </c>
      <c r="D3979" s="26" t="n">
        <v>627914</v>
      </c>
      <c r="E3979" s="26" t="n">
        <v>1241256</v>
      </c>
      <c r="F3979" s="26" t="n">
        <v>1096428</v>
      </c>
      <c r="G3979" s="26" t="n">
        <v>1614839</v>
      </c>
      <c r="H3979" s="26" t="n">
        <v>1658127</v>
      </c>
      <c r="I3979" s="26" t="n">
        <v>1316485</v>
      </c>
      <c r="J3979" s="19" t="n">
        <v>1770199.50387106</v>
      </c>
      <c r="K3979" s="37" t="n">
        <v>0.15958649776156</v>
      </c>
    </row>
    <row r="3980">
      <c r="A3980" s="34" t="inlineStr">
        <is>
          <t>Faste stillinger</t>
        </is>
      </c>
      <c r="B3980" s="34" t="inlineStr">
        <is>
          <t>Region Sør</t>
        </is>
      </c>
      <c r="C3980" s="34" t="inlineStr">
        <is>
          <t>Thorøya</t>
        </is>
      </c>
      <c r="D3980" s="18" t="n">
        <v>10930184</v>
      </c>
      <c r="E3980" s="18" t="n">
        <v>10707442</v>
      </c>
      <c r="F3980" s="18" t="n">
        <v>12724978</v>
      </c>
      <c r="G3980" s="18" t="n">
        <v>15381484</v>
      </c>
      <c r="H3980" s="18" t="n">
        <v>16285399</v>
      </c>
      <c r="I3980" s="18" t="n">
        <v>16705649</v>
      </c>
      <c r="J3980" s="19" t="n">
        <v>19795100.17957171</v>
      </c>
      <c r="K3980" s="35" t="n">
        <v>0.08854697649115173</v>
      </c>
    </row>
    <row r="3981">
      <c r="A3981" s="36" t="inlineStr">
        <is>
          <t>Faste stillinger</t>
        </is>
      </c>
      <c r="B3981" s="36" t="inlineStr">
        <is>
          <t>Region Sør</t>
        </is>
      </c>
      <c r="C3981" s="36" t="inlineStr">
        <is>
          <t>Thorøya ungdomshjem</t>
        </is>
      </c>
      <c r="D3981" s="26" t="n"/>
      <c r="E3981" s="26" t="n"/>
      <c r="F3981" s="26" t="n">
        <v>521313</v>
      </c>
      <c r="G3981" s="26" t="n">
        <v>527200</v>
      </c>
      <c r="H3981" s="26" t="n">
        <v>387569</v>
      </c>
      <c r="I3981" s="26" t="n">
        <v>2486</v>
      </c>
      <c r="J3981" s="19" t="n">
        <v>2819.683349999999</v>
      </c>
      <c r="K3981" s="37" t="n">
        <v>0.065</v>
      </c>
    </row>
    <row r="3982">
      <c r="A3982" s="34" t="inlineStr">
        <is>
          <t>Faste stillinger</t>
        </is>
      </c>
      <c r="B3982" s="34" t="inlineStr">
        <is>
          <t>Region Sør</t>
        </is>
      </c>
      <c r="C3982" s="34" t="inlineStr">
        <is>
          <t>Ulabrand</t>
        </is>
      </c>
      <c r="D3982" s="18" t="n"/>
      <c r="E3982" s="18" t="n">
        <v>2728505</v>
      </c>
      <c r="F3982" s="18" t="n">
        <v>6571584</v>
      </c>
      <c r="G3982" s="18" t="n">
        <v>8594858</v>
      </c>
      <c r="H3982" s="18" t="n">
        <v>8724239</v>
      </c>
      <c r="I3982" s="18" t="n">
        <v>8781064</v>
      </c>
      <c r="J3982" s="19" t="n">
        <v>13720412.5</v>
      </c>
      <c r="K3982" s="35" t="n">
        <v>0.25</v>
      </c>
    </row>
    <row r="3983">
      <c r="A3983" s="36" t="inlineStr">
        <is>
          <t>Faste stillinger</t>
        </is>
      </c>
      <c r="B3983" s="36" t="inlineStr">
        <is>
          <t>Region Sør</t>
        </is>
      </c>
      <c r="C3983" s="36" t="inlineStr">
        <is>
          <t>Vestfold ungdomssenter</t>
        </is>
      </c>
      <c r="D3983" s="26" t="n"/>
      <c r="E3983" s="26" t="n"/>
      <c r="F3983" s="26" t="n"/>
      <c r="G3983" s="26" t="n"/>
      <c r="H3983" s="26" t="n"/>
      <c r="I3983" s="26" t="n">
        <v>1271434</v>
      </c>
      <c r="J3983" s="19" t="n">
        <v>1442092.22865</v>
      </c>
      <c r="K3983" s="37" t="n">
        <v>0.065</v>
      </c>
    </row>
    <row r="3984">
      <c r="A3984" s="34" t="inlineStr">
        <is>
          <t>Faste stillinger</t>
        </is>
      </c>
      <c r="B3984" s="34" t="inlineStr">
        <is>
          <t>Region Vest</t>
        </is>
      </c>
      <c r="C3984" s="34" t="inlineStr">
        <is>
          <t>Barn og familier (F2)</t>
        </is>
      </c>
      <c r="D3984" s="18" t="n"/>
      <c r="E3984" s="18" t="n"/>
      <c r="F3984" s="18" t="n"/>
      <c r="G3984" s="18" t="n"/>
      <c r="H3984" s="18" t="n"/>
      <c r="I3984" s="18" t="n">
        <v>114498</v>
      </c>
      <c r="J3984" s="19" t="n">
        <v>129866.49405</v>
      </c>
      <c r="K3984" s="35" t="n">
        <v>0.065</v>
      </c>
    </row>
    <row r="3985">
      <c r="A3985" s="36" t="inlineStr">
        <is>
          <t>Faste stillinger</t>
        </is>
      </c>
      <c r="B3985" s="36" t="inlineStr">
        <is>
          <t>Region Vest</t>
        </is>
      </c>
      <c r="C3985" s="36" t="inlineStr">
        <is>
          <t>Bergen Akutts. Administrasjonen</t>
        </is>
      </c>
      <c r="D3985" s="26" t="n">
        <v>859728</v>
      </c>
      <c r="E3985" s="26" t="n">
        <v>518310</v>
      </c>
      <c r="F3985" s="26" t="n">
        <v>775566</v>
      </c>
      <c r="G3985" s="26" t="n">
        <v>1055654</v>
      </c>
      <c r="H3985" s="26" t="n">
        <v>1051734</v>
      </c>
      <c r="I3985" s="26" t="n">
        <v>1095815</v>
      </c>
      <c r="J3985" s="19" t="n">
        <v>1207501.583164892</v>
      </c>
      <c r="K3985" s="37" t="n">
        <v>0.04972425930726798</v>
      </c>
    </row>
    <row r="3986">
      <c r="A3986" s="34" t="inlineStr">
        <is>
          <t>Faste stillinger</t>
        </is>
      </c>
      <c r="B3986" s="34" t="inlineStr">
        <is>
          <t>Region Vest</t>
        </is>
      </c>
      <c r="C3986" s="34" t="inlineStr">
        <is>
          <t>Bergen Akutts. avd. Nattland</t>
        </is>
      </c>
      <c r="D3986" s="18" t="n">
        <v>7369280</v>
      </c>
      <c r="E3986" s="18" t="n">
        <v>7977886</v>
      </c>
      <c r="F3986" s="18" t="n">
        <v>8499694</v>
      </c>
      <c r="G3986" s="18" t="n">
        <v>9341926</v>
      </c>
      <c r="H3986" s="18" t="n">
        <v>10742912</v>
      </c>
      <c r="I3986" s="18" t="n">
        <v>12467697</v>
      </c>
      <c r="J3986" s="19" t="n">
        <v>15386176.55362157</v>
      </c>
      <c r="K3986" s="35" t="n">
        <v>0.1108930154139312</v>
      </c>
    </row>
    <row r="3987">
      <c r="A3987" s="36" t="inlineStr">
        <is>
          <t>Faste stillinger</t>
        </is>
      </c>
      <c r="B3987" s="36" t="inlineStr">
        <is>
          <t>Region Vest</t>
        </is>
      </c>
      <c r="C3987" s="36" t="inlineStr">
        <is>
          <t>Bergen Akutts. avd. Toppe</t>
        </is>
      </c>
      <c r="D3987" s="26" t="n">
        <v>12319419</v>
      </c>
      <c r="E3987" s="26" t="n">
        <v>13712638</v>
      </c>
      <c r="F3987" s="26" t="n">
        <v>13586754</v>
      </c>
      <c r="G3987" s="26" t="n">
        <v>14296913</v>
      </c>
      <c r="H3987" s="26" t="n">
        <v>15793459</v>
      </c>
      <c r="I3987" s="26" t="n">
        <v>19055176</v>
      </c>
      <c r="J3987" s="19" t="n">
        <v>22687260.59821725</v>
      </c>
      <c r="K3987" s="37" t="n">
        <v>0.09115022763295566</v>
      </c>
    </row>
    <row r="3988">
      <c r="A3988" s="34" t="inlineStr">
        <is>
          <t>Faste stillinger</t>
        </is>
      </c>
      <c r="B3988" s="34" t="inlineStr">
        <is>
          <t>Region Vest</t>
        </is>
      </c>
      <c r="C3988" s="34" t="inlineStr">
        <is>
          <t>Bjørgvin Ungdomssenter avd. trygghet og sikkerhet</t>
        </is>
      </c>
      <c r="D3988" s="18" t="n"/>
      <c r="E3988" s="18" t="n"/>
      <c r="F3988" s="18" t="n"/>
      <c r="G3988" s="18" t="n"/>
      <c r="H3988" s="18" t="n"/>
      <c r="I3988" s="18" t="n">
        <v>1622294</v>
      </c>
      <c r="J3988" s="19" t="n">
        <v>1840046.41215</v>
      </c>
      <c r="K3988" s="35" t="n">
        <v>0.065</v>
      </c>
    </row>
    <row r="3989">
      <c r="A3989" s="36" t="inlineStr">
        <is>
          <t>Faste stillinger</t>
        </is>
      </c>
      <c r="B3989" s="36" t="inlineStr">
        <is>
          <t>Region Vest</t>
        </is>
      </c>
      <c r="C3989" s="36" t="inlineStr">
        <is>
          <t>Bjørgvin Ungdomssenter, Bønesskogen</t>
        </is>
      </c>
      <c r="D3989" s="26" t="n">
        <v>5215356</v>
      </c>
      <c r="E3989" s="26" t="n">
        <v>5717086</v>
      </c>
      <c r="F3989" s="26" t="n">
        <v>7378838</v>
      </c>
      <c r="G3989" s="26" t="n">
        <v>7522133</v>
      </c>
      <c r="H3989" s="26" t="n">
        <v>7752627</v>
      </c>
      <c r="I3989" s="26" t="n">
        <v>8458443</v>
      </c>
      <c r="J3989" s="19" t="n">
        <v>10263441.57319229</v>
      </c>
      <c r="K3989" s="37" t="n">
        <v>0.1015425907794729</v>
      </c>
    </row>
    <row r="3990">
      <c r="A3990" s="34" t="inlineStr">
        <is>
          <t>Faste stillinger</t>
        </is>
      </c>
      <c r="B3990" s="34" t="inlineStr">
        <is>
          <t>Region Vest</t>
        </is>
      </c>
      <c r="C3990" s="34" t="inlineStr">
        <is>
          <t>Bjørgvin Ungdomssenter, Bønesstølen</t>
        </is>
      </c>
      <c r="D3990" s="18" t="n">
        <v>5312368</v>
      </c>
      <c r="E3990" s="18" t="n">
        <v>6170764</v>
      </c>
      <c r="F3990" s="18" t="n">
        <v>6008665</v>
      </c>
      <c r="G3990" s="18" t="n">
        <v>7127266</v>
      </c>
      <c r="H3990" s="18" t="n">
        <v>8577536</v>
      </c>
      <c r="I3990" s="18" t="n">
        <v>9697762</v>
      </c>
      <c r="J3990" s="19" t="n">
        <v>12337434.76715277</v>
      </c>
      <c r="K3990" s="35" t="n">
        <v>0.1279157832748241</v>
      </c>
    </row>
    <row r="3991">
      <c r="A3991" s="36" t="inlineStr">
        <is>
          <t>Faste stillinger</t>
        </is>
      </c>
      <c r="B3991" s="36" t="inlineStr">
        <is>
          <t>Region Vest</t>
        </is>
      </c>
      <c r="C3991" s="36" t="inlineStr">
        <is>
          <t>Bjørgvin Ungdomssenter, administrasjon</t>
        </is>
      </c>
      <c r="D3991" s="26" t="n">
        <v>3194803</v>
      </c>
      <c r="E3991" s="26" t="n">
        <v>3340941</v>
      </c>
      <c r="F3991" s="26" t="n">
        <v>3859122</v>
      </c>
      <c r="G3991" s="26" t="n">
        <v>4405656</v>
      </c>
      <c r="H3991" s="26" t="n">
        <v>4291440</v>
      </c>
      <c r="I3991" s="26" t="n">
        <v>3116911</v>
      </c>
      <c r="J3991" s="19" t="n">
        <v>3086288.558868166</v>
      </c>
      <c r="K3991" s="37" t="n">
        <v>-0.00492443099721751</v>
      </c>
    </row>
    <row r="3992">
      <c r="A3992" s="34" t="inlineStr">
        <is>
          <t>Faste stillinger</t>
        </is>
      </c>
      <c r="B3992" s="34" t="inlineStr">
        <is>
          <t>Region Vest</t>
        </is>
      </c>
      <c r="C3992" s="34" t="inlineStr">
        <is>
          <t>Driftsavdelingen</t>
        </is>
      </c>
      <c r="D3992" s="18" t="n">
        <v>1453410</v>
      </c>
      <c r="E3992" s="18" t="n">
        <v>1406748</v>
      </c>
      <c r="F3992" s="18" t="n">
        <v>1075791</v>
      </c>
      <c r="G3992" s="18" t="n">
        <v>1151082</v>
      </c>
      <c r="H3992" s="18" t="n">
        <v>1172945</v>
      </c>
      <c r="I3992" s="18" t="n">
        <v>1234504</v>
      </c>
      <c r="J3992" s="19" t="n">
        <v>1156469.662441238</v>
      </c>
      <c r="K3992" s="35" t="n">
        <v>-0.03212143593752892</v>
      </c>
    </row>
    <row r="3993">
      <c r="A3993" s="36" t="inlineStr">
        <is>
          <t>Faste stillinger</t>
        </is>
      </c>
      <c r="B3993" s="36" t="inlineStr">
        <is>
          <t>Region Vest</t>
        </is>
      </c>
      <c r="C3993" s="36" t="inlineStr">
        <is>
          <t>Eikelund US avd. beh. høy</t>
        </is>
      </c>
      <c r="D3993" s="26" t="n"/>
      <c r="E3993" s="26" t="n"/>
      <c r="F3993" s="26" t="n"/>
      <c r="G3993" s="26" t="n"/>
      <c r="H3993" s="26" t="n"/>
      <c r="I3993" s="26" t="n">
        <v>6222417</v>
      </c>
      <c r="J3993" s="19" t="n">
        <v>7057620.921824999</v>
      </c>
      <c r="K3993" s="37" t="n">
        <v>0.065</v>
      </c>
    </row>
    <row r="3994">
      <c r="A3994" s="34" t="inlineStr">
        <is>
          <t>Faste stillinger</t>
        </is>
      </c>
      <c r="B3994" s="34" t="inlineStr">
        <is>
          <t>Region Vest</t>
        </is>
      </c>
      <c r="C3994" s="34" t="inlineStr">
        <is>
          <t>Eikelund ungdomssenter behandling høy</t>
        </is>
      </c>
      <c r="D3994" s="18" t="n"/>
      <c r="E3994" s="18" t="n"/>
      <c r="F3994" s="18" t="n"/>
      <c r="G3994" s="18" t="n"/>
      <c r="H3994" s="18" t="n"/>
      <c r="I3994" s="18" t="n">
        <v>1054896</v>
      </c>
      <c r="J3994" s="19" t="n">
        <v>1196489.4156</v>
      </c>
      <c r="K3994" s="35" t="n">
        <v>0.065</v>
      </c>
    </row>
    <row r="3995">
      <c r="A3995" s="36" t="inlineStr">
        <is>
          <t>Faste stillinger</t>
        </is>
      </c>
      <c r="B3995" s="36" t="inlineStr">
        <is>
          <t>Region Vest</t>
        </is>
      </c>
      <c r="C3995" s="36" t="inlineStr">
        <is>
          <t>Enhet for inntak Bufetat region vest, avd. Vestland</t>
        </is>
      </c>
      <c r="D3995" s="26" t="n">
        <v>257134</v>
      </c>
      <c r="E3995" s="26" t="n">
        <v>-257134</v>
      </c>
      <c r="F3995" s="26" t="n">
        <v>541361</v>
      </c>
      <c r="G3995" s="26" t="n"/>
      <c r="H3995" s="26" t="n"/>
      <c r="I3995" s="26" t="n"/>
      <c r="J3995" s="19" t="n">
        <v>0</v>
      </c>
      <c r="K3995" s="37" t="n">
        <v>0.065</v>
      </c>
    </row>
    <row r="3996">
      <c r="A3996" s="34" t="inlineStr">
        <is>
          <t>Faste stillinger</t>
        </is>
      </c>
      <c r="B3996" s="34" t="inlineStr">
        <is>
          <t>Region Vest</t>
        </is>
      </c>
      <c r="C3996" s="34" t="inlineStr">
        <is>
          <t>Fagforening</t>
        </is>
      </c>
      <c r="D3996" s="18" t="n">
        <v>183482</v>
      </c>
      <c r="E3996" s="18" t="n"/>
      <c r="F3996" s="18" t="n"/>
      <c r="G3996" s="18" t="n"/>
      <c r="H3996" s="18" t="n"/>
      <c r="I3996" s="18" t="n"/>
      <c r="J3996" s="19" t="n">
        <v>0</v>
      </c>
      <c r="K3996" s="35" t="n">
        <v>0.065</v>
      </c>
    </row>
    <row r="3997">
      <c r="A3997" s="36" t="inlineStr">
        <is>
          <t>Faste stillinger</t>
        </is>
      </c>
      <c r="B3997" s="36" t="inlineStr">
        <is>
          <t>Region Vest</t>
        </is>
      </c>
      <c r="C3997" s="36" t="inlineStr">
        <is>
          <t>Kasa Ungdomssenter avd. Flatøy</t>
        </is>
      </c>
      <c r="D3997" s="26" t="n">
        <v>4016631</v>
      </c>
      <c r="E3997" s="26" t="n">
        <v>4604627</v>
      </c>
      <c r="F3997" s="26" t="n">
        <v>4134897</v>
      </c>
      <c r="G3997" s="26" t="n">
        <v>4940863</v>
      </c>
      <c r="H3997" s="26" t="n">
        <v>6431474</v>
      </c>
      <c r="I3997" s="26" t="n">
        <v>6952808</v>
      </c>
      <c r="J3997" s="19" t="n">
        <v>8659235.617785124</v>
      </c>
      <c r="K3997" s="37" t="n">
        <v>0.115988347993965</v>
      </c>
    </row>
    <row r="3998">
      <c r="A3998" s="34" t="inlineStr">
        <is>
          <t>Faste stillinger</t>
        </is>
      </c>
      <c r="B3998" s="34" t="inlineStr">
        <is>
          <t>Region Vest</t>
        </is>
      </c>
      <c r="C3998" s="34" t="inlineStr">
        <is>
          <t>Kasa Ungdomssenter avd. Hop</t>
        </is>
      </c>
      <c r="D3998" s="18" t="n">
        <v>4696256</v>
      </c>
      <c r="E3998" s="18" t="n">
        <v>4884650</v>
      </c>
      <c r="F3998" s="18" t="n">
        <v>4832737</v>
      </c>
      <c r="G3998" s="18" t="n">
        <v>5993776</v>
      </c>
      <c r="H3998" s="18" t="n">
        <v>7019577</v>
      </c>
      <c r="I3998" s="18" t="n">
        <v>7026820</v>
      </c>
      <c r="J3998" s="19" t="n">
        <v>8255847.364574065</v>
      </c>
      <c r="K3998" s="35" t="n">
        <v>0.08393044103939018</v>
      </c>
    </row>
    <row r="3999">
      <c r="A3999" s="36" t="inlineStr">
        <is>
          <t>Faste stillinger</t>
        </is>
      </c>
      <c r="B3999" s="36" t="inlineStr">
        <is>
          <t>Region Vest</t>
        </is>
      </c>
      <c r="C3999" s="36" t="inlineStr">
        <is>
          <t>Kasa Ungdomssenter avd. Morvik</t>
        </is>
      </c>
      <c r="D3999" s="26" t="n">
        <v>4824180</v>
      </c>
      <c r="E3999" s="26" t="n">
        <v>4708504</v>
      </c>
      <c r="F3999" s="26" t="n">
        <v>4644523</v>
      </c>
      <c r="G3999" s="26" t="n">
        <v>4895929</v>
      </c>
      <c r="H3999" s="26" t="n">
        <v>5933109</v>
      </c>
      <c r="I3999" s="26" t="n">
        <v>7103540</v>
      </c>
      <c r="J3999" s="19" t="n">
        <v>8292688.66625518</v>
      </c>
      <c r="K3999" s="37" t="n">
        <v>0.08046391068293657</v>
      </c>
    </row>
    <row r="4000">
      <c r="A4000" s="34" t="inlineStr">
        <is>
          <t>Faste stillinger</t>
        </is>
      </c>
      <c r="B4000" s="34" t="inlineStr">
        <is>
          <t>Region Vest</t>
        </is>
      </c>
      <c r="C4000" s="34" t="inlineStr">
        <is>
          <t>Kasa Ungdomssenter avd. Sandsli</t>
        </is>
      </c>
      <c r="D4000" s="18" t="n">
        <v>3360985</v>
      </c>
      <c r="E4000" s="18" t="n">
        <v>3382634</v>
      </c>
      <c r="F4000" s="18" t="n">
        <v>3463023</v>
      </c>
      <c r="G4000" s="18" t="n">
        <v>4599122</v>
      </c>
      <c r="H4000" s="18" t="n">
        <v>5560694</v>
      </c>
      <c r="I4000" s="18" t="n">
        <v>7662971</v>
      </c>
      <c r="J4000" s="19" t="n">
        <v>10655391.84191743</v>
      </c>
      <c r="K4000" s="35" t="n">
        <v>0.1791963372978134</v>
      </c>
    </row>
    <row r="4001">
      <c r="A4001" s="36" t="inlineStr">
        <is>
          <t>Faste stillinger</t>
        </is>
      </c>
      <c r="B4001" s="36" t="inlineStr">
        <is>
          <t>Region Vest</t>
        </is>
      </c>
      <c r="C4001" s="36" t="inlineStr">
        <is>
          <t>Kasa Ungdomssenter avd. Tertnes</t>
        </is>
      </c>
      <c r="D4001" s="26" t="n">
        <v>4481226</v>
      </c>
      <c r="E4001" s="26" t="n">
        <v>4938788</v>
      </c>
      <c r="F4001" s="26" t="n">
        <v>5201109</v>
      </c>
      <c r="G4001" s="26" t="n">
        <v>5991060</v>
      </c>
      <c r="H4001" s="26" t="n">
        <v>6419401</v>
      </c>
      <c r="I4001" s="26" t="n">
        <v>7454049</v>
      </c>
      <c r="J4001" s="19" t="n">
        <v>9136721.806929922</v>
      </c>
      <c r="K4001" s="37" t="n">
        <v>0.1071311731793056</v>
      </c>
    </row>
    <row r="4002">
      <c r="A4002" s="34" t="inlineStr">
        <is>
          <t>Faste stillinger</t>
        </is>
      </c>
      <c r="B4002" s="34" t="inlineStr">
        <is>
          <t>Region Vest</t>
        </is>
      </c>
      <c r="C4002" s="34" t="inlineStr">
        <is>
          <t>Kasa Ungdomssenter avd. adm.</t>
        </is>
      </c>
      <c r="D4002" s="18" t="n">
        <v>1446252</v>
      </c>
      <c r="E4002" s="18" t="n">
        <v>784790</v>
      </c>
      <c r="F4002" s="18" t="n">
        <v>816090</v>
      </c>
      <c r="G4002" s="18" t="n">
        <v>409331</v>
      </c>
      <c r="H4002" s="18" t="n">
        <v>830230</v>
      </c>
      <c r="I4002" s="18" t="n">
        <v>432118</v>
      </c>
      <c r="J4002" s="19" t="n">
        <v>266529.761868197</v>
      </c>
      <c r="K4002" s="35" t="n">
        <v>-0.2146347575961637</v>
      </c>
    </row>
    <row r="4003">
      <c r="A4003" s="36" t="inlineStr">
        <is>
          <t>Faste stillinger</t>
        </is>
      </c>
      <c r="B4003" s="36" t="inlineStr">
        <is>
          <t>Region Vest</t>
        </is>
      </c>
      <c r="C4003" s="36" t="inlineStr">
        <is>
          <t>Kontorfaglig enhet adm</t>
        </is>
      </c>
      <c r="D4003" s="26" t="n">
        <v>1004645</v>
      </c>
      <c r="E4003" s="26" t="n">
        <v>1276848</v>
      </c>
      <c r="F4003" s="26" t="n">
        <v>1050541</v>
      </c>
      <c r="G4003" s="26" t="n">
        <v>1069152</v>
      </c>
      <c r="H4003" s="26" t="n">
        <v>592803</v>
      </c>
      <c r="I4003" s="26" t="n">
        <v>15095</v>
      </c>
      <c r="J4003" s="19" t="n">
        <v>8490.9375</v>
      </c>
      <c r="K4003" s="37" t="n">
        <v>-0.25</v>
      </c>
    </row>
    <row r="4004">
      <c r="A4004" s="34" t="inlineStr">
        <is>
          <t>Faste stillinger</t>
        </is>
      </c>
      <c r="B4004" s="34" t="inlineStr">
        <is>
          <t>Region Vest</t>
        </is>
      </c>
      <c r="C4004" s="34" t="inlineStr">
        <is>
          <t>Krabbedalen</t>
        </is>
      </c>
      <c r="D4004" s="18" t="n">
        <v>-35197</v>
      </c>
      <c r="E4004" s="18" t="n"/>
      <c r="F4004" s="18" t="n"/>
      <c r="G4004" s="18" t="n"/>
      <c r="H4004" s="18" t="n"/>
      <c r="I4004" s="18" t="n"/>
      <c r="J4004" s="19" t="n">
        <v>0</v>
      </c>
      <c r="K4004" s="35" t="n">
        <v>0.065</v>
      </c>
    </row>
    <row r="4005">
      <c r="A4005" s="36" t="inlineStr">
        <is>
          <t>Faste stillinger</t>
        </is>
      </c>
      <c r="B4005" s="36" t="inlineStr">
        <is>
          <t>Region Vest</t>
        </is>
      </c>
      <c r="C4005" s="36" t="inlineStr">
        <is>
          <t>MultifunC - Bergen ungdomssenter</t>
        </is>
      </c>
      <c r="D4005" s="26" t="n">
        <v>481946</v>
      </c>
      <c r="E4005" s="26" t="n">
        <v>445</v>
      </c>
      <c r="F4005" s="26" t="n"/>
      <c r="G4005" s="26" t="n"/>
      <c r="H4005" s="26" t="n"/>
      <c r="I4005" s="26" t="n"/>
      <c r="J4005" s="19" t="n">
        <v>0</v>
      </c>
      <c r="K4005" s="37" t="n">
        <v>0.065</v>
      </c>
    </row>
    <row r="4006">
      <c r="A4006" s="34" t="inlineStr">
        <is>
          <t>Faste stillinger</t>
        </is>
      </c>
      <c r="B4006" s="34" t="inlineStr">
        <is>
          <t>Region Vest</t>
        </is>
      </c>
      <c r="C4006" s="34" t="inlineStr">
        <is>
          <t>Region vest - Adferd høy</t>
        </is>
      </c>
      <c r="D4006" s="18" t="n"/>
      <c r="E4006" s="18" t="n"/>
      <c r="F4006" s="18" t="n"/>
      <c r="G4006" s="18" t="n">
        <v>430765</v>
      </c>
      <c r="H4006" s="18" t="n"/>
      <c r="I4006" s="18" t="n"/>
      <c r="J4006" s="19" t="n">
        <v>0</v>
      </c>
      <c r="K4006" s="35" t="n">
        <v>0.065</v>
      </c>
    </row>
    <row r="4007">
      <c r="A4007" s="36" t="inlineStr">
        <is>
          <t>Faste stillinger</t>
        </is>
      </c>
      <c r="B4007" s="36" t="inlineStr">
        <is>
          <t>Region Vest</t>
        </is>
      </c>
      <c r="C4007" s="36" t="inlineStr">
        <is>
          <t>SFU avd Bregnetunet</t>
        </is>
      </c>
      <c r="D4007" s="26" t="n">
        <v>5130792</v>
      </c>
      <c r="E4007" s="26" t="n">
        <v>5490652</v>
      </c>
      <c r="F4007" s="26" t="n">
        <v>6388555</v>
      </c>
      <c r="G4007" s="26" t="n">
        <v>9797360</v>
      </c>
      <c r="H4007" s="26" t="n">
        <v>8888574</v>
      </c>
      <c r="I4007" s="26" t="n">
        <v>111855</v>
      </c>
      <c r="J4007" s="19" t="n">
        <v>62918.4375</v>
      </c>
      <c r="K4007" s="37" t="n">
        <v>-0.25</v>
      </c>
    </row>
    <row r="4008">
      <c r="A4008" s="34" t="inlineStr">
        <is>
          <t>Faste stillinger</t>
        </is>
      </c>
      <c r="B4008" s="34" t="inlineStr">
        <is>
          <t>Region Vest</t>
        </is>
      </c>
      <c r="C4008" s="34" t="inlineStr">
        <is>
          <t>SFU avd Familiehjem</t>
        </is>
      </c>
      <c r="D4008" s="18" t="n">
        <v>238697</v>
      </c>
      <c r="E4008" s="18" t="n"/>
      <c r="F4008" s="18" t="n"/>
      <c r="G4008" s="18" t="n"/>
      <c r="H4008" s="18" t="n"/>
      <c r="I4008" s="18" t="n"/>
      <c r="J4008" s="19" t="n">
        <v>0</v>
      </c>
      <c r="K4008" s="35" t="n">
        <v>0.065</v>
      </c>
    </row>
    <row r="4009">
      <c r="A4009" s="36" t="inlineStr">
        <is>
          <t>Faste stillinger</t>
        </is>
      </c>
      <c r="B4009" s="36" t="inlineStr">
        <is>
          <t>Region Vest</t>
        </is>
      </c>
      <c r="C4009" s="36" t="inlineStr">
        <is>
          <t>SFU avd.Meltunet</t>
        </is>
      </c>
      <c r="D4009" s="26" t="n">
        <v>5865382</v>
      </c>
      <c r="E4009" s="26" t="n">
        <v>6491039</v>
      </c>
      <c r="F4009" s="26" t="n">
        <v>7501198</v>
      </c>
      <c r="G4009" s="26" t="n">
        <v>9248272</v>
      </c>
      <c r="H4009" s="26" t="n">
        <v>11153194</v>
      </c>
      <c r="I4009" s="26" t="n">
        <v>11702519</v>
      </c>
      <c r="J4009" s="19" t="n">
        <v>15426683.73440998</v>
      </c>
      <c r="K4009" s="37" t="n">
        <v>0.1481446608250105</v>
      </c>
    </row>
    <row r="4010">
      <c r="A4010" s="34" t="inlineStr">
        <is>
          <t>Faste stillinger</t>
        </is>
      </c>
      <c r="B4010" s="34" t="inlineStr">
        <is>
          <t>Region Vest</t>
        </is>
      </c>
      <c r="C4010" s="34" t="inlineStr">
        <is>
          <t>Sandnes ungdomssenter - Minde 2</t>
        </is>
      </c>
      <c r="D4010" s="18" t="n">
        <v>6155938</v>
      </c>
      <c r="E4010" s="18" t="n">
        <v>6024980</v>
      </c>
      <c r="F4010" s="18" t="n">
        <v>6875430</v>
      </c>
      <c r="G4010" s="18" t="n">
        <v>10437610</v>
      </c>
      <c r="H4010" s="18" t="n">
        <v>10792430</v>
      </c>
      <c r="I4010" s="18" t="n">
        <v>10963190</v>
      </c>
      <c r="J4010" s="19" t="n">
        <v>13810010.92908753</v>
      </c>
      <c r="K4010" s="35" t="n">
        <v>0.122350593956023</v>
      </c>
    </row>
    <row r="4011">
      <c r="A4011" s="36" t="inlineStr">
        <is>
          <t>Faste stillinger</t>
        </is>
      </c>
      <c r="B4011" s="36" t="inlineStr">
        <is>
          <t>Region Vest</t>
        </is>
      </c>
      <c r="C4011" s="36" t="inlineStr">
        <is>
          <t>Sandnes ungdomssenter - Minde1</t>
        </is>
      </c>
      <c r="D4011" s="26" t="n">
        <v>6729200</v>
      </c>
      <c r="E4011" s="26" t="n">
        <v>6723145</v>
      </c>
      <c r="F4011" s="26" t="n">
        <v>7465047</v>
      </c>
      <c r="G4011" s="26" t="n">
        <v>9653686</v>
      </c>
      <c r="H4011" s="26" t="n">
        <v>9391962</v>
      </c>
      <c r="I4011" s="26" t="n">
        <v>10376859</v>
      </c>
      <c r="J4011" s="19" t="n">
        <v>12339765.52102515</v>
      </c>
      <c r="K4011" s="37" t="n">
        <v>0.09048700821547939</v>
      </c>
    </row>
    <row r="4012">
      <c r="A4012" s="34" t="inlineStr">
        <is>
          <t>Faste stillinger</t>
        </is>
      </c>
      <c r="B4012" s="34" t="inlineStr">
        <is>
          <t>Region Vest</t>
        </is>
      </c>
      <c r="C4012" s="34" t="inlineStr">
        <is>
          <t>Sandnes ungdomssenter - adm</t>
        </is>
      </c>
      <c r="D4012" s="18" t="n">
        <v>1012969</v>
      </c>
      <c r="E4012" s="18" t="n">
        <v>757215</v>
      </c>
      <c r="F4012" s="18" t="n">
        <v>805766</v>
      </c>
      <c r="G4012" s="18" t="n">
        <v>572502</v>
      </c>
      <c r="H4012" s="18" t="n">
        <v>116087</v>
      </c>
      <c r="I4012" s="18" t="n">
        <v>465022</v>
      </c>
      <c r="J4012" s="19" t="n">
        <v>340584.1535934707</v>
      </c>
      <c r="K4012" s="35" t="n">
        <v>-0.1441937201705457</v>
      </c>
    </row>
    <row r="4013">
      <c r="A4013" s="36" t="inlineStr">
        <is>
          <t>Faste stillinger</t>
        </is>
      </c>
      <c r="B4013" s="36" t="inlineStr">
        <is>
          <t>Region Vest</t>
        </is>
      </c>
      <c r="C4013" s="36" t="inlineStr">
        <is>
          <t>Seksjon HR</t>
        </is>
      </c>
      <c r="D4013" s="26" t="n"/>
      <c r="E4013" s="26" t="n"/>
      <c r="F4013" s="26" t="n"/>
      <c r="G4013" s="26" t="n"/>
      <c r="H4013" s="26" t="n"/>
      <c r="I4013" s="26" t="n">
        <v>462761</v>
      </c>
      <c r="J4013" s="19" t="n">
        <v>524875.0952249999</v>
      </c>
      <c r="K4013" s="37" t="n">
        <v>0.065</v>
      </c>
    </row>
    <row r="4014">
      <c r="A4014" s="34" t="inlineStr">
        <is>
          <t>Faste stillinger</t>
        </is>
      </c>
      <c r="B4014" s="34" t="inlineStr">
        <is>
          <t>Region Vest</t>
        </is>
      </c>
      <c r="C4014" s="34" t="inlineStr">
        <is>
          <t>Seksjon faglig støtte</t>
        </is>
      </c>
      <c r="D4014" s="18" t="n"/>
      <c r="E4014" s="18" t="n"/>
      <c r="F4014" s="18" t="n"/>
      <c r="G4014" s="18" t="n"/>
      <c r="H4014" s="18" t="n"/>
      <c r="I4014" s="18" t="n">
        <v>1000566</v>
      </c>
      <c r="J4014" s="19" t="n">
        <v>1134866.97135</v>
      </c>
      <c r="K4014" s="35" t="n">
        <v>0.065</v>
      </c>
    </row>
    <row r="4015">
      <c r="A4015" s="36" t="inlineStr">
        <is>
          <t>Faste stillinger</t>
        </is>
      </c>
      <c r="B4015" s="36" t="inlineStr">
        <is>
          <t>Region Vest</t>
        </is>
      </c>
      <c r="C4015" s="36" t="inlineStr">
        <is>
          <t>Seksjon virksomhetsstyring</t>
        </is>
      </c>
      <c r="D4015" s="26" t="n"/>
      <c r="E4015" s="26" t="n"/>
      <c r="F4015" s="26" t="n"/>
      <c r="G4015" s="26" t="n"/>
      <c r="H4015" s="26" t="n"/>
      <c r="I4015" s="26" t="n">
        <v>157809</v>
      </c>
      <c r="J4015" s="19" t="n">
        <v>178990.913025</v>
      </c>
      <c r="K4015" s="37" t="n">
        <v>0.065</v>
      </c>
    </row>
    <row r="4016">
      <c r="A4016" s="34" t="inlineStr">
        <is>
          <t>Faste stillinger</t>
        </is>
      </c>
      <c r="B4016" s="34" t="inlineStr">
        <is>
          <t>Region Vest</t>
        </is>
      </c>
      <c r="C4016" s="34" t="inlineStr">
        <is>
          <t>Skjoldvegen Skjold</t>
        </is>
      </c>
      <c r="D4016" s="18" t="n">
        <v>6732301</v>
      </c>
      <c r="E4016" s="18" t="n">
        <v>8923033</v>
      </c>
      <c r="F4016" s="18" t="n">
        <v>9580169</v>
      </c>
      <c r="G4016" s="18" t="n">
        <v>11020245</v>
      </c>
      <c r="H4016" s="18" t="n">
        <v>11888797</v>
      </c>
      <c r="I4016" s="18" t="n">
        <v>13605250</v>
      </c>
      <c r="J4016" s="19" t="n">
        <v>18027011.13794692</v>
      </c>
      <c r="K4016" s="35" t="n">
        <v>0.1510881957178969</v>
      </c>
    </row>
    <row r="4017">
      <c r="A4017" s="36" t="inlineStr">
        <is>
          <t>Faste stillinger</t>
        </is>
      </c>
      <c r="B4017" s="36" t="inlineStr">
        <is>
          <t>Region Vest</t>
        </is>
      </c>
      <c r="C4017" s="36" t="inlineStr">
        <is>
          <t>Skjoldvegen Søfteland</t>
        </is>
      </c>
      <c r="D4017" s="26" t="n">
        <v>6094013</v>
      </c>
      <c r="E4017" s="26" t="n">
        <v>5896394</v>
      </c>
      <c r="F4017" s="26" t="n">
        <v>4941353</v>
      </c>
      <c r="G4017" s="26" t="n">
        <v>8025561</v>
      </c>
      <c r="H4017" s="26" t="n">
        <v>9577570</v>
      </c>
      <c r="I4017" s="26" t="n">
        <v>9505837</v>
      </c>
      <c r="J4017" s="19" t="n">
        <v>11355994.08623012</v>
      </c>
      <c r="K4017" s="37" t="n">
        <v>0.09299304224662497</v>
      </c>
    </row>
    <row r="4018">
      <c r="A4018" s="34" t="inlineStr">
        <is>
          <t>Faste stillinger</t>
        </is>
      </c>
      <c r="B4018" s="34" t="inlineStr">
        <is>
          <t>Region Vest</t>
        </is>
      </c>
      <c r="C4018" s="34" t="inlineStr">
        <is>
          <t>Skjoldvegen barnevernsenter</t>
        </is>
      </c>
      <c r="D4018" s="18" t="n">
        <v>938160</v>
      </c>
      <c r="E4018" s="18" t="n">
        <v>779716</v>
      </c>
      <c r="F4018" s="18" t="n">
        <v>837878</v>
      </c>
      <c r="G4018" s="18" t="n">
        <v>858178</v>
      </c>
      <c r="H4018" s="18" t="n">
        <v>874811</v>
      </c>
      <c r="I4018" s="18" t="n">
        <v>947568</v>
      </c>
      <c r="J4018" s="19" t="n">
        <v>951357.5637577045</v>
      </c>
      <c r="K4018" s="35" t="n">
        <v>0.001997631019339918</v>
      </c>
    </row>
    <row r="4019">
      <c r="A4019" s="36" t="inlineStr">
        <is>
          <t>Faste stillinger</t>
        </is>
      </c>
      <c r="B4019" s="36" t="inlineStr">
        <is>
          <t>Region Vest</t>
        </is>
      </c>
      <c r="C4019" s="36" t="inlineStr">
        <is>
          <t>Skjoldvegen barnevernsenter Enetiltak</t>
        </is>
      </c>
      <c r="D4019" s="26" t="n">
        <v>218604</v>
      </c>
      <c r="E4019" s="26" t="n"/>
      <c r="F4019" s="26" t="n"/>
      <c r="G4019" s="26" t="n">
        <v>48432</v>
      </c>
      <c r="H4019" s="26" t="n"/>
      <c r="I4019" s="26" t="n"/>
      <c r="J4019" s="19" t="n">
        <v>0</v>
      </c>
      <c r="K4019" s="37" t="n">
        <v>0.065</v>
      </c>
    </row>
    <row r="4020">
      <c r="A4020" s="34" t="inlineStr">
        <is>
          <t>Faste stillinger</t>
        </is>
      </c>
      <c r="B4020" s="34" t="inlineStr">
        <is>
          <t>Region Vest</t>
        </is>
      </c>
      <c r="C4020" s="34" t="inlineStr">
        <is>
          <t>Skjoldvegen barnevernsenter avd. Fyllingsdalen</t>
        </is>
      </c>
      <c r="D4020" s="18" t="n">
        <v>5229916</v>
      </c>
      <c r="E4020" s="18" t="n">
        <v>4699133</v>
      </c>
      <c r="F4020" s="18" t="n">
        <v>4994535</v>
      </c>
      <c r="G4020" s="18" t="n">
        <v>6022374</v>
      </c>
      <c r="H4020" s="18" t="n">
        <v>7089543</v>
      </c>
      <c r="I4020" s="18" t="n">
        <v>8007471</v>
      </c>
      <c r="J4020" s="19" t="n">
        <v>9495014.643927801</v>
      </c>
      <c r="K4020" s="35" t="n">
        <v>0.08893042478716406</v>
      </c>
    </row>
    <row r="4021">
      <c r="A4021" s="36" t="inlineStr">
        <is>
          <t>Faste stillinger</t>
        </is>
      </c>
      <c r="B4021" s="36" t="inlineStr">
        <is>
          <t>Region Vest</t>
        </is>
      </c>
      <c r="C4021" s="36" t="inlineStr">
        <is>
          <t>Sogn og Fjordane ungdomsenter</t>
        </is>
      </c>
      <c r="D4021" s="26" t="n">
        <v>1124491</v>
      </c>
      <c r="E4021" s="26" t="n">
        <v>1290555</v>
      </c>
      <c r="F4021" s="26" t="n">
        <v>1143051</v>
      </c>
      <c r="G4021" s="26" t="n">
        <v>1775805</v>
      </c>
      <c r="H4021" s="26" t="n">
        <v>1025094</v>
      </c>
      <c r="I4021" s="26" t="n">
        <v>396196</v>
      </c>
      <c r="J4021" s="19" t="n">
        <v>261030.7839403438</v>
      </c>
      <c r="K4021" s="37" t="n">
        <v>-0.1883088318052391</v>
      </c>
    </row>
    <row r="4022">
      <c r="A4022" s="34" t="inlineStr">
        <is>
          <t>Faste stillinger</t>
        </is>
      </c>
      <c r="B4022" s="34" t="inlineStr">
        <is>
          <t>Region Vest</t>
        </is>
      </c>
      <c r="C4022" s="34" t="inlineStr">
        <is>
          <t>Sogn og fjordane ungdomssenter avdeling Bregnetunet behandling høy</t>
        </is>
      </c>
      <c r="D4022" s="18" t="n"/>
      <c r="E4022" s="18" t="n"/>
      <c r="F4022" s="18" t="n"/>
      <c r="G4022" s="18" t="n"/>
      <c r="H4022" s="18" t="n">
        <v>1925298</v>
      </c>
      <c r="I4022" s="18" t="n">
        <v>11857524</v>
      </c>
      <c r="J4022" s="19" t="n">
        <v>13449100.1589</v>
      </c>
      <c r="K4022" s="35" t="n">
        <v>0.065</v>
      </c>
    </row>
    <row r="4023">
      <c r="A4023" s="36" t="inlineStr">
        <is>
          <t>Faste stillinger</t>
        </is>
      </c>
      <c r="B4023" s="36" t="inlineStr">
        <is>
          <t>Region Vest</t>
        </is>
      </c>
      <c r="C4023" s="36" t="inlineStr">
        <is>
          <t>Sogn og fjordane ungdomssenter behandling høy</t>
        </is>
      </c>
      <c r="D4023" s="26" t="n"/>
      <c r="E4023" s="26" t="n"/>
      <c r="F4023" s="26" t="n"/>
      <c r="G4023" s="26" t="n"/>
      <c r="H4023" s="26" t="n"/>
      <c r="I4023" s="26" t="n">
        <v>592795</v>
      </c>
      <c r="J4023" s="19" t="n">
        <v>672362.9088749998</v>
      </c>
      <c r="K4023" s="37" t="n">
        <v>0.065</v>
      </c>
    </row>
    <row r="4024">
      <c r="A4024" s="34" t="inlineStr">
        <is>
          <t>Faste stillinger</t>
        </is>
      </c>
      <c r="B4024" s="34" t="inlineStr">
        <is>
          <t>Region Vest</t>
        </is>
      </c>
      <c r="C4024" s="34" t="inlineStr">
        <is>
          <t>Sogndal ungdomsenter-adm.</t>
        </is>
      </c>
      <c r="D4024" s="18" t="n">
        <v>3800736</v>
      </c>
      <c r="E4024" s="18" t="n">
        <v>4204669</v>
      </c>
      <c r="F4024" s="18" t="n">
        <v>4386453</v>
      </c>
      <c r="G4024" s="18" t="n">
        <v>4830768</v>
      </c>
      <c r="H4024" s="18" t="n">
        <v>4616743</v>
      </c>
      <c r="I4024" s="18" t="n">
        <v>5437633</v>
      </c>
      <c r="J4024" s="19" t="n">
        <v>6275188.380504074</v>
      </c>
      <c r="K4024" s="35" t="n">
        <v>0.07425760686260774</v>
      </c>
    </row>
    <row r="4025">
      <c r="A4025" s="36" t="inlineStr">
        <is>
          <t>Faste stillinger</t>
        </is>
      </c>
      <c r="B4025" s="36" t="inlineStr">
        <is>
          <t>Region Vest</t>
        </is>
      </c>
      <c r="C4025" s="36" t="inlineStr">
        <is>
          <t>Stavanger akuttsenter - Administrasjon</t>
        </is>
      </c>
      <c r="D4025" s="26" t="n">
        <v>1915349</v>
      </c>
      <c r="E4025" s="26" t="n">
        <v>2739357</v>
      </c>
      <c r="F4025" s="26" t="n">
        <v>3227150</v>
      </c>
      <c r="G4025" s="26" t="n">
        <v>3140254</v>
      </c>
      <c r="H4025" s="26" t="n">
        <v>2027821</v>
      </c>
      <c r="I4025" s="26" t="n">
        <v>1382831</v>
      </c>
      <c r="J4025" s="19" t="n">
        <v>1213885.103631358</v>
      </c>
      <c r="K4025" s="37" t="n">
        <v>-0.06307627256426196</v>
      </c>
    </row>
    <row r="4026">
      <c r="A4026" s="34" t="inlineStr">
        <is>
          <t>Faste stillinger</t>
        </is>
      </c>
      <c r="B4026" s="34" t="inlineStr">
        <is>
          <t>Region Vest</t>
        </is>
      </c>
      <c r="C4026" s="34" t="inlineStr">
        <is>
          <t>Stavanger akuttsenter - Heimly</t>
        </is>
      </c>
      <c r="D4026" s="18" t="n">
        <v>1214799</v>
      </c>
      <c r="E4026" s="18" t="n">
        <v>5254576</v>
      </c>
      <c r="F4026" s="18" t="n">
        <v>206011</v>
      </c>
      <c r="G4026" s="18" t="n"/>
      <c r="H4026" s="18" t="n"/>
      <c r="I4026" s="18" t="n"/>
      <c r="J4026" s="19" t="n">
        <v>0</v>
      </c>
      <c r="K4026" s="35" t="n">
        <v>0.065</v>
      </c>
    </row>
    <row r="4027">
      <c r="A4027" s="36" t="inlineStr">
        <is>
          <t>Faste stillinger</t>
        </is>
      </c>
      <c r="B4027" s="36" t="inlineStr">
        <is>
          <t>Region Vest</t>
        </is>
      </c>
      <c r="C4027" s="36" t="inlineStr">
        <is>
          <t>Stavanger akuttsenter - Madla</t>
        </is>
      </c>
      <c r="D4027" s="26" t="n">
        <v>8056655</v>
      </c>
      <c r="E4027" s="26" t="n">
        <v>7999930</v>
      </c>
      <c r="F4027" s="26" t="n">
        <v>9520183</v>
      </c>
      <c r="G4027" s="26" t="n">
        <v>8971758</v>
      </c>
      <c r="H4027" s="26" t="n">
        <v>12643088</v>
      </c>
      <c r="I4027" s="26" t="n">
        <v>18102312</v>
      </c>
      <c r="J4027" s="19" t="n">
        <v>25024520.0876666</v>
      </c>
      <c r="K4027" s="37" t="n">
        <v>0.1757523509699253</v>
      </c>
    </row>
    <row r="4028">
      <c r="A4028" s="34" t="inlineStr">
        <is>
          <t>Faste stillinger</t>
        </is>
      </c>
      <c r="B4028" s="34" t="inlineStr">
        <is>
          <t>Region Vest</t>
        </is>
      </c>
      <c r="C4028" s="34" t="inlineStr">
        <is>
          <t>Stavanger akuttsenter - Røyneberg</t>
        </is>
      </c>
      <c r="D4028" s="18" t="n">
        <v>6566539</v>
      </c>
      <c r="E4028" s="18" t="n">
        <v>6788170</v>
      </c>
      <c r="F4028" s="18" t="n">
        <v>7179272</v>
      </c>
      <c r="G4028" s="18" t="n">
        <v>8268342</v>
      </c>
      <c r="H4028" s="18" t="n">
        <v>9151472</v>
      </c>
      <c r="I4028" s="18" t="n">
        <v>10532076</v>
      </c>
      <c r="J4028" s="19" t="n">
        <v>12722866.40322555</v>
      </c>
      <c r="K4028" s="35" t="n">
        <v>0.09909565570268697</v>
      </c>
    </row>
    <row r="4029">
      <c r="A4029" s="36" t="inlineStr">
        <is>
          <t>Faste stillinger</t>
        </is>
      </c>
      <c r="B4029" s="36" t="inlineStr">
        <is>
          <t>Region Vest</t>
        </is>
      </c>
      <c r="C4029" s="36" t="inlineStr">
        <is>
          <t>Stavanger senter for foreldre og barn</t>
        </is>
      </c>
      <c r="D4029" s="26" t="n">
        <v>43722</v>
      </c>
      <c r="E4029" s="26" t="n"/>
      <c r="F4029" s="26" t="n"/>
      <c r="G4029" s="26" t="n"/>
      <c r="H4029" s="26" t="n"/>
      <c r="I4029" s="26" t="n"/>
      <c r="J4029" s="19" t="n">
        <v>0</v>
      </c>
      <c r="K4029" s="37" t="n">
        <v>0.065</v>
      </c>
    </row>
    <row r="4030">
      <c r="A4030" s="34" t="inlineStr">
        <is>
          <t>Faste stillinger</t>
        </is>
      </c>
      <c r="B4030" s="34" t="inlineStr">
        <is>
          <t>Region Vest</t>
        </is>
      </c>
      <c r="C4030" s="34" t="inlineStr">
        <is>
          <t>Stavanger ungdomssenter - adm</t>
        </is>
      </c>
      <c r="D4030" s="18" t="n">
        <v>1039320</v>
      </c>
      <c r="E4030" s="18" t="n">
        <v>869453</v>
      </c>
      <c r="F4030" s="18" t="n">
        <v>822557</v>
      </c>
      <c r="G4030" s="18" t="n">
        <v>868377</v>
      </c>
      <c r="H4030" s="18" t="n">
        <v>951857</v>
      </c>
      <c r="I4030" s="18" t="n">
        <v>465475</v>
      </c>
      <c r="J4030" s="19" t="n">
        <v>337563.2744399729</v>
      </c>
      <c r="K4030" s="35" t="n">
        <v>-0.1484122310571521</v>
      </c>
    </row>
    <row r="4031">
      <c r="A4031" s="36" t="inlineStr">
        <is>
          <t>Faste stillinger</t>
        </is>
      </c>
      <c r="B4031" s="36" t="inlineStr">
        <is>
          <t>Region Vest</t>
        </is>
      </c>
      <c r="C4031" s="36" t="inlineStr">
        <is>
          <t>Stavanger ungdomssenter - avd. Lindøy</t>
        </is>
      </c>
      <c r="D4031" s="26" t="n">
        <v>6834864</v>
      </c>
      <c r="E4031" s="26" t="n">
        <v>7271403</v>
      </c>
      <c r="F4031" s="26" t="n">
        <v>7581885</v>
      </c>
      <c r="G4031" s="26" t="n">
        <v>7546791</v>
      </c>
      <c r="H4031" s="26" t="n">
        <v>8648698</v>
      </c>
      <c r="I4031" s="26" t="n">
        <v>9353068</v>
      </c>
      <c r="J4031" s="19" t="n">
        <v>10603366.61617767</v>
      </c>
      <c r="K4031" s="37" t="n">
        <v>0.06474312095411583</v>
      </c>
    </row>
    <row r="4032">
      <c r="A4032" s="34" t="inlineStr">
        <is>
          <t>Faste stillinger</t>
        </is>
      </c>
      <c r="B4032" s="34" t="inlineStr">
        <is>
          <t>Region Vest</t>
        </is>
      </c>
      <c r="C4032" s="34" t="inlineStr">
        <is>
          <t>Stavanger ungdomssenter - avd. Våland</t>
        </is>
      </c>
      <c r="D4032" s="18" t="n">
        <v>5883782</v>
      </c>
      <c r="E4032" s="18" t="n">
        <v>6178072</v>
      </c>
      <c r="F4032" s="18" t="n">
        <v>6396418</v>
      </c>
      <c r="G4032" s="18" t="n">
        <v>7081043</v>
      </c>
      <c r="H4032" s="18" t="n">
        <v>7430133</v>
      </c>
      <c r="I4032" s="18" t="n">
        <v>8466624</v>
      </c>
      <c r="J4032" s="19" t="n">
        <v>9793360.767580705</v>
      </c>
      <c r="K4032" s="35" t="n">
        <v>0.07550080553229988</v>
      </c>
    </row>
    <row r="4033">
      <c r="A4033" s="36" t="inlineStr">
        <is>
          <t>Faste stillinger</t>
        </is>
      </c>
      <c r="B4033" s="36" t="inlineStr">
        <is>
          <t>Region Vest</t>
        </is>
      </c>
      <c r="C4033" s="36" t="inlineStr">
        <is>
          <t>TFCO Bergen, avdeling fosterhjem</t>
        </is>
      </c>
      <c r="D4033" s="26" t="n"/>
      <c r="E4033" s="26" t="n"/>
      <c r="F4033" s="26" t="n">
        <v>1879749</v>
      </c>
      <c r="G4033" s="26" t="n">
        <v>1894827</v>
      </c>
      <c r="H4033" s="26" t="n">
        <v>300</v>
      </c>
      <c r="I4033" s="26" t="n"/>
      <c r="J4033" s="19" t="n">
        <v>0</v>
      </c>
      <c r="K4033" s="37" t="n">
        <v>0.065</v>
      </c>
    </row>
    <row r="4034">
      <c r="A4034" s="34" t="inlineStr">
        <is>
          <t>Faste stillinger</t>
        </is>
      </c>
      <c r="B4034" s="34" t="inlineStr">
        <is>
          <t>Region Vest</t>
        </is>
      </c>
      <c r="C4034" s="34" t="inlineStr">
        <is>
          <t>TFCO Stavanger</t>
        </is>
      </c>
      <c r="D4034" s="18" t="n"/>
      <c r="E4034" s="18" t="n"/>
      <c r="F4034" s="18" t="n">
        <v>117240</v>
      </c>
      <c r="G4034" s="18" t="n">
        <v>286249</v>
      </c>
      <c r="H4034" s="18" t="n"/>
      <c r="I4034" s="18" t="n"/>
      <c r="J4034" s="19" t="n">
        <v>0</v>
      </c>
      <c r="K4034" s="35" t="n">
        <v>0.065</v>
      </c>
    </row>
    <row r="4035">
      <c r="A4035" s="36" t="inlineStr">
        <is>
          <t>Faste stillinger</t>
        </is>
      </c>
      <c r="B4035" s="36" t="inlineStr">
        <is>
          <t>Region Vest</t>
        </is>
      </c>
      <c r="C4035" s="36" t="inlineStr">
        <is>
          <t>Vestlundveien Ungdomssenter</t>
        </is>
      </c>
      <c r="D4035" s="26" t="n">
        <v>-533</v>
      </c>
      <c r="E4035" s="26" t="n"/>
      <c r="F4035" s="26" t="n"/>
      <c r="G4035" s="26" t="n"/>
      <c r="H4035" s="26" t="n"/>
      <c r="I4035" s="26" t="n"/>
      <c r="J4035" s="19" t="n">
        <v>0</v>
      </c>
      <c r="K4035" s="37" t="n">
        <v>0.065</v>
      </c>
    </row>
    <row r="4036">
      <c r="A4036" s="34" t="inlineStr">
        <is>
          <t>Faste stillinger</t>
        </is>
      </c>
      <c r="B4036" s="34" t="inlineStr">
        <is>
          <t>Region Øst</t>
        </is>
      </c>
      <c r="C4036" s="34" t="inlineStr">
        <is>
          <t>Akershus ungdoms- og familiesenter - akutt  Adminstrasjon</t>
        </is>
      </c>
      <c r="D4036" s="18" t="n">
        <v>2104898</v>
      </c>
      <c r="E4036" s="18" t="n">
        <v>2255275</v>
      </c>
      <c r="F4036" s="18" t="n">
        <v>2640343</v>
      </c>
      <c r="G4036" s="18" t="n">
        <v>2960888</v>
      </c>
      <c r="H4036" s="18" t="n">
        <v>3010583</v>
      </c>
      <c r="I4036" s="18" t="n">
        <v>45045</v>
      </c>
      <c r="J4036" s="19" t="n">
        <v>25337.8125</v>
      </c>
      <c r="K4036" s="35" t="n">
        <v>-0.25</v>
      </c>
    </row>
    <row r="4037">
      <c r="A4037" s="36" t="inlineStr">
        <is>
          <t>Faste stillinger</t>
        </is>
      </c>
      <c r="B4037" s="36" t="inlineStr">
        <is>
          <t>Region Øst</t>
        </is>
      </c>
      <c r="C4037" s="36" t="inlineStr">
        <is>
          <t>Akershus ungdoms- og familiesenter - akutt  Avdeling Sole</t>
        </is>
      </c>
      <c r="D4037" s="26" t="n">
        <v>7254374</v>
      </c>
      <c r="E4037" s="26" t="n">
        <v>8300221</v>
      </c>
      <c r="F4037" s="26" t="n">
        <v>8451745</v>
      </c>
      <c r="G4037" s="26" t="n">
        <v>9626934</v>
      </c>
      <c r="H4037" s="26" t="n">
        <v>9864277</v>
      </c>
      <c r="I4037" s="26" t="n">
        <v>321557</v>
      </c>
      <c r="J4037" s="19" t="n">
        <v>180875.8125</v>
      </c>
      <c r="K4037" s="37" t="n">
        <v>-0.25</v>
      </c>
    </row>
    <row r="4038">
      <c r="A4038" s="34" t="inlineStr">
        <is>
          <t>Faste stillinger</t>
        </is>
      </c>
      <c r="B4038" s="34" t="inlineStr">
        <is>
          <t>Region Øst</t>
        </is>
      </c>
      <c r="C4038" s="34" t="inlineStr">
        <is>
          <t>Akershus ungdoms- og familiesenter - akutt  Avdeling Tjernlia</t>
        </is>
      </c>
      <c r="D4038" s="18" t="n">
        <v>6899530</v>
      </c>
      <c r="E4038" s="18" t="n">
        <v>7596623</v>
      </c>
      <c r="F4038" s="18" t="n">
        <v>8174065</v>
      </c>
      <c r="G4038" s="18" t="n">
        <v>7326587</v>
      </c>
      <c r="H4038" s="18" t="n">
        <v>7166773</v>
      </c>
      <c r="I4038" s="18" t="n">
        <v>335643</v>
      </c>
      <c r="J4038" s="19" t="n">
        <v>188799.1875</v>
      </c>
      <c r="K4038" s="35" t="n">
        <v>-0.25</v>
      </c>
    </row>
    <row r="4039">
      <c r="A4039" s="36" t="inlineStr">
        <is>
          <t>Faste stillinger</t>
        </is>
      </c>
      <c r="B4039" s="36" t="inlineStr">
        <is>
          <t>Region Øst</t>
        </is>
      </c>
      <c r="C4039" s="36" t="inlineStr">
        <is>
          <t>Akershus ungdoms- og familiesenter - akutt Avdeling Bjørlien</t>
        </is>
      </c>
      <c r="D4039" s="26" t="n">
        <v>6980229</v>
      </c>
      <c r="E4039" s="26" t="n">
        <v>7101891</v>
      </c>
      <c r="F4039" s="26" t="n">
        <v>7525241</v>
      </c>
      <c r="G4039" s="26" t="n">
        <v>7151602</v>
      </c>
      <c r="H4039" s="26" t="n">
        <v>8906281</v>
      </c>
      <c r="I4039" s="26" t="n">
        <v>194716</v>
      </c>
      <c r="J4039" s="19" t="n">
        <v>109527.75</v>
      </c>
      <c r="K4039" s="37" t="n">
        <v>-0.25</v>
      </c>
    </row>
    <row r="4040">
      <c r="A4040" s="34" t="inlineStr">
        <is>
          <t>Faste stillinger</t>
        </is>
      </c>
      <c r="B4040" s="34" t="inlineStr">
        <is>
          <t>Region Øst</t>
        </is>
      </c>
      <c r="C4040" s="34" t="inlineStr">
        <is>
          <t>Akershus ungdoms- og familiesenter - akutt Avdeling Follo</t>
        </is>
      </c>
      <c r="D4040" s="18" t="n">
        <v>2065198</v>
      </c>
      <c r="E4040" s="18" t="n">
        <v>5967145</v>
      </c>
      <c r="F4040" s="18" t="n">
        <v>334543</v>
      </c>
      <c r="G4040" s="18" t="n">
        <v>2577</v>
      </c>
      <c r="H4040" s="18" t="n"/>
      <c r="I4040" s="18" t="n"/>
      <c r="J4040" s="19" t="n">
        <v>0</v>
      </c>
      <c r="K4040" s="35" t="n">
        <v>0.065</v>
      </c>
    </row>
    <row r="4041">
      <c r="A4041" s="36" t="inlineStr">
        <is>
          <t>Faste stillinger</t>
        </is>
      </c>
      <c r="B4041" s="36" t="inlineStr">
        <is>
          <t>Region Øst</t>
        </is>
      </c>
      <c r="C4041" s="36" t="inlineStr">
        <is>
          <t>Akershus ungdoms- og familiesenter - akutt Avdeling Jibbe</t>
        </is>
      </c>
      <c r="D4041" s="26" t="n">
        <v>1828536</v>
      </c>
      <c r="E4041" s="26" t="n">
        <v>7106731</v>
      </c>
      <c r="F4041" s="26" t="n">
        <v>8364430</v>
      </c>
      <c r="G4041" s="26" t="n">
        <v>7987248</v>
      </c>
      <c r="H4041" s="26" t="n">
        <v>9567677</v>
      </c>
      <c r="I4041" s="26" t="n">
        <v>250260</v>
      </c>
      <c r="J4041" s="19" t="n">
        <v>140771.25</v>
      </c>
      <c r="K4041" s="37" t="n">
        <v>-0.25</v>
      </c>
    </row>
    <row r="4042">
      <c r="A4042" s="34" t="inlineStr">
        <is>
          <t>Faste stillinger</t>
        </is>
      </c>
      <c r="B4042" s="34" t="inlineStr">
        <is>
          <t>Region Øst</t>
        </is>
      </c>
      <c r="C4042" s="34" t="inlineStr">
        <is>
          <t>Akershus ungdoms- og familiesenter - akutt, adm</t>
        </is>
      </c>
      <c r="D4042" s="18" t="n"/>
      <c r="E4042" s="18" t="n"/>
      <c r="F4042" s="18" t="n"/>
      <c r="G4042" s="18" t="n"/>
      <c r="H4042" s="18" t="n"/>
      <c r="I4042" s="18" t="n">
        <v>3231398</v>
      </c>
      <c r="J4042" s="19" t="n">
        <v>3665132.396549999</v>
      </c>
      <c r="K4042" s="35" t="n">
        <v>0.065</v>
      </c>
    </row>
    <row r="4043">
      <c r="A4043" s="36" t="inlineStr">
        <is>
          <t>Faste stillinger</t>
        </is>
      </c>
      <c r="B4043" s="36" t="inlineStr">
        <is>
          <t>Region Øst</t>
        </is>
      </c>
      <c r="C4043" s="36" t="inlineStr">
        <is>
          <t>Akershus ungdoms- og familiesenter - akutt, avd Bjørlien</t>
        </is>
      </c>
      <c r="D4043" s="26" t="n"/>
      <c r="E4043" s="26" t="n"/>
      <c r="F4043" s="26" t="n"/>
      <c r="G4043" s="26" t="n"/>
      <c r="H4043" s="26" t="n"/>
      <c r="I4043" s="26" t="n">
        <v>11052207</v>
      </c>
      <c r="J4043" s="19" t="n">
        <v>12535689.484575</v>
      </c>
      <c r="K4043" s="37" t="n">
        <v>0.065</v>
      </c>
    </row>
    <row r="4044">
      <c r="A4044" s="34" t="inlineStr">
        <is>
          <t>Faste stillinger</t>
        </is>
      </c>
      <c r="B4044" s="34" t="inlineStr">
        <is>
          <t>Region Øst</t>
        </is>
      </c>
      <c r="C4044" s="34" t="inlineStr">
        <is>
          <t>Akershus ungdoms- og familiesenter - akutt, avd Jibbe</t>
        </is>
      </c>
      <c r="D4044" s="18" t="n"/>
      <c r="E4044" s="18" t="n"/>
      <c r="F4044" s="18" t="n"/>
      <c r="G4044" s="18" t="n"/>
      <c r="H4044" s="18" t="n"/>
      <c r="I4044" s="18" t="n">
        <v>11211511</v>
      </c>
      <c r="J4044" s="19" t="n">
        <v>12716376.063975</v>
      </c>
      <c r="K4044" s="35" t="n">
        <v>0.065</v>
      </c>
    </row>
    <row r="4045">
      <c r="A4045" s="36" t="inlineStr">
        <is>
          <t>Faste stillinger</t>
        </is>
      </c>
      <c r="B4045" s="36" t="inlineStr">
        <is>
          <t>Region Øst</t>
        </is>
      </c>
      <c r="C4045" s="36" t="inlineStr">
        <is>
          <t>Akershus ungdoms- og familiesenter - akutt, avd Sole</t>
        </is>
      </c>
      <c r="D4045" s="26" t="n"/>
      <c r="E4045" s="26" t="n"/>
      <c r="F4045" s="26" t="n"/>
      <c r="G4045" s="26" t="n"/>
      <c r="H4045" s="26" t="n"/>
      <c r="I4045" s="26" t="n">
        <v>15040558</v>
      </c>
      <c r="J4045" s="19" t="n">
        <v>17059376.89755</v>
      </c>
      <c r="K4045" s="37" t="n">
        <v>0.065</v>
      </c>
    </row>
    <row r="4046">
      <c r="A4046" s="34" t="inlineStr">
        <is>
          <t>Faste stillinger</t>
        </is>
      </c>
      <c r="B4046" s="34" t="inlineStr">
        <is>
          <t>Region Øst</t>
        </is>
      </c>
      <c r="C4046" s="34" t="inlineStr">
        <is>
          <t>Akershus ungdoms- og familiesenter - akutt, avd Tjernlia</t>
        </is>
      </c>
      <c r="D4046" s="18" t="n"/>
      <c r="E4046" s="18" t="n"/>
      <c r="F4046" s="18" t="n"/>
      <c r="G4046" s="18" t="n"/>
      <c r="H4046" s="18" t="n"/>
      <c r="I4046" s="18" t="n">
        <v>10558438</v>
      </c>
      <c r="J4046" s="19" t="n">
        <v>11975644.34055</v>
      </c>
      <c r="K4046" s="35" t="n">
        <v>0.065</v>
      </c>
    </row>
    <row r="4047">
      <c r="A4047" s="36" t="inlineStr">
        <is>
          <t>Faste stillinger</t>
        </is>
      </c>
      <c r="B4047" s="36" t="inlineStr">
        <is>
          <t>Region Øst</t>
        </is>
      </c>
      <c r="C4047" s="36" t="inlineStr">
        <is>
          <t>Bufetat Øst Innlandet Barnevernsenter</t>
        </is>
      </c>
      <c r="D4047" s="26" t="n">
        <v>2302003</v>
      </c>
      <c r="E4047" s="26" t="n">
        <v>3225522</v>
      </c>
      <c r="F4047" s="26" t="n">
        <v>3395231</v>
      </c>
      <c r="G4047" s="26" t="n">
        <v>3153959</v>
      </c>
      <c r="H4047" s="26" t="n">
        <v>4232765</v>
      </c>
      <c r="I4047" s="26" t="n">
        <v>5583705</v>
      </c>
      <c r="J4047" s="19" t="n">
        <v>7958827.603108043</v>
      </c>
      <c r="K4047" s="37" t="n">
        <v>0.1938872549926374</v>
      </c>
    </row>
    <row r="4048">
      <c r="A4048" s="34" t="inlineStr">
        <is>
          <t>Faste stillinger</t>
        </is>
      </c>
      <c r="B4048" s="34" t="inlineStr">
        <is>
          <t>Region Øst</t>
        </is>
      </c>
      <c r="C4048" s="34" t="inlineStr">
        <is>
          <t>Bufetats behandlingssenter Akershus/Østfold - Administrasjon</t>
        </is>
      </c>
      <c r="D4048" s="18" t="n"/>
      <c r="E4048" s="18" t="n"/>
      <c r="F4048" s="18" t="n"/>
      <c r="G4048" s="18" t="n">
        <v>2810806</v>
      </c>
      <c r="H4048" s="18" t="n">
        <v>3265015</v>
      </c>
      <c r="I4048" s="18" t="n">
        <v>37960</v>
      </c>
      <c r="J4048" s="19" t="n">
        <v>43055.18099999999</v>
      </c>
      <c r="K4048" s="35" t="n">
        <v>0.065</v>
      </c>
    </row>
    <row r="4049">
      <c r="A4049" s="36" t="inlineStr">
        <is>
          <t>Faste stillinger</t>
        </is>
      </c>
      <c r="B4049" s="36" t="inlineStr">
        <is>
          <t>Region Øst</t>
        </is>
      </c>
      <c r="C4049" s="36" t="inlineStr">
        <is>
          <t>Bufetats behandlingssenter Akershus/Østfold, Avdeling Kroerveien Institusjon</t>
        </is>
      </c>
      <c r="D4049" s="26" t="n"/>
      <c r="E4049" s="26" t="n"/>
      <c r="F4049" s="26" t="n"/>
      <c r="G4049" s="26" t="n">
        <v>4760399</v>
      </c>
      <c r="H4049" s="26" t="n">
        <v>11976122</v>
      </c>
      <c r="I4049" s="26" t="n">
        <v>167761</v>
      </c>
      <c r="J4049" s="19" t="n">
        <v>190278.720225</v>
      </c>
      <c r="K4049" s="37" t="n">
        <v>0.065</v>
      </c>
    </row>
    <row r="4050">
      <c r="A4050" s="34" t="inlineStr">
        <is>
          <t>Faste stillinger</t>
        </is>
      </c>
      <c r="B4050" s="34" t="inlineStr">
        <is>
          <t>Region Øst</t>
        </is>
      </c>
      <c r="C4050" s="34" t="inlineStr">
        <is>
          <t>Bufetats behandlingssenter Akershus/Østfold, Avdeling Ressursteam</t>
        </is>
      </c>
      <c r="D4050" s="18" t="n"/>
      <c r="E4050" s="18" t="n"/>
      <c r="F4050" s="18" t="n"/>
      <c r="G4050" s="18" t="n">
        <v>3096270</v>
      </c>
      <c r="H4050" s="18" t="n">
        <v>6515276</v>
      </c>
      <c r="I4050" s="18" t="n">
        <v>47755</v>
      </c>
      <c r="J4050" s="19" t="n">
        <v>54164.91487499999</v>
      </c>
      <c r="K4050" s="35" t="n">
        <v>0.065</v>
      </c>
    </row>
    <row r="4051">
      <c r="A4051" s="36" t="inlineStr">
        <is>
          <t>Faste stillinger</t>
        </is>
      </c>
      <c r="B4051" s="36" t="inlineStr">
        <is>
          <t>Region Øst</t>
        </is>
      </c>
      <c r="C4051" s="36" t="inlineStr">
        <is>
          <t>Bufetats behandlingssenter Akershus/Østfold, Avdeling Ås</t>
        </is>
      </c>
      <c r="D4051" s="26" t="n"/>
      <c r="E4051" s="26" t="n"/>
      <c r="F4051" s="26" t="n"/>
      <c r="G4051" s="26" t="n">
        <v>5012625</v>
      </c>
      <c r="H4051" s="26" t="n">
        <v>10648748</v>
      </c>
      <c r="I4051" s="26" t="n">
        <v>276387</v>
      </c>
      <c r="J4051" s="19" t="n">
        <v>313485.045075</v>
      </c>
      <c r="K4051" s="37" t="n">
        <v>0.065</v>
      </c>
    </row>
    <row r="4052">
      <c r="A4052" s="34" t="inlineStr">
        <is>
          <t>Faste stillinger</t>
        </is>
      </c>
      <c r="B4052" s="34" t="inlineStr">
        <is>
          <t>Region Øst</t>
        </is>
      </c>
      <c r="C4052" s="34" t="inlineStr">
        <is>
          <t>Bufetats behandlingssenter Akershus/Østfold, Avdeling Østheim</t>
        </is>
      </c>
      <c r="D4052" s="18" t="n"/>
      <c r="E4052" s="18" t="n"/>
      <c r="F4052" s="18" t="n"/>
      <c r="G4052" s="18" t="n">
        <v>4016658</v>
      </c>
      <c r="H4052" s="18" t="n">
        <v>7932735</v>
      </c>
      <c r="I4052" s="18" t="n">
        <v>90221</v>
      </c>
      <c r="J4052" s="19" t="n">
        <v>102330.913725</v>
      </c>
      <c r="K4052" s="35" t="n">
        <v>0.065</v>
      </c>
    </row>
    <row r="4053">
      <c r="A4053" s="36" t="inlineStr">
        <is>
          <t>Faste stillinger</t>
        </is>
      </c>
      <c r="B4053" s="36" t="inlineStr">
        <is>
          <t>Region Øst</t>
        </is>
      </c>
      <c r="C4053" s="36" t="inlineStr">
        <is>
          <t>Bufetats behandlingssenter Akershus/Østfold, Avdeling Østlund</t>
        </is>
      </c>
      <c r="D4053" s="26" t="n"/>
      <c r="E4053" s="26" t="n"/>
      <c r="F4053" s="26" t="n"/>
      <c r="G4053" s="26" t="n">
        <v>4548197</v>
      </c>
      <c r="H4053" s="26" t="n">
        <v>8296862</v>
      </c>
      <c r="I4053" s="26" t="n">
        <v>203756</v>
      </c>
      <c r="J4053" s="19" t="n">
        <v>231105.1491</v>
      </c>
      <c r="K4053" s="37" t="n">
        <v>0.065</v>
      </c>
    </row>
    <row r="4054">
      <c r="A4054" s="34" t="inlineStr">
        <is>
          <t>Faste stillinger</t>
        </is>
      </c>
      <c r="B4054" s="34" t="inlineStr">
        <is>
          <t>Region Øst</t>
        </is>
      </c>
      <c r="C4054" s="34" t="inlineStr">
        <is>
          <t>Bufetats behandlingssenter Akershus_Østfold, adm</t>
        </is>
      </c>
      <c r="D4054" s="18" t="n"/>
      <c r="E4054" s="18" t="n"/>
      <c r="F4054" s="18" t="n"/>
      <c r="G4054" s="18" t="n"/>
      <c r="H4054" s="18" t="n"/>
      <c r="I4054" s="18" t="n">
        <v>2969921</v>
      </c>
      <c r="J4054" s="19" t="n">
        <v>3368558.646224999</v>
      </c>
      <c r="K4054" s="35" t="n">
        <v>0.065</v>
      </c>
    </row>
    <row r="4055">
      <c r="A4055" s="36" t="inlineStr">
        <is>
          <t>Faste stillinger</t>
        </is>
      </c>
      <c r="B4055" s="36" t="inlineStr">
        <is>
          <t>Region Øst</t>
        </is>
      </c>
      <c r="C4055" s="36" t="inlineStr">
        <is>
          <t>Bufetats behandlingssenter Akershus_Østfold, avd Kroerveien</t>
        </is>
      </c>
      <c r="D4055" s="26" t="n"/>
      <c r="E4055" s="26" t="n"/>
      <c r="F4055" s="26" t="n"/>
      <c r="G4055" s="26" t="n"/>
      <c r="H4055" s="26" t="n"/>
      <c r="I4055" s="26" t="n">
        <v>13483437</v>
      </c>
      <c r="J4055" s="19" t="n">
        <v>15293251.331325</v>
      </c>
      <c r="K4055" s="37" t="n">
        <v>0.065</v>
      </c>
    </row>
    <row r="4056">
      <c r="A4056" s="34" t="inlineStr">
        <is>
          <t>Faste stillinger</t>
        </is>
      </c>
      <c r="B4056" s="34" t="inlineStr">
        <is>
          <t>Region Øst</t>
        </is>
      </c>
      <c r="C4056" s="34" t="inlineStr">
        <is>
          <t>Bufetats behandlingssenter Akershus_Østfold, avd Ressursteam</t>
        </is>
      </c>
      <c r="D4056" s="18" t="n"/>
      <c r="E4056" s="18" t="n"/>
      <c r="F4056" s="18" t="n"/>
      <c r="G4056" s="18" t="n"/>
      <c r="H4056" s="18" t="n"/>
      <c r="I4056" s="18" t="n">
        <v>6716464</v>
      </c>
      <c r="J4056" s="19" t="n">
        <v>7617981.380399999</v>
      </c>
      <c r="K4056" s="35" t="n">
        <v>0.065</v>
      </c>
    </row>
    <row r="4057">
      <c r="A4057" s="36" t="inlineStr">
        <is>
          <t>Faste stillinger</t>
        </is>
      </c>
      <c r="B4057" s="36" t="inlineStr">
        <is>
          <t>Region Øst</t>
        </is>
      </c>
      <c r="C4057" s="36" t="inlineStr">
        <is>
          <t>Bufetats behandlingssenter Akershus_Østfold, avd Ås</t>
        </is>
      </c>
      <c r="D4057" s="26" t="n"/>
      <c r="E4057" s="26" t="n"/>
      <c r="F4057" s="26" t="n"/>
      <c r="G4057" s="26" t="n"/>
      <c r="H4057" s="26" t="n"/>
      <c r="I4057" s="26" t="n">
        <v>14075570</v>
      </c>
      <c r="J4057" s="19" t="n">
        <v>15964863.38325</v>
      </c>
      <c r="K4057" s="37" t="n">
        <v>0.065</v>
      </c>
    </row>
    <row r="4058">
      <c r="A4058" s="34" t="inlineStr">
        <is>
          <t>Faste stillinger</t>
        </is>
      </c>
      <c r="B4058" s="34" t="inlineStr">
        <is>
          <t>Region Øst</t>
        </is>
      </c>
      <c r="C4058" s="34" t="inlineStr">
        <is>
          <t>Bufetats behandlingssenter Akershus_Østfold, avd Østheim</t>
        </is>
      </c>
      <c r="D4058" s="18" t="n"/>
      <c r="E4058" s="18" t="n"/>
      <c r="F4058" s="18" t="n"/>
      <c r="G4058" s="18" t="n"/>
      <c r="H4058" s="18" t="n"/>
      <c r="I4058" s="18" t="n">
        <v>10252849</v>
      </c>
      <c r="J4058" s="19" t="n">
        <v>11629037.657025</v>
      </c>
      <c r="K4058" s="35" t="n">
        <v>0.065</v>
      </c>
    </row>
    <row r="4059">
      <c r="A4059" s="36" t="inlineStr">
        <is>
          <t>Faste stillinger</t>
        </is>
      </c>
      <c r="B4059" s="36" t="inlineStr">
        <is>
          <t>Region Øst</t>
        </is>
      </c>
      <c r="C4059" s="36" t="inlineStr">
        <is>
          <t>Bufetats behandlingssenter Akershus_Østfold, avd Østlund</t>
        </is>
      </c>
      <c r="D4059" s="26" t="n"/>
      <c r="E4059" s="26" t="n"/>
      <c r="F4059" s="26" t="n"/>
      <c r="G4059" s="26" t="n"/>
      <c r="H4059" s="26" t="n"/>
      <c r="I4059" s="26" t="n">
        <v>9857118</v>
      </c>
      <c r="J4059" s="19" t="n">
        <v>11180189.66355</v>
      </c>
      <c r="K4059" s="37" t="n">
        <v>0.065</v>
      </c>
    </row>
    <row r="4060">
      <c r="A4060" s="34" t="inlineStr">
        <is>
          <t>Faste stillinger</t>
        </is>
      </c>
      <c r="B4060" s="34" t="inlineStr">
        <is>
          <t>Region Øst</t>
        </is>
      </c>
      <c r="C4060" s="34" t="inlineStr">
        <is>
          <t>Bufetats enhet for godkjenning av barneverninstitusjoner</t>
        </is>
      </c>
      <c r="D4060" s="18" t="n"/>
      <c r="E4060" s="18" t="n"/>
      <c r="F4060" s="18" t="n">
        <v>7780053</v>
      </c>
      <c r="G4060" s="18" t="n">
        <v>8620182</v>
      </c>
      <c r="H4060" s="18" t="n">
        <v>1674</v>
      </c>
      <c r="I4060" s="18" t="n"/>
      <c r="J4060" s="19" t="n">
        <v>0</v>
      </c>
      <c r="K4060" s="35" t="n">
        <v>0.065</v>
      </c>
    </row>
    <row r="4061">
      <c r="A4061" s="36" t="inlineStr">
        <is>
          <t>Faste stillinger</t>
        </is>
      </c>
      <c r="B4061" s="36" t="inlineStr">
        <is>
          <t>Region Øst</t>
        </is>
      </c>
      <c r="C4061" s="36" t="inlineStr">
        <is>
          <t>Enhet for psykologressurser EMA</t>
        </is>
      </c>
      <c r="D4061" s="26" t="n">
        <v>6778185</v>
      </c>
      <c r="E4061" s="26" t="n">
        <v>6731009</v>
      </c>
      <c r="F4061" s="26" t="n">
        <v>7798111</v>
      </c>
      <c r="G4061" s="26" t="n">
        <v>7315360</v>
      </c>
      <c r="H4061" s="26" t="n">
        <v>7589077</v>
      </c>
      <c r="I4061" s="26" t="n">
        <v>74155</v>
      </c>
      <c r="J4061" s="19" t="n">
        <v>41712.1875</v>
      </c>
      <c r="K4061" s="37" t="n">
        <v>-0.25</v>
      </c>
    </row>
    <row r="4062">
      <c r="A4062" s="34" t="inlineStr">
        <is>
          <t>Faste stillinger</t>
        </is>
      </c>
      <c r="B4062" s="34" t="inlineStr">
        <is>
          <t>Region Øst</t>
        </is>
      </c>
      <c r="C4062" s="34" t="inlineStr">
        <is>
          <t>Enhet for tjenestestøtte</t>
        </is>
      </c>
      <c r="D4062" s="18" t="n"/>
      <c r="E4062" s="18" t="n"/>
      <c r="F4062" s="18" t="n"/>
      <c r="G4062" s="18" t="n"/>
      <c r="H4062" s="18" t="n"/>
      <c r="I4062" s="18" t="n">
        <v>9783999</v>
      </c>
      <c r="J4062" s="19" t="n">
        <v>11097256.265775</v>
      </c>
      <c r="K4062" s="35" t="n">
        <v>0.065</v>
      </c>
    </row>
    <row r="4063">
      <c r="A4063" s="36" t="inlineStr">
        <is>
          <t>Faste stillinger</t>
        </is>
      </c>
      <c r="B4063" s="36" t="inlineStr">
        <is>
          <t>Region Øst</t>
        </is>
      </c>
      <c r="C4063" s="36" t="inlineStr">
        <is>
          <t>Follo ungdoms- og familiesenter - akutt  Administrasjon</t>
        </is>
      </c>
      <c r="D4063" s="26" t="n">
        <v>1425949</v>
      </c>
      <c r="E4063" s="26" t="n"/>
      <c r="F4063" s="26" t="n"/>
      <c r="G4063" s="26" t="n"/>
      <c r="H4063" s="26" t="n"/>
      <c r="I4063" s="26" t="n"/>
      <c r="J4063" s="19" t="n">
        <v>0</v>
      </c>
      <c r="K4063" s="37" t="n">
        <v>0.065</v>
      </c>
    </row>
    <row r="4064">
      <c r="A4064" s="34" t="inlineStr">
        <is>
          <t>Faste stillinger</t>
        </is>
      </c>
      <c r="B4064" s="34" t="inlineStr">
        <is>
          <t>Region Øst</t>
        </is>
      </c>
      <c r="C4064" s="34" t="inlineStr">
        <is>
          <t>Follo ungdoms- og familiesenter - akutt  Avdeling Follo</t>
        </is>
      </c>
      <c r="D4064" s="18" t="n">
        <v>4715315</v>
      </c>
      <c r="E4064" s="18" t="n">
        <v>11518</v>
      </c>
      <c r="F4064" s="18" t="n"/>
      <c r="G4064" s="18" t="n"/>
      <c r="H4064" s="18" t="n"/>
      <c r="I4064" s="18" t="n"/>
      <c r="J4064" s="19" t="n">
        <v>0</v>
      </c>
      <c r="K4064" s="35" t="n">
        <v>0.065</v>
      </c>
    </row>
    <row r="4065">
      <c r="A4065" s="36" t="inlineStr">
        <is>
          <t>Faste stillinger</t>
        </is>
      </c>
      <c r="B4065" s="36" t="inlineStr">
        <is>
          <t>Region Øst</t>
        </is>
      </c>
      <c r="C4065" s="36" t="inlineStr">
        <is>
          <t>Follo ungdoms- og familiesenter - akutt  Avdeling Jibbe</t>
        </is>
      </c>
      <c r="D4065" s="26" t="n">
        <v>4065001</v>
      </c>
      <c r="E4065" s="26" t="n">
        <v>359</v>
      </c>
      <c r="F4065" s="26" t="n"/>
      <c r="G4065" s="26" t="n"/>
      <c r="H4065" s="26" t="n"/>
      <c r="I4065" s="26" t="n"/>
      <c r="J4065" s="19" t="n">
        <v>0</v>
      </c>
      <c r="K4065" s="37" t="n">
        <v>0.065</v>
      </c>
    </row>
    <row r="4066">
      <c r="A4066" s="34" t="inlineStr">
        <is>
          <t>Faste stillinger</t>
        </is>
      </c>
      <c r="B4066" s="34" t="inlineStr">
        <is>
          <t>Region Øst</t>
        </is>
      </c>
      <c r="C4066" s="34" t="inlineStr">
        <is>
          <t>Gullhella barne- og familiesenter Avdeling for beredskapshjem 3</t>
        </is>
      </c>
      <c r="D4066" s="18" t="n">
        <v>522931</v>
      </c>
      <c r="E4066" s="18" t="n"/>
      <c r="F4066" s="18" t="n"/>
      <c r="G4066" s="18" t="n"/>
      <c r="H4066" s="18" t="n"/>
      <c r="I4066" s="18" t="n"/>
      <c r="J4066" s="19" t="n">
        <v>0</v>
      </c>
      <c r="K4066" s="35" t="n">
        <v>0.065</v>
      </c>
    </row>
    <row r="4067">
      <c r="A4067" s="36" t="inlineStr">
        <is>
          <t>Faste stillinger</t>
        </is>
      </c>
      <c r="B4067" s="36" t="inlineStr">
        <is>
          <t>Region Øst</t>
        </is>
      </c>
      <c r="C4067" s="36" t="inlineStr">
        <is>
          <t>Gullhella barne- og familiesenter Foreldre- og barn avdeling</t>
        </is>
      </c>
      <c r="D4067" s="26" t="n"/>
      <c r="E4067" s="26" t="n"/>
      <c r="F4067" s="26" t="n">
        <v>226667</v>
      </c>
      <c r="G4067" s="26" t="n">
        <v>585653</v>
      </c>
      <c r="H4067" s="26" t="n">
        <v>639685</v>
      </c>
      <c r="I4067" s="26" t="n"/>
      <c r="J4067" s="19" t="n">
        <v>0</v>
      </c>
      <c r="K4067" s="37" t="n">
        <v>0.065</v>
      </c>
    </row>
    <row r="4068">
      <c r="A4068" s="34" t="inlineStr">
        <is>
          <t>Faste stillinger</t>
        </is>
      </c>
      <c r="B4068" s="34" t="inlineStr">
        <is>
          <t>Region Øst</t>
        </is>
      </c>
      <c r="C4068" s="34" t="inlineStr">
        <is>
          <t>Hedmark ungdoms- og  familiesenter - akutt  Administrasjon</t>
        </is>
      </c>
      <c r="D4068" s="18" t="n">
        <v>2221260</v>
      </c>
      <c r="E4068" s="18" t="n">
        <v>2243879</v>
      </c>
      <c r="F4068" s="18" t="n">
        <v>2330700</v>
      </c>
      <c r="G4068" s="18" t="n">
        <v>2168419</v>
      </c>
      <c r="H4068" s="18" t="n">
        <v>1798695</v>
      </c>
      <c r="I4068" s="18" t="n">
        <v>11388</v>
      </c>
      <c r="J4068" s="19" t="n">
        <v>6405.75</v>
      </c>
      <c r="K4068" s="35" t="n">
        <v>-0.25</v>
      </c>
    </row>
    <row r="4069">
      <c r="A4069" s="36" t="inlineStr">
        <is>
          <t>Faste stillinger</t>
        </is>
      </c>
      <c r="B4069" s="36" t="inlineStr">
        <is>
          <t>Region Øst</t>
        </is>
      </c>
      <c r="C4069" s="36" t="inlineStr">
        <is>
          <t>Hedmark ungdoms- og  familiesenter - akutt  Avdeling  Stange 1</t>
        </is>
      </c>
      <c r="D4069" s="26" t="n">
        <v>8508547</v>
      </c>
      <c r="E4069" s="26" t="n">
        <v>9111380</v>
      </c>
      <c r="F4069" s="26" t="n">
        <v>9275677</v>
      </c>
      <c r="G4069" s="26" t="n">
        <v>9367527</v>
      </c>
      <c r="H4069" s="26" t="n">
        <v>9997492</v>
      </c>
      <c r="I4069" s="26" t="n">
        <v>203819</v>
      </c>
      <c r="J4069" s="19" t="n">
        <v>114648.1875</v>
      </c>
      <c r="K4069" s="37" t="n">
        <v>-0.25</v>
      </c>
    </row>
    <row r="4070">
      <c r="A4070" s="34" t="inlineStr">
        <is>
          <t>Faste stillinger</t>
        </is>
      </c>
      <c r="B4070" s="34" t="inlineStr">
        <is>
          <t>Region Øst</t>
        </is>
      </c>
      <c r="C4070" s="34" t="inlineStr">
        <is>
          <t>Hedmark ungdoms- og  familiesenter - akutt  Avdeling  Vien 1</t>
        </is>
      </c>
      <c r="D4070" s="18" t="n">
        <v>7622364</v>
      </c>
      <c r="E4070" s="18" t="n">
        <v>7611292</v>
      </c>
      <c r="F4070" s="18" t="n">
        <v>8201487</v>
      </c>
      <c r="G4070" s="18" t="n">
        <v>8735964</v>
      </c>
      <c r="H4070" s="18" t="n">
        <v>9812924</v>
      </c>
      <c r="I4070" s="18" t="n">
        <v>232016</v>
      </c>
      <c r="J4070" s="19" t="n">
        <v>130509</v>
      </c>
      <c r="K4070" s="35" t="n">
        <v>-0.25</v>
      </c>
    </row>
    <row r="4071">
      <c r="A4071" s="36" t="inlineStr">
        <is>
          <t>Faste stillinger</t>
        </is>
      </c>
      <c r="B4071" s="36" t="inlineStr">
        <is>
          <t>Region Øst</t>
        </is>
      </c>
      <c r="C4071" s="36" t="inlineStr">
        <is>
          <t>Hedmark ungdoms- og  familiesenter - akutt  Avdeling  Vien 2</t>
        </is>
      </c>
      <c r="D4071" s="26" t="n">
        <v>7097628</v>
      </c>
      <c r="E4071" s="26" t="n">
        <v>8379316</v>
      </c>
      <c r="F4071" s="26" t="n">
        <v>8694987</v>
      </c>
      <c r="G4071" s="26" t="n">
        <v>8153843</v>
      </c>
      <c r="H4071" s="26" t="n">
        <v>8192603</v>
      </c>
      <c r="I4071" s="26" t="n">
        <v>130796</v>
      </c>
      <c r="J4071" s="19" t="n">
        <v>73572.75</v>
      </c>
      <c r="K4071" s="37" t="n">
        <v>-0.25</v>
      </c>
    </row>
    <row r="4072">
      <c r="A4072" s="34" t="inlineStr">
        <is>
          <t>Faste stillinger</t>
        </is>
      </c>
      <c r="B4072" s="34" t="inlineStr">
        <is>
          <t>Region Øst</t>
        </is>
      </c>
      <c r="C4072" s="34" t="inlineStr">
        <is>
          <t>Hedmark ungdoms- og familiesenter - akutt Avdeling Disen</t>
        </is>
      </c>
      <c r="D4072" s="18" t="n"/>
      <c r="E4072" s="18" t="n"/>
      <c r="F4072" s="18" t="n">
        <v>7945892</v>
      </c>
      <c r="G4072" s="18" t="n">
        <v>7814172</v>
      </c>
      <c r="H4072" s="18" t="n">
        <v>8893564</v>
      </c>
      <c r="I4072" s="18" t="n">
        <v>154691</v>
      </c>
      <c r="J4072" s="19" t="n">
        <v>175454.399475</v>
      </c>
      <c r="K4072" s="35" t="n">
        <v>0.065</v>
      </c>
    </row>
    <row r="4073">
      <c r="A4073" s="36" t="inlineStr">
        <is>
          <t>Faste stillinger</t>
        </is>
      </c>
      <c r="B4073" s="36" t="inlineStr">
        <is>
          <t>Region Øst</t>
        </is>
      </c>
      <c r="C4073" s="36" t="inlineStr">
        <is>
          <t>Hedmark ungdoms- og familiesenter - akutt Avdeling Irstad</t>
        </is>
      </c>
      <c r="D4073" s="26" t="n">
        <v>7424396</v>
      </c>
      <c r="E4073" s="26" t="n">
        <v>7255807</v>
      </c>
      <c r="F4073" s="26" t="n">
        <v>14080</v>
      </c>
      <c r="G4073" s="26" t="n"/>
      <c r="H4073" s="26" t="n"/>
      <c r="I4073" s="26" t="n"/>
      <c r="J4073" s="19" t="n">
        <v>0</v>
      </c>
      <c r="K4073" s="37" t="n">
        <v>0.065</v>
      </c>
    </row>
    <row r="4074">
      <c r="A4074" s="34" t="inlineStr">
        <is>
          <t>Faste stillinger</t>
        </is>
      </c>
      <c r="B4074" s="34" t="inlineStr">
        <is>
          <t>Region Øst</t>
        </is>
      </c>
      <c r="C4074" s="34" t="inlineStr">
        <is>
          <t>Hedmark ungdoms- og familiesenter - akutt, adm</t>
        </is>
      </c>
      <c r="D4074" s="18" t="n"/>
      <c r="E4074" s="18" t="n"/>
      <c r="F4074" s="18" t="n"/>
      <c r="G4074" s="18" t="n"/>
      <c r="H4074" s="18" t="n"/>
      <c r="I4074" s="18" t="n">
        <v>2507733</v>
      </c>
      <c r="J4074" s="19" t="n">
        <v>2844333.461924999</v>
      </c>
      <c r="K4074" s="35" t="n">
        <v>0.065</v>
      </c>
    </row>
    <row r="4075">
      <c r="A4075" s="36" t="inlineStr">
        <is>
          <t>Faste stillinger</t>
        </is>
      </c>
      <c r="B4075" s="36" t="inlineStr">
        <is>
          <t>Region Øst</t>
        </is>
      </c>
      <c r="C4075" s="36" t="inlineStr">
        <is>
          <t>Hedmark ungdoms- og familiesenter - akutt, avd Disen</t>
        </is>
      </c>
      <c r="D4075" s="26" t="n"/>
      <c r="E4075" s="26" t="n"/>
      <c r="F4075" s="26" t="n"/>
      <c r="G4075" s="26" t="n"/>
      <c r="H4075" s="26" t="n"/>
      <c r="I4075" s="26" t="n">
        <v>8934379</v>
      </c>
      <c r="J4075" s="19" t="n">
        <v>10133596.021275</v>
      </c>
      <c r="K4075" s="37" t="n">
        <v>0.065</v>
      </c>
    </row>
    <row r="4076">
      <c r="A4076" s="34" t="inlineStr">
        <is>
          <t>Faste stillinger</t>
        </is>
      </c>
      <c r="B4076" s="34" t="inlineStr">
        <is>
          <t>Region Øst</t>
        </is>
      </c>
      <c r="C4076" s="34" t="inlineStr">
        <is>
          <t>Hedmark ungdoms- og familiesenter - akutt, avd Stange 1</t>
        </is>
      </c>
      <c r="D4076" s="18" t="n"/>
      <c r="E4076" s="18" t="n"/>
      <c r="F4076" s="18" t="n"/>
      <c r="G4076" s="18" t="n"/>
      <c r="H4076" s="18" t="n"/>
      <c r="I4076" s="18" t="n">
        <v>10316355</v>
      </c>
      <c r="J4076" s="19" t="n">
        <v>11701067.749875</v>
      </c>
      <c r="K4076" s="35" t="n">
        <v>0.065</v>
      </c>
    </row>
    <row r="4077">
      <c r="A4077" s="36" t="inlineStr">
        <is>
          <t>Faste stillinger</t>
        </is>
      </c>
      <c r="B4077" s="36" t="inlineStr">
        <is>
          <t>Region Øst</t>
        </is>
      </c>
      <c r="C4077" s="36" t="inlineStr">
        <is>
          <t>Hedmark ungdoms- og familiesenter - akutt, avd Vien 1</t>
        </is>
      </c>
      <c r="D4077" s="26" t="n"/>
      <c r="E4077" s="26" t="n"/>
      <c r="F4077" s="26" t="n"/>
      <c r="G4077" s="26" t="n"/>
      <c r="H4077" s="26" t="n"/>
      <c r="I4077" s="26" t="n">
        <v>11485913</v>
      </c>
      <c r="J4077" s="19" t="n">
        <v>13027609.672425</v>
      </c>
      <c r="K4077" s="37" t="n">
        <v>0.065</v>
      </c>
    </row>
    <row r="4078">
      <c r="A4078" s="34" t="inlineStr">
        <is>
          <t>Faste stillinger</t>
        </is>
      </c>
      <c r="B4078" s="34" t="inlineStr">
        <is>
          <t>Region Øst</t>
        </is>
      </c>
      <c r="C4078" s="34" t="inlineStr">
        <is>
          <t>Hedmark ungdoms- og familiesenter - akutt, avd Vien 2</t>
        </is>
      </c>
      <c r="D4078" s="18" t="n"/>
      <c r="E4078" s="18" t="n"/>
      <c r="F4078" s="18" t="n"/>
      <c r="G4078" s="18" t="n"/>
      <c r="H4078" s="18" t="n"/>
      <c r="I4078" s="18" t="n">
        <v>8319000</v>
      </c>
      <c r="J4078" s="19" t="n">
        <v>9435617.774999999</v>
      </c>
      <c r="K4078" s="35" t="n">
        <v>0.065</v>
      </c>
    </row>
    <row r="4079">
      <c r="A4079" s="36" t="inlineStr">
        <is>
          <t>Faste stillinger</t>
        </is>
      </c>
      <c r="B4079" s="36" t="inlineStr">
        <is>
          <t>Region Øst</t>
        </is>
      </c>
      <c r="C4079" s="36" t="inlineStr">
        <is>
          <t>Innlandet Barnevernsenter avdeling Sandvig</t>
        </is>
      </c>
      <c r="D4079" s="26" t="n">
        <v>1796986</v>
      </c>
      <c r="E4079" s="26" t="n">
        <v>5589891</v>
      </c>
      <c r="F4079" s="26" t="n">
        <v>5828226</v>
      </c>
      <c r="G4079" s="26" t="n">
        <v>6854185</v>
      </c>
      <c r="H4079" s="26" t="n">
        <v>7463127</v>
      </c>
      <c r="I4079" s="26" t="n">
        <v>9155157</v>
      </c>
      <c r="J4079" s="19" t="n">
        <v>14304932.8125</v>
      </c>
      <c r="K4079" s="37" t="n">
        <v>0.25</v>
      </c>
    </row>
    <row r="4080">
      <c r="A4080" s="34" t="inlineStr">
        <is>
          <t>Faste stillinger</t>
        </is>
      </c>
      <c r="B4080" s="34" t="inlineStr">
        <is>
          <t>Region Øst</t>
        </is>
      </c>
      <c r="C4080" s="34" t="inlineStr">
        <is>
          <t>Innlandet barnevernsenter avdeling Aukrust</t>
        </is>
      </c>
      <c r="D4080" s="18" t="n">
        <v>5602044</v>
      </c>
      <c r="E4080" s="18" t="n">
        <v>5791433</v>
      </c>
      <c r="F4080" s="18" t="n">
        <v>6100130</v>
      </c>
      <c r="G4080" s="18" t="n">
        <v>7518548</v>
      </c>
      <c r="H4080" s="18" t="n">
        <v>7839477</v>
      </c>
      <c r="I4080" s="18" t="n">
        <v>8256304</v>
      </c>
      <c r="J4080" s="19" t="n">
        <v>9641871.504159834</v>
      </c>
      <c r="K4080" s="35" t="n">
        <v>0.08065690297282391</v>
      </c>
    </row>
    <row r="4081">
      <c r="A4081" s="36" t="inlineStr">
        <is>
          <t>Faste stillinger</t>
        </is>
      </c>
      <c r="B4081" s="36" t="inlineStr">
        <is>
          <t>Region Øst</t>
        </is>
      </c>
      <c r="C4081" s="36" t="inlineStr">
        <is>
          <t>Innlandet barnevernsenter avdeling Kauffeldt</t>
        </is>
      </c>
      <c r="D4081" s="26" t="n"/>
      <c r="E4081" s="26" t="n"/>
      <c r="F4081" s="26" t="n"/>
      <c r="G4081" s="26" t="n">
        <v>1276818</v>
      </c>
      <c r="H4081" s="26" t="n">
        <v>5485501</v>
      </c>
      <c r="I4081" s="26" t="n">
        <v>8449477</v>
      </c>
      <c r="J4081" s="19" t="n">
        <v>9583608.050324999</v>
      </c>
      <c r="K4081" s="37" t="n">
        <v>0.065</v>
      </c>
    </row>
    <row r="4082">
      <c r="A4082" s="34" t="inlineStr">
        <is>
          <t>Faste stillinger</t>
        </is>
      </c>
      <c r="B4082" s="34" t="inlineStr">
        <is>
          <t>Region Øst</t>
        </is>
      </c>
      <c r="C4082" s="34" t="inlineStr">
        <is>
          <t>Innlandet barnevernsenter avdeling Prøysen</t>
        </is>
      </c>
      <c r="D4082" s="18" t="n">
        <v>5444136</v>
      </c>
      <c r="E4082" s="18" t="n">
        <v>5400928</v>
      </c>
      <c r="F4082" s="18" t="n">
        <v>6352463</v>
      </c>
      <c r="G4082" s="18" t="n">
        <v>7319626</v>
      </c>
      <c r="H4082" s="18" t="n">
        <v>7518079</v>
      </c>
      <c r="I4082" s="18" t="n">
        <v>10110835</v>
      </c>
      <c r="J4082" s="19" t="n">
        <v>12951803.47746598</v>
      </c>
      <c r="K4082" s="35" t="n">
        <v>0.1318050085374836</v>
      </c>
    </row>
    <row r="4083">
      <c r="A4083" s="36" t="inlineStr">
        <is>
          <t>Faste stillinger</t>
        </is>
      </c>
      <c r="B4083" s="36" t="inlineStr">
        <is>
          <t>Region Øst</t>
        </is>
      </c>
      <c r="C4083" s="36" t="inlineStr">
        <is>
          <t>Innlandet barnevernsenter avdeling Vestly</t>
        </is>
      </c>
      <c r="D4083" s="26" t="n">
        <v>5263601</v>
      </c>
      <c r="E4083" s="26" t="n">
        <v>5807665</v>
      </c>
      <c r="F4083" s="26" t="n">
        <v>6428565</v>
      </c>
      <c r="G4083" s="26" t="n">
        <v>7785671</v>
      </c>
      <c r="H4083" s="26" t="n">
        <v>7904476</v>
      </c>
      <c r="I4083" s="26" t="n">
        <v>7692226</v>
      </c>
      <c r="J4083" s="19" t="n">
        <v>8952816.133187518</v>
      </c>
      <c r="K4083" s="37" t="n">
        <v>0.07883198770874333</v>
      </c>
    </row>
    <row r="4084">
      <c r="A4084" s="34" t="inlineStr">
        <is>
          <t>Faste stillinger</t>
        </is>
      </c>
      <c r="B4084" s="34" t="inlineStr">
        <is>
          <t>Region Øst</t>
        </is>
      </c>
      <c r="C4084" s="34" t="inlineStr">
        <is>
          <t>Jong ungdoms- og familiesenter, Administrasjon</t>
        </is>
      </c>
      <c r="D4084" s="18" t="n">
        <v>1084492</v>
      </c>
      <c r="E4084" s="18" t="n">
        <v>1756127</v>
      </c>
      <c r="F4084" s="18" t="n">
        <v>1945144</v>
      </c>
      <c r="G4084" s="18" t="n">
        <v>1783446</v>
      </c>
      <c r="H4084" s="18" t="n">
        <v>1218999</v>
      </c>
      <c r="I4084" s="18" t="n">
        <v>-19956</v>
      </c>
      <c r="J4084" s="19" t="n">
        <v>-22634.59409999999</v>
      </c>
      <c r="K4084" s="35" t="n">
        <v>0.065</v>
      </c>
    </row>
    <row r="4085">
      <c r="A4085" s="36" t="inlineStr">
        <is>
          <t>Faste stillinger</t>
        </is>
      </c>
      <c r="B4085" s="36" t="inlineStr">
        <is>
          <t>Region Øst</t>
        </is>
      </c>
      <c r="C4085" s="36" t="inlineStr">
        <is>
          <t>Jong ungdoms- og familiesenter, adm</t>
        </is>
      </c>
      <c r="D4085" s="26" t="n"/>
      <c r="E4085" s="26" t="n"/>
      <c r="F4085" s="26" t="n"/>
      <c r="G4085" s="26" t="n"/>
      <c r="H4085" s="26" t="n"/>
      <c r="I4085" s="26" t="n">
        <v>1608175</v>
      </c>
      <c r="J4085" s="19" t="n">
        <v>1824032.289375</v>
      </c>
      <c r="K4085" s="37" t="n">
        <v>0.065</v>
      </c>
    </row>
    <row r="4086">
      <c r="A4086" s="34" t="inlineStr">
        <is>
          <t>Faste stillinger</t>
        </is>
      </c>
      <c r="B4086" s="34" t="inlineStr">
        <is>
          <t>Region Øst</t>
        </is>
      </c>
      <c r="C4086" s="34" t="inlineStr">
        <is>
          <t>Jong ungdoms- og familiesenter, avd Åsen</t>
        </is>
      </c>
      <c r="D4086" s="18" t="n"/>
      <c r="E4086" s="18" t="n"/>
      <c r="F4086" s="18" t="n"/>
      <c r="G4086" s="18" t="n"/>
      <c r="H4086" s="18" t="n"/>
      <c r="I4086" s="18" t="n">
        <v>9636730</v>
      </c>
      <c r="J4086" s="19" t="n">
        <v>10930220.08425</v>
      </c>
      <c r="K4086" s="35" t="n">
        <v>0.065</v>
      </c>
    </row>
    <row r="4087">
      <c r="A4087" s="36" t="inlineStr">
        <is>
          <t>Faste stillinger</t>
        </is>
      </c>
      <c r="B4087" s="36" t="inlineStr">
        <is>
          <t>Region Øst</t>
        </is>
      </c>
      <c r="C4087" s="36" t="inlineStr">
        <is>
          <t>Jong ungdoms- og familiesenter, avd. Kollen</t>
        </is>
      </c>
      <c r="D4087" s="26" t="n"/>
      <c r="E4087" s="26" t="n"/>
      <c r="F4087" s="26" t="n"/>
      <c r="G4087" s="26" t="n"/>
      <c r="H4087" s="26" t="n"/>
      <c r="I4087" s="26" t="n">
        <v>8708036</v>
      </c>
      <c r="J4087" s="19" t="n">
        <v>9876872.132099999</v>
      </c>
      <c r="K4087" s="37" t="n">
        <v>0.065</v>
      </c>
    </row>
    <row r="4088">
      <c r="A4088" s="34" t="inlineStr">
        <is>
          <t>Faste stillinger</t>
        </is>
      </c>
      <c r="B4088" s="34" t="inlineStr">
        <is>
          <t>Region Øst</t>
        </is>
      </c>
      <c r="C4088" s="34" t="inlineStr">
        <is>
          <t>Jong ungdoms- og familiesenter, avdeling Kollen</t>
        </is>
      </c>
      <c r="D4088" s="18" t="n">
        <v>61732</v>
      </c>
      <c r="E4088" s="18" t="n">
        <v>185506</v>
      </c>
      <c r="F4088" s="18" t="n">
        <v>482711</v>
      </c>
      <c r="G4088" s="18" t="n">
        <v>404506</v>
      </c>
      <c r="H4088" s="18" t="n">
        <v>3497531</v>
      </c>
      <c r="I4088" s="18" t="n">
        <v>55673</v>
      </c>
      <c r="J4088" s="19" t="n">
        <v>53419.31750658008</v>
      </c>
      <c r="K4088" s="35" t="n">
        <v>-0.02044944421609562</v>
      </c>
    </row>
    <row r="4089">
      <c r="A4089" s="36" t="inlineStr">
        <is>
          <t>Faste stillinger</t>
        </is>
      </c>
      <c r="B4089" s="36" t="inlineStr">
        <is>
          <t>Region Øst</t>
        </is>
      </c>
      <c r="C4089" s="36" t="inlineStr">
        <is>
          <t>Jong ungdoms- og familiesenter, avdeling Åsen</t>
        </is>
      </c>
      <c r="D4089" s="26" t="n">
        <v>8137957</v>
      </c>
      <c r="E4089" s="26" t="n">
        <v>8228477</v>
      </c>
      <c r="F4089" s="26" t="n">
        <v>7688161</v>
      </c>
      <c r="G4089" s="26" t="n">
        <v>7702037</v>
      </c>
      <c r="H4089" s="26" t="n">
        <v>8316213</v>
      </c>
      <c r="I4089" s="26" t="n"/>
      <c r="J4089" s="19" t="n">
        <v>0</v>
      </c>
      <c r="K4089" s="37" t="n">
        <v>0.065</v>
      </c>
    </row>
    <row r="4090">
      <c r="A4090" s="34" t="inlineStr">
        <is>
          <t>Faste stillinger</t>
        </is>
      </c>
      <c r="B4090" s="34" t="inlineStr">
        <is>
          <t>Region Øst</t>
        </is>
      </c>
      <c r="C4090" s="34" t="inlineStr">
        <is>
          <t>Kirkenær barnever- og omsorgssenter Avdeling Frigg</t>
        </is>
      </c>
      <c r="D4090" s="18" t="n"/>
      <c r="E4090" s="18" t="n">
        <v>4709453</v>
      </c>
      <c r="F4090" s="18" t="n">
        <v>5657367</v>
      </c>
      <c r="G4090" s="18" t="n">
        <v>6035300</v>
      </c>
      <c r="H4090" s="18" t="n">
        <v>7890629</v>
      </c>
      <c r="I4090" s="18" t="n">
        <v>7101896</v>
      </c>
      <c r="J4090" s="19" t="n">
        <v>8721199.652406216</v>
      </c>
      <c r="K4090" s="35" t="n">
        <v>0.1081561481313937</v>
      </c>
    </row>
    <row r="4091">
      <c r="A4091" s="36" t="inlineStr">
        <is>
          <t>Faste stillinger</t>
        </is>
      </c>
      <c r="B4091" s="36" t="inlineStr">
        <is>
          <t>Region Øst</t>
        </is>
      </c>
      <c r="C4091" s="36" t="inlineStr">
        <is>
          <t>Kirkenær barnevern- og omsorgssenter  Administrasjon</t>
        </is>
      </c>
      <c r="D4091" s="26" t="n">
        <v>1996472</v>
      </c>
      <c r="E4091" s="26" t="n">
        <v>1928648</v>
      </c>
      <c r="F4091" s="26" t="n">
        <v>2116779</v>
      </c>
      <c r="G4091" s="26" t="n">
        <v>2323344</v>
      </c>
      <c r="H4091" s="26" t="n">
        <v>2187693</v>
      </c>
      <c r="I4091" s="26" t="n">
        <v>2257916</v>
      </c>
      <c r="J4091" s="19" t="n">
        <v>2371841.174476074</v>
      </c>
      <c r="K4091" s="37" t="n">
        <v>0.02491750683863514</v>
      </c>
    </row>
    <row r="4092">
      <c r="A4092" s="34" t="inlineStr">
        <is>
          <t>Faste stillinger</t>
        </is>
      </c>
      <c r="B4092" s="34" t="inlineStr">
        <is>
          <t>Region Øst</t>
        </is>
      </c>
      <c r="C4092" s="34" t="inlineStr">
        <is>
          <t>Kirkenær barnevern- og omsorgssenter  Avdeling Frydenlund</t>
        </is>
      </c>
      <c r="D4092" s="18" t="n"/>
      <c r="E4092" s="18" t="n">
        <v>2283</v>
      </c>
      <c r="F4092" s="18" t="n">
        <v>10</v>
      </c>
      <c r="G4092" s="18" t="n"/>
      <c r="H4092" s="18" t="n"/>
      <c r="I4092" s="18" t="n"/>
      <c r="J4092" s="19" t="n">
        <v>0</v>
      </c>
      <c r="K4092" s="35" t="n">
        <v>0.065</v>
      </c>
    </row>
    <row r="4093">
      <c r="A4093" s="36" t="inlineStr">
        <is>
          <t>Faste stillinger</t>
        </is>
      </c>
      <c r="B4093" s="36" t="inlineStr">
        <is>
          <t>Region Øst</t>
        </is>
      </c>
      <c r="C4093" s="36" t="inlineStr">
        <is>
          <t>Kirkenær barnevern- og omsorgssenter  Avdeling Furubo</t>
        </is>
      </c>
      <c r="D4093" s="26" t="n">
        <v>131062</v>
      </c>
      <c r="E4093" s="26" t="n">
        <v>548361</v>
      </c>
      <c r="F4093" s="26" t="n">
        <v>1</v>
      </c>
      <c r="G4093" s="26" t="n"/>
      <c r="H4093" s="26" t="n"/>
      <c r="I4093" s="26" t="n"/>
      <c r="J4093" s="19" t="n">
        <v>0</v>
      </c>
      <c r="K4093" s="37" t="n">
        <v>0.065</v>
      </c>
    </row>
    <row r="4094">
      <c r="A4094" s="34" t="inlineStr">
        <is>
          <t>Faste stillinger</t>
        </is>
      </c>
      <c r="B4094" s="34" t="inlineStr">
        <is>
          <t>Region Øst</t>
        </is>
      </c>
      <c r="C4094" s="34" t="inlineStr">
        <is>
          <t>Kirkenær barnevern- og omsorgssenter  Edda ungdomshjem</t>
        </is>
      </c>
      <c r="D4094" s="18" t="n">
        <v>5739235</v>
      </c>
      <c r="E4094" s="18" t="n">
        <v>6222677</v>
      </c>
      <c r="F4094" s="18" t="n">
        <v>7915848</v>
      </c>
      <c r="G4094" s="18" t="n">
        <v>8412486</v>
      </c>
      <c r="H4094" s="18" t="n">
        <v>8629409</v>
      </c>
      <c r="I4094" s="18" t="n">
        <v>9576044</v>
      </c>
      <c r="J4094" s="19" t="n">
        <v>11752194.83737483</v>
      </c>
      <c r="K4094" s="35" t="n">
        <v>0.1078129178636826</v>
      </c>
    </row>
    <row r="4095">
      <c r="A4095" s="36" t="inlineStr">
        <is>
          <t>Faste stillinger</t>
        </is>
      </c>
      <c r="B4095" s="36" t="inlineStr">
        <is>
          <t>Region Øst</t>
        </is>
      </c>
      <c r="C4095" s="36" t="inlineStr">
        <is>
          <t>Kirkenær barnevern- og omsorgssenter  Snorre ungdomshjem</t>
        </is>
      </c>
      <c r="D4095" s="26" t="n">
        <v>6582165</v>
      </c>
      <c r="E4095" s="26" t="n">
        <v>7640841</v>
      </c>
      <c r="F4095" s="26" t="n">
        <v>7190164</v>
      </c>
      <c r="G4095" s="26" t="n">
        <v>8333580</v>
      </c>
      <c r="H4095" s="26" t="n">
        <v>8161983</v>
      </c>
      <c r="I4095" s="26" t="n">
        <v>9919799</v>
      </c>
      <c r="J4095" s="19" t="n">
        <v>11688439.01787165</v>
      </c>
      <c r="K4095" s="37" t="n">
        <v>0.08549248592112724</v>
      </c>
    </row>
    <row r="4096">
      <c r="A4096" s="34" t="inlineStr">
        <is>
          <t>Faste stillinger</t>
        </is>
      </c>
      <c r="B4096" s="34" t="inlineStr">
        <is>
          <t>Region Øst</t>
        </is>
      </c>
      <c r="C4096" s="34" t="inlineStr">
        <is>
          <t>Kirkenær barnevern- og omsorgssenter Avdeling Balder</t>
        </is>
      </c>
      <c r="D4096" s="18" t="n">
        <v>3226910</v>
      </c>
      <c r="E4096" s="18" t="n">
        <v>5990207</v>
      </c>
      <c r="F4096" s="18" t="n">
        <v>5473503</v>
      </c>
      <c r="G4096" s="18" t="n">
        <v>5018971</v>
      </c>
      <c r="H4096" s="18" t="n">
        <v>6720806</v>
      </c>
      <c r="I4096" s="18" t="n">
        <v>7841472</v>
      </c>
      <c r="J4096" s="19" t="n">
        <v>11185152.07715572</v>
      </c>
      <c r="K4096" s="35" t="n">
        <v>0.1943239699321311</v>
      </c>
    </row>
    <row r="4097">
      <c r="A4097" s="36" t="inlineStr">
        <is>
          <t>Faste stillinger</t>
        </is>
      </c>
      <c r="B4097" s="36" t="inlineStr">
        <is>
          <t>Region Øst</t>
        </is>
      </c>
      <c r="C4097" s="36" t="inlineStr">
        <is>
          <t>Kirkenær barnevern- og omsorgssenter avdeling for spesialiserte fosterhjem</t>
        </is>
      </c>
      <c r="D4097" s="26" t="n">
        <v>1142357</v>
      </c>
      <c r="E4097" s="26" t="n">
        <v>1179907</v>
      </c>
      <c r="F4097" s="26" t="n">
        <v>1163</v>
      </c>
      <c r="G4097" s="26" t="n"/>
      <c r="H4097" s="26" t="n"/>
      <c r="I4097" s="26" t="n"/>
      <c r="J4097" s="19" t="n">
        <v>0</v>
      </c>
      <c r="K4097" s="37" t="n">
        <v>0.065</v>
      </c>
    </row>
    <row r="4098">
      <c r="A4098" s="34" t="inlineStr">
        <is>
          <t>Faste stillinger</t>
        </is>
      </c>
      <c r="B4098" s="34" t="inlineStr">
        <is>
          <t>Region Øst</t>
        </is>
      </c>
      <c r="C4098" s="34" t="inlineStr">
        <is>
          <t>Lierfoss ungdoms- og familiesenter - avdeling Skogtun</t>
        </is>
      </c>
      <c r="D4098" s="18" t="n"/>
      <c r="E4098" s="18" t="n"/>
      <c r="F4098" s="18" t="n"/>
      <c r="G4098" s="18" t="n">
        <v>456707</v>
      </c>
      <c r="H4098" s="18" t="n">
        <v>10702765</v>
      </c>
      <c r="I4098" s="18" t="n">
        <v>12769154</v>
      </c>
      <c r="J4098" s="19" t="n">
        <v>14483093.69565</v>
      </c>
      <c r="K4098" s="35" t="n">
        <v>0.065</v>
      </c>
    </row>
    <row r="4099">
      <c r="A4099" s="36" t="inlineStr">
        <is>
          <t>Faste stillinger</t>
        </is>
      </c>
      <c r="B4099" s="36" t="inlineStr">
        <is>
          <t>Region Øst</t>
        </is>
      </c>
      <c r="C4099" s="36" t="inlineStr">
        <is>
          <t>Lierfoss ungdoms- og familiesenter - omsorg  Administrasjon</t>
        </is>
      </c>
      <c r="D4099" s="26" t="n">
        <v>434022</v>
      </c>
      <c r="E4099" s="26" t="n">
        <v>469226</v>
      </c>
      <c r="F4099" s="26" t="n">
        <v>788081</v>
      </c>
      <c r="G4099" s="26" t="n">
        <v>1874219</v>
      </c>
      <c r="H4099" s="26" t="n">
        <v>1567172</v>
      </c>
      <c r="I4099" s="26" t="n">
        <v>1749755</v>
      </c>
      <c r="J4099" s="19" t="n">
        <v>2733992.1875</v>
      </c>
      <c r="K4099" s="37" t="n">
        <v>0.25</v>
      </c>
    </row>
    <row r="4100">
      <c r="A4100" s="34" t="inlineStr">
        <is>
          <t>Faste stillinger</t>
        </is>
      </c>
      <c r="B4100" s="34" t="inlineStr">
        <is>
          <t>Region Øst</t>
        </is>
      </c>
      <c r="C4100" s="34" t="inlineStr">
        <is>
          <t>Lierfoss ungdoms- og familiesenter - omsorg  Autentoppen ungdomshjem</t>
        </is>
      </c>
      <c r="D4100" s="18" t="n">
        <v>3596440</v>
      </c>
      <c r="E4100" s="18" t="n">
        <v>2897866</v>
      </c>
      <c r="F4100" s="18" t="n">
        <v>150278</v>
      </c>
      <c r="G4100" s="18" t="n"/>
      <c r="H4100" s="18" t="n"/>
      <c r="I4100" s="18" t="n"/>
      <c r="J4100" s="19" t="n">
        <v>0</v>
      </c>
      <c r="K4100" s="35" t="n">
        <v>0.065</v>
      </c>
    </row>
    <row r="4101">
      <c r="A4101" s="36" t="inlineStr">
        <is>
          <t>Faste stillinger</t>
        </is>
      </c>
      <c r="B4101" s="36" t="inlineStr">
        <is>
          <t>Region Øst</t>
        </is>
      </c>
      <c r="C4101" s="36" t="inlineStr">
        <is>
          <t>Lierfoss ungdoms- og familiesenter - omsorg  Berglia ungdomshjem</t>
        </is>
      </c>
      <c r="D4101" s="26" t="n">
        <v>8170613</v>
      </c>
      <c r="E4101" s="26" t="n">
        <v>7722935</v>
      </c>
      <c r="F4101" s="26" t="n">
        <v>7953259</v>
      </c>
      <c r="G4101" s="26" t="n">
        <v>6720437</v>
      </c>
      <c r="H4101" s="26" t="n">
        <v>4149390</v>
      </c>
      <c r="I4101" s="26" t="n">
        <v>7521333</v>
      </c>
      <c r="J4101" s="19" t="n">
        <v>7276304.876091783</v>
      </c>
      <c r="K4101" s="37" t="n">
        <v>-0.01642374589576245</v>
      </c>
    </row>
    <row r="4102">
      <c r="A4102" s="34" t="inlineStr">
        <is>
          <t>Faste stillinger</t>
        </is>
      </c>
      <c r="B4102" s="34" t="inlineStr">
        <is>
          <t>Region Øst</t>
        </is>
      </c>
      <c r="C4102" s="34" t="inlineStr">
        <is>
          <t>Lierfoss ungdoms- og familiesenter - omsorg  Furulia ungdomshjem</t>
        </is>
      </c>
      <c r="D4102" s="18" t="n">
        <v>2894066</v>
      </c>
      <c r="E4102" s="18" t="n">
        <v>2804217</v>
      </c>
      <c r="F4102" s="18" t="n">
        <v>4550661</v>
      </c>
      <c r="G4102" s="18" t="n">
        <v>7309685</v>
      </c>
      <c r="H4102" s="18" t="n">
        <v>9284965</v>
      </c>
      <c r="I4102" s="18" t="n">
        <v>10022786</v>
      </c>
      <c r="J4102" s="19" t="n">
        <v>15660603.125</v>
      </c>
      <c r="K4102" s="35" t="n">
        <v>0.25</v>
      </c>
    </row>
    <row r="4103">
      <c r="A4103" s="36" t="inlineStr">
        <is>
          <t>Faste stillinger</t>
        </is>
      </c>
      <c r="B4103" s="36" t="inlineStr">
        <is>
          <t>Region Øst</t>
        </is>
      </c>
      <c r="C4103" s="36" t="inlineStr">
        <is>
          <t>Lierfoss ungdoms- og familiesenter - omsorg Lillehagen</t>
        </is>
      </c>
      <c r="D4103" s="26" t="n">
        <v>6485510</v>
      </c>
      <c r="E4103" s="26" t="n">
        <v>4353942</v>
      </c>
      <c r="F4103" s="26" t="n">
        <v>96161</v>
      </c>
      <c r="G4103" s="26" t="n"/>
      <c r="H4103" s="26" t="n"/>
      <c r="I4103" s="26" t="n"/>
      <c r="J4103" s="19" t="n">
        <v>0</v>
      </c>
      <c r="K4103" s="37" t="n">
        <v>0.065</v>
      </c>
    </row>
    <row r="4104">
      <c r="A4104" s="34" t="inlineStr">
        <is>
          <t>Faste stillinger</t>
        </is>
      </c>
      <c r="B4104" s="34" t="inlineStr">
        <is>
          <t>Region Øst</t>
        </is>
      </c>
      <c r="C4104" s="34" t="inlineStr">
        <is>
          <t>Lierfoss ungdoms- og familiesenter, avdeling Riserhagen</t>
        </is>
      </c>
      <c r="D4104" s="18" t="n"/>
      <c r="E4104" s="18" t="n">
        <v>2276407</v>
      </c>
      <c r="F4104" s="18" t="n">
        <v>7917724</v>
      </c>
      <c r="G4104" s="18" t="n">
        <v>8579206</v>
      </c>
      <c r="H4104" s="18" t="n">
        <v>9487223</v>
      </c>
      <c r="I4104" s="18" t="n">
        <v>10181770</v>
      </c>
      <c r="J4104" s="19" t="n">
        <v>15909015.625</v>
      </c>
      <c r="K4104" s="35" t="n">
        <v>0.25</v>
      </c>
    </row>
    <row r="4105">
      <c r="A4105" s="36" t="inlineStr">
        <is>
          <t>Faste stillinger</t>
        </is>
      </c>
      <c r="B4105" s="36" t="inlineStr">
        <is>
          <t>Region Øst</t>
        </is>
      </c>
      <c r="C4105" s="36" t="inlineStr">
        <is>
          <t>Multisystemisk  terapi-team Ski</t>
        </is>
      </c>
      <c r="D4105" s="26" t="n"/>
      <c r="E4105" s="26" t="n">
        <v>138293</v>
      </c>
      <c r="F4105" s="26" t="n"/>
      <c r="G4105" s="26" t="n"/>
      <c r="H4105" s="26" t="n"/>
      <c r="I4105" s="26" t="n"/>
      <c r="J4105" s="19" t="n">
        <v>0</v>
      </c>
      <c r="K4105" s="37" t="n">
        <v>0.065</v>
      </c>
    </row>
    <row r="4106">
      <c r="A4106" s="34" t="inlineStr">
        <is>
          <t>Faste stillinger</t>
        </is>
      </c>
      <c r="B4106" s="34" t="inlineStr">
        <is>
          <t>Region Øst</t>
        </is>
      </c>
      <c r="C4106" s="34" t="inlineStr">
        <is>
          <t>Multisystemisk terapi-team Nedre Romerike</t>
        </is>
      </c>
      <c r="D4106" s="18" t="n"/>
      <c r="E4106" s="18" t="n">
        <v>140755</v>
      </c>
      <c r="F4106" s="18" t="n">
        <v>-155</v>
      </c>
      <c r="G4106" s="18" t="n"/>
      <c r="H4106" s="18" t="n"/>
      <c r="I4106" s="18" t="n"/>
      <c r="J4106" s="19" t="n">
        <v>0</v>
      </c>
      <c r="K4106" s="35" t="n">
        <v>0.065</v>
      </c>
    </row>
    <row r="4107">
      <c r="A4107" s="36" t="inlineStr">
        <is>
          <t>Faste stillinger</t>
        </is>
      </c>
      <c r="B4107" s="36" t="inlineStr">
        <is>
          <t>Region Øst</t>
        </is>
      </c>
      <c r="C4107" s="36" t="inlineStr">
        <is>
          <t>Multisystemisk terapi-team Sandvika</t>
        </is>
      </c>
      <c r="D4107" s="26" t="n"/>
      <c r="E4107" s="26" t="n">
        <v>275845</v>
      </c>
      <c r="F4107" s="26" t="n">
        <v>31357</v>
      </c>
      <c r="G4107" s="26" t="n"/>
      <c r="H4107" s="26" t="n"/>
      <c r="I4107" s="26" t="n"/>
      <c r="J4107" s="19" t="n">
        <v>0</v>
      </c>
      <c r="K4107" s="37" t="n">
        <v>0.065</v>
      </c>
    </row>
    <row r="4108">
      <c r="A4108" s="34" t="inlineStr">
        <is>
          <t>Faste stillinger</t>
        </is>
      </c>
      <c r="B4108" s="34" t="inlineStr">
        <is>
          <t>Region Øst</t>
        </is>
      </c>
      <c r="C4108" s="34" t="inlineStr">
        <is>
          <t>Regionalt ressursmiljø rus i barnevernstiltak</t>
        </is>
      </c>
      <c r="D4108" s="18" t="n"/>
      <c r="E4108" s="18" t="n"/>
      <c r="F4108" s="18" t="n"/>
      <c r="G4108" s="18" t="n">
        <v>596568</v>
      </c>
      <c r="H4108" s="18" t="n">
        <v>697318</v>
      </c>
      <c r="I4108" s="18" t="n">
        <v>756368</v>
      </c>
      <c r="J4108" s="19" t="n">
        <v>857891.4947999999</v>
      </c>
      <c r="K4108" s="35" t="n">
        <v>0.065</v>
      </c>
    </row>
    <row r="4109">
      <c r="A4109" s="36" t="inlineStr">
        <is>
          <t>Faste stillinger</t>
        </is>
      </c>
      <c r="B4109" s="36" t="inlineStr">
        <is>
          <t>Region Øst</t>
        </is>
      </c>
      <c r="C4109" s="36" t="inlineStr">
        <is>
          <t>Regionkontor F3 Funksjon omsorg ungdom</t>
        </is>
      </c>
      <c r="D4109" s="26" t="n">
        <v>683292</v>
      </c>
      <c r="E4109" s="26" t="n">
        <v>706969</v>
      </c>
      <c r="F4109" s="26" t="n">
        <v>623387</v>
      </c>
      <c r="G4109" s="26" t="n"/>
      <c r="H4109" s="26" t="n"/>
      <c r="I4109" s="26" t="n"/>
      <c r="J4109" s="19" t="n">
        <v>0</v>
      </c>
      <c r="K4109" s="37" t="n">
        <v>0.065</v>
      </c>
    </row>
    <row r="4110">
      <c r="A4110" s="34" t="inlineStr">
        <is>
          <t>Faste stillinger</t>
        </is>
      </c>
      <c r="B4110" s="34" t="inlineStr">
        <is>
          <t>Region Øst</t>
        </is>
      </c>
      <c r="C4110" s="34" t="inlineStr">
        <is>
          <t>Regionkontor Seksjon ØV - teknisk Statlige institusjoner</t>
        </is>
      </c>
      <c r="D4110" s="18" t="n"/>
      <c r="E4110" s="18" t="n"/>
      <c r="F4110" s="18" t="n">
        <v>477539</v>
      </c>
      <c r="G4110" s="18" t="n">
        <v>244105</v>
      </c>
      <c r="H4110" s="18" t="n">
        <v>-35194</v>
      </c>
      <c r="I4110" s="18" t="n"/>
      <c r="J4110" s="19" t="n">
        <v>0</v>
      </c>
      <c r="K4110" s="35" t="n">
        <v>0.065</v>
      </c>
    </row>
    <row r="4111">
      <c r="A4111" s="36" t="inlineStr">
        <is>
          <t>Faste stillinger</t>
        </is>
      </c>
      <c r="B4111" s="36" t="inlineStr">
        <is>
          <t>Region Øst</t>
        </is>
      </c>
      <c r="C4111" s="36" t="inlineStr">
        <is>
          <t>Regionkontor Stab</t>
        </is>
      </c>
      <c r="D4111" s="26" t="n"/>
      <c r="E4111" s="26" t="n"/>
      <c r="F4111" s="26" t="n"/>
      <c r="G4111" s="26" t="n"/>
      <c r="H4111" s="26" t="n"/>
      <c r="I4111" s="26" t="n">
        <v>10638</v>
      </c>
      <c r="J4111" s="19" t="n">
        <v>12065.88555</v>
      </c>
      <c r="K4111" s="37" t="n">
        <v>0.065</v>
      </c>
    </row>
    <row r="4112">
      <c r="A4112" s="34" t="inlineStr">
        <is>
          <t>Faste stillinger</t>
        </is>
      </c>
      <c r="B4112" s="34" t="inlineStr">
        <is>
          <t>Region Øst</t>
        </is>
      </c>
      <c r="C4112" s="34" t="inlineStr">
        <is>
          <t>Sarpsborg ungdoms og familiesenter - avdeling for spesialiserte fosterhjem</t>
        </is>
      </c>
      <c r="D4112" s="18" t="n">
        <v>237757</v>
      </c>
      <c r="E4112" s="18" t="n">
        <v>270234</v>
      </c>
      <c r="F4112" s="18" t="n"/>
      <c r="G4112" s="18" t="n"/>
      <c r="H4112" s="18" t="n"/>
      <c r="I4112" s="18" t="n"/>
      <c r="J4112" s="19" t="n">
        <v>0</v>
      </c>
      <c r="K4112" s="35" t="n">
        <v>0.065</v>
      </c>
    </row>
    <row r="4113">
      <c r="A4113" s="36" t="inlineStr">
        <is>
          <t>Faste stillinger</t>
        </is>
      </c>
      <c r="B4113" s="36" t="inlineStr">
        <is>
          <t>Region Øst</t>
        </is>
      </c>
      <c r="C4113" s="36" t="inlineStr">
        <is>
          <t>Sarpsborg ungdoms og familiesenter - behandling  Administrasjon</t>
        </is>
      </c>
      <c r="D4113" s="26" t="n">
        <v>1892495</v>
      </c>
      <c r="E4113" s="26" t="n">
        <v>2173438</v>
      </c>
      <c r="F4113" s="26" t="n">
        <v>2393280</v>
      </c>
      <c r="G4113" s="26" t="n">
        <v>789629</v>
      </c>
      <c r="H4113" s="26" t="n"/>
      <c r="I4113" s="26" t="n"/>
      <c r="J4113" s="19" t="n">
        <v>0</v>
      </c>
      <c r="K4113" s="37" t="n">
        <v>0.065</v>
      </c>
    </row>
    <row r="4114">
      <c r="A4114" s="34" t="inlineStr">
        <is>
          <t>Faste stillinger</t>
        </is>
      </c>
      <c r="B4114" s="34" t="inlineStr">
        <is>
          <t>Region Øst</t>
        </is>
      </c>
      <c r="C4114" s="34" t="inlineStr">
        <is>
          <t>Sarpsborg ungdoms og familiesenter - behandling  Avdeling Østheim</t>
        </is>
      </c>
      <c r="D4114" s="18" t="n">
        <v>6780347</v>
      </c>
      <c r="E4114" s="18" t="n">
        <v>7601329</v>
      </c>
      <c r="F4114" s="18" t="n">
        <v>7595263</v>
      </c>
      <c r="G4114" s="18" t="n">
        <v>4232649</v>
      </c>
      <c r="H4114" s="18" t="n"/>
      <c r="I4114" s="18" t="n"/>
      <c r="J4114" s="19" t="n">
        <v>0</v>
      </c>
      <c r="K4114" s="35" t="n">
        <v>0.065</v>
      </c>
    </row>
    <row r="4115">
      <c r="A4115" s="36" t="inlineStr">
        <is>
          <t>Faste stillinger</t>
        </is>
      </c>
      <c r="B4115" s="36" t="inlineStr">
        <is>
          <t>Region Øst</t>
        </is>
      </c>
      <c r="C4115" s="36" t="inlineStr">
        <is>
          <t>Sarpsborg ungdoms og familiesenter - behandling  Avdeling Østlund</t>
        </is>
      </c>
      <c r="D4115" s="26" t="n">
        <v>7109979</v>
      </c>
      <c r="E4115" s="26" t="n">
        <v>7195223</v>
      </c>
      <c r="F4115" s="26" t="n">
        <v>6881648</v>
      </c>
      <c r="G4115" s="26" t="n">
        <v>3228688</v>
      </c>
      <c r="H4115" s="26" t="n">
        <v>76</v>
      </c>
      <c r="I4115" s="26" t="n">
        <v>2</v>
      </c>
      <c r="J4115" s="19" t="n">
        <v>1.125</v>
      </c>
      <c r="K4115" s="37" t="n">
        <v>-0.25</v>
      </c>
    </row>
    <row r="4116">
      <c r="A4116" s="34" t="inlineStr">
        <is>
          <t>Faste stillinger</t>
        </is>
      </c>
      <c r="B4116" s="34" t="inlineStr">
        <is>
          <t>Region Øst</t>
        </is>
      </c>
      <c r="C4116" s="34" t="inlineStr">
        <is>
          <t>Spisskompetansemiljø for trygghet og sikkerhet i institusjon for barn og ansatte</t>
        </is>
      </c>
      <c r="D4116" s="18" t="n">
        <v>5776399</v>
      </c>
      <c r="E4116" s="18" t="n">
        <v>7174512</v>
      </c>
      <c r="F4116" s="18" t="n">
        <v>8060851</v>
      </c>
      <c r="G4116" s="18" t="n">
        <v>7138545</v>
      </c>
      <c r="H4116" s="18" t="n">
        <v>9109508</v>
      </c>
      <c r="I4116" s="18" t="n">
        <v>9979567</v>
      </c>
      <c r="J4116" s="19" t="n">
        <v>12419196.64928486</v>
      </c>
      <c r="K4116" s="35" t="n">
        <v>0.1155547835511559</v>
      </c>
    </row>
    <row r="4117">
      <c r="A4117" s="36" t="inlineStr">
        <is>
          <t>Faste stillinger</t>
        </is>
      </c>
      <c r="B4117" s="36" t="inlineStr">
        <is>
          <t>Region Øst</t>
        </is>
      </c>
      <c r="C4117" s="36" t="inlineStr">
        <is>
          <t>Støttespillerne - Ambulant team</t>
        </is>
      </c>
      <c r="D4117" s="26" t="n"/>
      <c r="E4117" s="26" t="n"/>
      <c r="F4117" s="26" t="n">
        <v>340225</v>
      </c>
      <c r="G4117" s="26" t="n">
        <v>-70125</v>
      </c>
      <c r="H4117" s="26" t="n"/>
      <c r="I4117" s="26" t="n"/>
      <c r="J4117" s="19" t="n">
        <v>0</v>
      </c>
      <c r="K4117" s="37" t="n">
        <v>0.065</v>
      </c>
    </row>
    <row r="4118">
      <c r="A4118" s="34" t="inlineStr">
        <is>
          <t>Faste stillinger</t>
        </is>
      </c>
      <c r="B4118" s="34" t="inlineStr">
        <is>
          <t>Region Øst</t>
        </is>
      </c>
      <c r="C4118" s="34" t="inlineStr">
        <is>
          <t>Støttespillerne - Huset</t>
        </is>
      </c>
      <c r="D4118" s="18" t="n"/>
      <c r="E4118" s="18" t="n">
        <v>1639317</v>
      </c>
      <c r="F4118" s="18" t="n">
        <v>2977104</v>
      </c>
      <c r="G4118" s="18" t="n">
        <v>1743700</v>
      </c>
      <c r="H4118" s="18" t="n">
        <v>51041</v>
      </c>
      <c r="I4118" s="18" t="n"/>
      <c r="J4118" s="19" t="n">
        <v>0</v>
      </c>
      <c r="K4118" s="35" t="n">
        <v>0.065</v>
      </c>
    </row>
    <row r="4119">
      <c r="A4119" s="36" t="inlineStr">
        <is>
          <t>Faste stillinger</t>
        </is>
      </c>
      <c r="B4119" s="36" t="inlineStr">
        <is>
          <t>Region Øst</t>
        </is>
      </c>
      <c r="C4119" s="36" t="inlineStr">
        <is>
          <t>TFCO Lillestrøm</t>
        </is>
      </c>
      <c r="D4119" s="26" t="n">
        <v>1909340</v>
      </c>
      <c r="E4119" s="26" t="n">
        <v>2950617</v>
      </c>
      <c r="F4119" s="26" t="n">
        <v>3007679</v>
      </c>
      <c r="G4119" s="26" t="n">
        <v>4043683</v>
      </c>
      <c r="H4119" s="26" t="n">
        <v>561843</v>
      </c>
      <c r="I4119" s="26" t="n">
        <v>38613</v>
      </c>
      <c r="J4119" s="19" t="n">
        <v>21719.8125</v>
      </c>
      <c r="K4119" s="37" t="n">
        <v>-0.25</v>
      </c>
    </row>
    <row r="4120">
      <c r="A4120" s="34" t="inlineStr">
        <is>
          <t>Faste stillinger</t>
        </is>
      </c>
      <c r="B4120" s="34" t="inlineStr">
        <is>
          <t>Region Øst</t>
        </is>
      </c>
      <c r="C4120" s="34" t="inlineStr">
        <is>
          <t>TFCO Sandvika</t>
        </is>
      </c>
      <c r="D4120" s="18" t="n">
        <v>3158697</v>
      </c>
      <c r="E4120" s="18" t="n">
        <v>1878708</v>
      </c>
      <c r="F4120" s="18" t="n">
        <v>1941359</v>
      </c>
      <c r="G4120" s="18" t="n">
        <v>13760</v>
      </c>
      <c r="H4120" s="18" t="n"/>
      <c r="I4120" s="18" t="n"/>
      <c r="J4120" s="19" t="n">
        <v>0</v>
      </c>
      <c r="K4120" s="35" t="n">
        <v>0.065</v>
      </c>
    </row>
    <row r="4121">
      <c r="A4121" s="36" t="inlineStr">
        <is>
          <t>Faste stillinger</t>
        </is>
      </c>
      <c r="B4121" s="36" t="inlineStr">
        <is>
          <t>Region Øst</t>
        </is>
      </c>
      <c r="C4121" s="36" t="inlineStr">
        <is>
          <t>Ås ungdomssenter  - MulitifunC-behandling  Avdeling Institusjon</t>
        </is>
      </c>
      <c r="D4121" s="26" t="n">
        <v>13662817</v>
      </c>
      <c r="E4121" s="26" t="n">
        <v>11897990</v>
      </c>
      <c r="F4121" s="26" t="n">
        <v>12004597</v>
      </c>
      <c r="G4121" s="26" t="n">
        <v>5115002</v>
      </c>
      <c r="H4121" s="26" t="n">
        <v>-42</v>
      </c>
      <c r="I4121" s="26" t="n"/>
      <c r="J4121" s="19" t="n">
        <v>0</v>
      </c>
      <c r="K4121" s="37" t="n">
        <v>0.065</v>
      </c>
    </row>
    <row r="4122">
      <c r="A4122" s="34" t="inlineStr">
        <is>
          <t>Faste stillinger</t>
        </is>
      </c>
      <c r="B4122" s="34" t="inlineStr">
        <is>
          <t>Region Øst</t>
        </is>
      </c>
      <c r="C4122" s="34" t="inlineStr">
        <is>
          <t>Ås ungdomssenter  - MulitifunC-behandling  Avdeling Oppfølging</t>
        </is>
      </c>
      <c r="D4122" s="18" t="n">
        <v>441617</v>
      </c>
      <c r="E4122" s="18" t="n">
        <v>190000</v>
      </c>
      <c r="F4122" s="18" t="n"/>
      <c r="G4122" s="18" t="n"/>
      <c r="H4122" s="18" t="n"/>
      <c r="I4122" s="18" t="n"/>
      <c r="J4122" s="19" t="n">
        <v>0</v>
      </c>
      <c r="K4122" s="35" t="n">
        <v>0.065</v>
      </c>
    </row>
    <row r="4123">
      <c r="A4123" s="36" t="inlineStr">
        <is>
          <t>Faste stillinger</t>
        </is>
      </c>
      <c r="B4123" s="36" t="inlineStr">
        <is>
          <t>Region Øst</t>
        </is>
      </c>
      <c r="C4123" s="36" t="inlineStr">
        <is>
          <t>Ås ungdomssenter - Administrasjon</t>
        </is>
      </c>
      <c r="D4123" s="26" t="n">
        <v>1878122</v>
      </c>
      <c r="E4123" s="26" t="n">
        <v>4501587</v>
      </c>
      <c r="F4123" s="26" t="n">
        <v>3996287</v>
      </c>
      <c r="G4123" s="26" t="n">
        <v>1719136</v>
      </c>
      <c r="H4123" s="26" t="n"/>
      <c r="I4123" s="26" t="n"/>
      <c r="J4123" s="19" t="n">
        <v>0</v>
      </c>
      <c r="K4123" s="37" t="n">
        <v>0.065</v>
      </c>
    </row>
    <row r="4124">
      <c r="A4124" s="34" t="inlineStr">
        <is>
          <t>Faste stillinger</t>
        </is>
      </c>
      <c r="B4124" s="34" t="inlineStr">
        <is>
          <t>Region Øst</t>
        </is>
      </c>
      <c r="C4124" s="34" t="inlineStr">
        <is>
          <t>Østfold ungdoms - og familiesenter - omsorg  Administrasjon</t>
        </is>
      </c>
      <c r="D4124" s="18" t="n">
        <v>2946325</v>
      </c>
      <c r="E4124" s="18" t="n">
        <v>2667930</v>
      </c>
      <c r="F4124" s="18" t="n">
        <v>2091093</v>
      </c>
      <c r="G4124" s="18" t="n">
        <v>2484725</v>
      </c>
      <c r="H4124" s="18" t="n">
        <v>2648098</v>
      </c>
      <c r="I4124" s="18" t="n">
        <v>2753593</v>
      </c>
      <c r="J4124" s="19" t="n">
        <v>2680077.718842412</v>
      </c>
      <c r="K4124" s="35" t="n">
        <v>-0.01343928084987578</v>
      </c>
    </row>
    <row r="4125">
      <c r="A4125" s="36" t="inlineStr">
        <is>
          <t>Faste stillinger</t>
        </is>
      </c>
      <c r="B4125" s="36" t="inlineStr">
        <is>
          <t>Region Øst</t>
        </is>
      </c>
      <c r="C4125" s="36" t="inlineStr">
        <is>
          <t>Østfold ungdoms - og familiesenter - omsorg  avdeling Eika</t>
        </is>
      </c>
      <c r="D4125" s="26" t="n">
        <v>257748</v>
      </c>
      <c r="E4125" s="26" t="n"/>
      <c r="F4125" s="26" t="n">
        <v>626420</v>
      </c>
      <c r="G4125" s="26" t="n"/>
      <c r="H4125" s="26" t="n"/>
      <c r="I4125" s="26" t="n"/>
      <c r="J4125" s="19" t="n">
        <v>0</v>
      </c>
      <c r="K4125" s="37" t="n">
        <v>0.065</v>
      </c>
    </row>
    <row r="4126">
      <c r="A4126" s="34" t="inlineStr">
        <is>
          <t>Faste stillinger</t>
        </is>
      </c>
      <c r="B4126" s="34" t="inlineStr">
        <is>
          <t>Region Øst</t>
        </is>
      </c>
      <c r="C4126" s="34" t="inlineStr">
        <is>
          <t>Østfold ungdoms - og familiesenter - omsorg, avdeling Kurland ungdomshjem</t>
        </is>
      </c>
      <c r="D4126" s="18" t="n">
        <v>6715888</v>
      </c>
      <c r="E4126" s="18" t="n">
        <v>1449944</v>
      </c>
      <c r="F4126" s="18" t="n">
        <v>3441753</v>
      </c>
      <c r="G4126" s="18" t="n">
        <v>10268927</v>
      </c>
      <c r="H4126" s="18" t="n">
        <v>10866970</v>
      </c>
      <c r="I4126" s="18" t="n">
        <v>10825791</v>
      </c>
      <c r="J4126" s="19" t="n">
        <v>13103946.6384396</v>
      </c>
      <c r="K4126" s="35" t="n">
        <v>0.1001989818827309</v>
      </c>
    </row>
    <row r="4127">
      <c r="A4127" s="36" t="inlineStr">
        <is>
          <t>Faste stillinger</t>
        </is>
      </c>
      <c r="B4127" s="36" t="inlineStr">
        <is>
          <t>Region Øst</t>
        </is>
      </c>
      <c r="C4127" s="36" t="inlineStr">
        <is>
          <t>Østfold ungdoms- og familiesenter - avdeling Fossen</t>
        </is>
      </c>
      <c r="D4127" s="26" t="n"/>
      <c r="E4127" s="26" t="n"/>
      <c r="F4127" s="26" t="n"/>
      <c r="G4127" s="26" t="n">
        <v>122898</v>
      </c>
      <c r="H4127" s="26" t="n">
        <v>5933996</v>
      </c>
      <c r="I4127" s="26" t="n">
        <v>9365525</v>
      </c>
      <c r="J4127" s="19" t="n">
        <v>10622612.593125</v>
      </c>
      <c r="K4127" s="37" t="n">
        <v>0.065</v>
      </c>
    </row>
    <row r="4128">
      <c r="A4128" s="34" t="inlineStr">
        <is>
          <t>Faste stillinger</t>
        </is>
      </c>
      <c r="B4128" s="34" t="inlineStr">
        <is>
          <t>Region Øst</t>
        </is>
      </c>
      <c r="C4128" s="34" t="inlineStr">
        <is>
          <t>Østfold ungdoms- og familiesenter - omsorg, avdeling Alfheim ungdomshjem</t>
        </is>
      </c>
      <c r="D4128" s="18" t="n">
        <v>6161520</v>
      </c>
      <c r="E4128" s="18" t="n">
        <v>7388848</v>
      </c>
      <c r="F4128" s="18" t="n">
        <v>7120264</v>
      </c>
      <c r="G4128" s="18" t="n">
        <v>7661767</v>
      </c>
      <c r="H4128" s="18" t="n">
        <v>8674506</v>
      </c>
      <c r="I4128" s="18" t="n">
        <v>10315416</v>
      </c>
      <c r="J4128" s="19" t="n">
        <v>12676702.56760014</v>
      </c>
      <c r="K4128" s="35" t="n">
        <v>0.108561462398205</v>
      </c>
    </row>
    <row r="4129">
      <c r="A4129" s="36" t="inlineStr">
        <is>
          <t>Faste stillinger</t>
        </is>
      </c>
      <c r="B4129" s="36" t="inlineStr">
        <is>
          <t>Region Øst</t>
        </is>
      </c>
      <c r="C4129" s="36" t="inlineStr">
        <is>
          <t>Østfold ungdoms- og familiesenter - omsorg, avdeling Dal</t>
        </is>
      </c>
      <c r="D4129" s="26" t="n">
        <v>390424</v>
      </c>
      <c r="E4129" s="26" t="n">
        <v>4744867</v>
      </c>
      <c r="F4129" s="26" t="n">
        <v>5107195</v>
      </c>
      <c r="G4129" s="26" t="n">
        <v>7086657</v>
      </c>
      <c r="H4129" s="26" t="n">
        <v>8902773</v>
      </c>
      <c r="I4129" s="26" t="n">
        <v>9878625</v>
      </c>
      <c r="J4129" s="19" t="n">
        <v>15435351.5625</v>
      </c>
      <c r="K4129" s="37" t="n">
        <v>0.25</v>
      </c>
    </row>
    <row r="4130">
      <c r="A4130" s="34" t="inlineStr">
        <is>
          <t>Faste stillinger</t>
        </is>
      </c>
      <c r="B4130" s="34" t="inlineStr">
        <is>
          <t>Region Øst</t>
        </is>
      </c>
      <c r="C4130" s="34" t="inlineStr">
        <is>
          <t>Østfold ungdoms- og familiesenter - omsorg, avdeling Rokkeveien ungdomshjem</t>
        </is>
      </c>
      <c r="D4130" s="18" t="n">
        <v>6107684</v>
      </c>
      <c r="E4130" s="18" t="n">
        <v>6969766</v>
      </c>
      <c r="F4130" s="18" t="n">
        <v>7470585</v>
      </c>
      <c r="G4130" s="18" t="n">
        <v>7797826</v>
      </c>
      <c r="H4130" s="18" t="n">
        <v>8793068</v>
      </c>
      <c r="I4130" s="18" t="n">
        <v>9737879</v>
      </c>
      <c r="J4130" s="19" t="n">
        <v>11735443.3032652</v>
      </c>
      <c r="K4130" s="35" t="n">
        <v>0.09778568387600073</v>
      </c>
    </row>
    <row r="4131">
      <c r="A4131" s="36" t="inlineStr">
        <is>
          <t>Faste stillinger</t>
        </is>
      </c>
      <c r="B4131" s="36" t="inlineStr">
        <is>
          <t>Region Øst</t>
        </is>
      </c>
      <c r="C4131" s="36" t="inlineStr">
        <is>
          <t>Østfold ungdoms- og familiesenter - omsorg, avdeling Tune ungdomshjem</t>
        </is>
      </c>
      <c r="D4131" s="26" t="n">
        <v>6477745</v>
      </c>
      <c r="E4131" s="26" t="n">
        <v>8488160</v>
      </c>
      <c r="F4131" s="26" t="n">
        <v>8634173</v>
      </c>
      <c r="G4131" s="26" t="n">
        <v>8621080</v>
      </c>
      <c r="H4131" s="26" t="n">
        <v>8761794</v>
      </c>
      <c r="I4131" s="26" t="n">
        <v>9393192</v>
      </c>
      <c r="J4131" s="19" t="n">
        <v>10898555.50298059</v>
      </c>
      <c r="K4131" s="37" t="n">
        <v>0.07715417813779379</v>
      </c>
    </row>
    <row r="4132">
      <c r="A4132" s="34" t="inlineStr">
        <is>
          <t>Lønn vikarer</t>
        </is>
      </c>
      <c r="B4132" s="34" t="inlineStr">
        <is>
          <t>Region Midt-Norge</t>
        </is>
      </c>
      <c r="C4132" s="34" t="inlineStr">
        <is>
          <t>Buvika ungdomssenter</t>
        </is>
      </c>
      <c r="D4132" s="18" t="n"/>
      <c r="E4132" s="18" t="n">
        <v>661556</v>
      </c>
      <c r="F4132" s="18" t="n">
        <v>1535648</v>
      </c>
      <c r="G4132" s="18" t="n">
        <v>1763334</v>
      </c>
      <c r="H4132" s="18" t="n">
        <v>3457836</v>
      </c>
      <c r="I4132" s="18" t="n">
        <v>3083678</v>
      </c>
      <c r="J4132" s="19" t="n">
        <v>4818246.875</v>
      </c>
      <c r="K4132" s="35" t="n">
        <v>0.25</v>
      </c>
    </row>
    <row r="4133">
      <c r="A4133" s="36" t="inlineStr">
        <is>
          <t>Lønn vikarer</t>
        </is>
      </c>
      <c r="B4133" s="36" t="inlineStr">
        <is>
          <t>Region Midt-Norge</t>
        </is>
      </c>
      <c r="C4133" s="36" t="inlineStr">
        <is>
          <t>Clausenengen ungdomshjem</t>
        </is>
      </c>
      <c r="D4133" s="26" t="n">
        <v>559826</v>
      </c>
      <c r="E4133" s="26" t="n">
        <v>621752</v>
      </c>
      <c r="F4133" s="26" t="n">
        <v>599686</v>
      </c>
      <c r="G4133" s="26" t="n">
        <v>1221618</v>
      </c>
      <c r="H4133" s="26" t="n">
        <v>1089077</v>
      </c>
      <c r="I4133" s="26" t="n">
        <v>1748163</v>
      </c>
      <c r="J4133" s="19" t="n">
        <v>2731504.6875</v>
      </c>
      <c r="K4133" s="37" t="n">
        <v>0.25</v>
      </c>
    </row>
    <row r="4134">
      <c r="A4134" s="34" t="inlineStr">
        <is>
          <t>Lønn vikarer</t>
        </is>
      </c>
      <c r="B4134" s="34" t="inlineStr">
        <is>
          <t>Region Midt-Norge</t>
        </is>
      </c>
      <c r="C4134" s="34" t="inlineStr">
        <is>
          <t>Gilantunet ungdomshjem</t>
        </is>
      </c>
      <c r="D4134" s="18" t="n">
        <v>4186932</v>
      </c>
      <c r="E4134" s="18" t="n">
        <v>3157273</v>
      </c>
      <c r="F4134" s="18" t="n">
        <v>4728538</v>
      </c>
      <c r="G4134" s="18" t="n">
        <v>6502818</v>
      </c>
      <c r="H4134" s="18" t="n">
        <v>5106971</v>
      </c>
      <c r="I4134" s="18" t="n">
        <v>4018430</v>
      </c>
      <c r="J4134" s="19" t="n">
        <v>3952943.503885769</v>
      </c>
      <c r="K4134" s="35" t="n">
        <v>-0.008181739294422119</v>
      </c>
    </row>
    <row r="4135">
      <c r="A4135" s="36" t="inlineStr">
        <is>
          <t>Lønn vikarer</t>
        </is>
      </c>
      <c r="B4135" s="36" t="inlineStr">
        <is>
          <t>Region Midt-Norge</t>
        </is>
      </c>
      <c r="C4135" s="36" t="inlineStr">
        <is>
          <t>Humla Akuttsenter</t>
        </is>
      </c>
      <c r="D4135" s="26" t="n">
        <v>1555826</v>
      </c>
      <c r="E4135" s="26" t="n">
        <v>2306095</v>
      </c>
      <c r="F4135" s="26" t="n">
        <v>2994194</v>
      </c>
      <c r="G4135" s="26" t="n">
        <v>3379306</v>
      </c>
      <c r="H4135" s="26" t="n">
        <v>2882200</v>
      </c>
      <c r="I4135" s="26" t="n">
        <v>3182772</v>
      </c>
      <c r="J4135" s="19" t="n">
        <v>4237828.041153451</v>
      </c>
      <c r="K4135" s="37" t="n">
        <v>0.1539019327366282</v>
      </c>
    </row>
    <row r="4136">
      <c r="A4136" s="34" t="inlineStr">
        <is>
          <t>Lønn vikarer</t>
        </is>
      </c>
      <c r="B4136" s="34" t="inlineStr">
        <is>
          <t>Region Midt-Norge</t>
        </is>
      </c>
      <c r="C4136" s="34" t="inlineStr">
        <is>
          <t>Husafjellheimen ungdomsheim</t>
        </is>
      </c>
      <c r="D4136" s="18" t="n">
        <v>555883</v>
      </c>
      <c r="E4136" s="18" t="n">
        <v>405763</v>
      </c>
      <c r="F4136" s="18" t="n">
        <v>785263</v>
      </c>
      <c r="G4136" s="18" t="n">
        <v>782249</v>
      </c>
      <c r="H4136" s="18" t="n">
        <v>1049422</v>
      </c>
      <c r="I4136" s="18" t="n">
        <v>1759396</v>
      </c>
      <c r="J4136" s="19" t="n">
        <v>2749056.25</v>
      </c>
      <c r="K4136" s="35" t="n">
        <v>0.25</v>
      </c>
    </row>
    <row r="4137">
      <c r="A4137" s="36" t="inlineStr">
        <is>
          <t>Lønn vikarer</t>
        </is>
      </c>
      <c r="B4137" s="36" t="inlineStr">
        <is>
          <t>Region Midt-Norge</t>
        </is>
      </c>
      <c r="C4137" s="36" t="inlineStr">
        <is>
          <t>Karienborg ungdomsheim</t>
        </is>
      </c>
      <c r="D4137" s="26" t="n">
        <v>1447488</v>
      </c>
      <c r="E4137" s="26" t="n">
        <v>1851614</v>
      </c>
      <c r="F4137" s="26" t="n">
        <v>3313770</v>
      </c>
      <c r="G4137" s="26" t="n">
        <v>3544667</v>
      </c>
      <c r="H4137" s="26" t="n">
        <v>2587422</v>
      </c>
      <c r="I4137" s="26" t="n">
        <v>2458202</v>
      </c>
      <c r="J4137" s="19" t="n">
        <v>3038215.716227237</v>
      </c>
      <c r="K4137" s="37" t="n">
        <v>0.1117330561882426</v>
      </c>
    </row>
    <row r="4138">
      <c r="A4138" s="34" t="inlineStr">
        <is>
          <t>Lønn vikarer</t>
        </is>
      </c>
      <c r="B4138" s="34" t="inlineStr">
        <is>
          <t>Region Midt-Norge</t>
        </is>
      </c>
      <c r="C4138" s="34" t="inlineStr">
        <is>
          <t>Kollen ungdomsbase</t>
        </is>
      </c>
      <c r="D4138" s="18" t="n">
        <v>2254133</v>
      </c>
      <c r="E4138" s="18" t="n">
        <v>2506307</v>
      </c>
      <c r="F4138" s="18" t="n">
        <v>3006099</v>
      </c>
      <c r="G4138" s="18" t="n">
        <v>3168017</v>
      </c>
      <c r="H4138" s="18" t="n">
        <v>2611294</v>
      </c>
      <c r="I4138" s="18" t="n">
        <v>2914643</v>
      </c>
      <c r="J4138" s="19" t="n">
        <v>3230187.261375786</v>
      </c>
      <c r="K4138" s="35" t="n">
        <v>0.05274010039234556</v>
      </c>
    </row>
    <row r="4139">
      <c r="A4139" s="36" t="inlineStr">
        <is>
          <t>Lønn vikarer</t>
        </is>
      </c>
      <c r="B4139" s="36" t="inlineStr">
        <is>
          <t>Region Midt-Norge</t>
        </is>
      </c>
      <c r="C4139" s="36" t="inlineStr">
        <is>
          <t>Kvammen akuttsenter</t>
        </is>
      </c>
      <c r="D4139" s="26" t="n">
        <v>2664422</v>
      </c>
      <c r="E4139" s="26" t="n">
        <v>2556407</v>
      </c>
      <c r="F4139" s="26" t="n">
        <v>1773050</v>
      </c>
      <c r="G4139" s="26" t="n">
        <v>3544679</v>
      </c>
      <c r="H4139" s="26" t="n"/>
      <c r="I4139" s="26" t="n"/>
      <c r="J4139" s="19" t="n">
        <v>0</v>
      </c>
      <c r="K4139" s="37" t="n">
        <v>0.065</v>
      </c>
    </row>
    <row r="4140">
      <c r="A4140" s="34" t="inlineStr">
        <is>
          <t>Lønn vikarer</t>
        </is>
      </c>
      <c r="B4140" s="34" t="inlineStr">
        <is>
          <t>Region Midt-Norge</t>
        </is>
      </c>
      <c r="C4140" s="34" t="inlineStr">
        <is>
          <t>Kvammen akuttsenter, avdeling Fannrem</t>
        </is>
      </c>
      <c r="D4140" s="18" t="n"/>
      <c r="E4140" s="18" t="n"/>
      <c r="F4140" s="18" t="n"/>
      <c r="G4140" s="18" t="n"/>
      <c r="H4140" s="18" t="n">
        <v>178569</v>
      </c>
      <c r="I4140" s="18" t="n">
        <v>1373373</v>
      </c>
      <c r="J4140" s="19" t="n">
        <v>1557713.990925</v>
      </c>
      <c r="K4140" s="35" t="n">
        <v>0.065</v>
      </c>
    </row>
    <row r="4141">
      <c r="A4141" s="36" t="inlineStr">
        <is>
          <t>Lønn vikarer</t>
        </is>
      </c>
      <c r="B4141" s="36" t="inlineStr">
        <is>
          <t>Region Midt-Norge</t>
        </is>
      </c>
      <c r="C4141" s="36" t="inlineStr">
        <is>
          <t>Kvammen akuttsenter, avdeling Melhus</t>
        </is>
      </c>
      <c r="D4141" s="26" t="n"/>
      <c r="E4141" s="26" t="n"/>
      <c r="F4141" s="26" t="n"/>
      <c r="G4141" s="26" t="n"/>
      <c r="H4141" s="26" t="n">
        <v>3149097</v>
      </c>
      <c r="I4141" s="26" t="n">
        <v>2275076</v>
      </c>
      <c r="J4141" s="19" t="n">
        <v>2580448.0761</v>
      </c>
      <c r="K4141" s="37" t="n">
        <v>0.065</v>
      </c>
    </row>
    <row r="4142">
      <c r="A4142" s="34" t="inlineStr">
        <is>
          <t>Lønn vikarer</t>
        </is>
      </c>
      <c r="B4142" s="34" t="inlineStr">
        <is>
          <t>Region Midt-Norge</t>
        </is>
      </c>
      <c r="C4142" s="34" t="inlineStr">
        <is>
          <t>Kvammen, avdelig enetiltak</t>
        </is>
      </c>
      <c r="D4142" s="18" t="n"/>
      <c r="E4142" s="18" t="n"/>
      <c r="F4142" s="18" t="n"/>
      <c r="G4142" s="18" t="n"/>
      <c r="H4142" s="18" t="n"/>
      <c r="I4142" s="18" t="n">
        <v>1537152</v>
      </c>
      <c r="J4142" s="19" t="n">
        <v>1743476.2272</v>
      </c>
      <c r="K4142" s="35" t="n">
        <v>0.065</v>
      </c>
    </row>
    <row r="4143">
      <c r="A4143" s="36" t="inlineStr">
        <is>
          <t>Lønn vikarer</t>
        </is>
      </c>
      <c r="B4143" s="36" t="inlineStr">
        <is>
          <t>Region Midt-Norge</t>
        </is>
      </c>
      <c r="C4143" s="36" t="inlineStr">
        <is>
          <t>Moholt ungdomssenter</t>
        </is>
      </c>
      <c r="D4143" s="26" t="n"/>
      <c r="E4143" s="26" t="n"/>
      <c r="F4143" s="26" t="n">
        <v>513717</v>
      </c>
      <c r="G4143" s="26" t="n">
        <v>1053437</v>
      </c>
      <c r="H4143" s="26" t="n">
        <v>2285449</v>
      </c>
      <c r="I4143" s="26" t="n">
        <v>3086311</v>
      </c>
      <c r="J4143" s="19" t="n">
        <v>3500571.093975</v>
      </c>
      <c r="K4143" s="37" t="n">
        <v>0.065</v>
      </c>
    </row>
    <row r="4144">
      <c r="A4144" s="34" t="inlineStr">
        <is>
          <t>Lønn vikarer</t>
        </is>
      </c>
      <c r="B4144" s="34" t="inlineStr">
        <is>
          <t>Region Midt-Norge</t>
        </is>
      </c>
      <c r="C4144" s="34" t="inlineStr">
        <is>
          <t>Orkdal barnevernsenter</t>
        </is>
      </c>
      <c r="D4144" s="18" t="n">
        <v>3284968</v>
      </c>
      <c r="E4144" s="18" t="n">
        <v>4080001</v>
      </c>
      <c r="F4144" s="18" t="n">
        <v>2860248</v>
      </c>
      <c r="G4144" s="18" t="n">
        <v>2086531</v>
      </c>
      <c r="H4144" s="18" t="n">
        <v>9686</v>
      </c>
      <c r="I4144" s="18" t="n"/>
      <c r="J4144" s="19" t="n">
        <v>0</v>
      </c>
      <c r="K4144" s="35" t="n">
        <v>0.065</v>
      </c>
    </row>
    <row r="4145">
      <c r="A4145" s="36" t="inlineStr">
        <is>
          <t>Lønn vikarer</t>
        </is>
      </c>
      <c r="B4145" s="36" t="inlineStr">
        <is>
          <t>Region Midt-Norge</t>
        </is>
      </c>
      <c r="C4145" s="36" t="inlineStr">
        <is>
          <t>Ranheim Vestre</t>
        </is>
      </c>
      <c r="D4145" s="26" t="n">
        <v>1445645</v>
      </c>
      <c r="E4145" s="26" t="n">
        <v>2026650</v>
      </c>
      <c r="F4145" s="26" t="n">
        <v>1583775</v>
      </c>
      <c r="G4145" s="26" t="n">
        <v>2553415</v>
      </c>
      <c r="H4145" s="26" t="n">
        <v>2888919</v>
      </c>
      <c r="I4145" s="26" t="n">
        <v>1956997</v>
      </c>
      <c r="J4145" s="19" t="n">
        <v>2209029.72825068</v>
      </c>
      <c r="K4145" s="37" t="n">
        <v>0.06244314876476387</v>
      </c>
    </row>
    <row r="4146">
      <c r="A4146" s="34" t="inlineStr">
        <is>
          <t>Lønn vikarer</t>
        </is>
      </c>
      <c r="B4146" s="34" t="inlineStr">
        <is>
          <t>Region Midt-Norge</t>
        </is>
      </c>
      <c r="C4146" s="34" t="inlineStr">
        <is>
          <t>Skatval ungdomssenter</t>
        </is>
      </c>
      <c r="D4146" s="18" t="n"/>
      <c r="E4146" s="18" t="n"/>
      <c r="F4146" s="18" t="n"/>
      <c r="G4146" s="18" t="n"/>
      <c r="H4146" s="18" t="n">
        <v>67670</v>
      </c>
      <c r="I4146" s="18" t="n">
        <v>2724913</v>
      </c>
      <c r="J4146" s="19" t="n">
        <v>3090664.447424999</v>
      </c>
      <c r="K4146" s="35" t="n">
        <v>0.065</v>
      </c>
    </row>
    <row r="4147">
      <c r="A4147" s="36" t="inlineStr">
        <is>
          <t>Lønn vikarer</t>
        </is>
      </c>
      <c r="B4147" s="36" t="inlineStr">
        <is>
          <t>Region Midt-Norge</t>
        </is>
      </c>
      <c r="C4147" s="36" t="inlineStr">
        <is>
          <t>Spillumheimen ungdomsheim</t>
        </is>
      </c>
      <c r="D4147" s="26" t="n">
        <v>3998077</v>
      </c>
      <c r="E4147" s="26" t="n">
        <v>3593551</v>
      </c>
      <c r="F4147" s="26" t="n">
        <v>2767201</v>
      </c>
      <c r="G4147" s="26" t="n">
        <v>2911400</v>
      </c>
      <c r="H4147" s="26" t="n">
        <v>1464247</v>
      </c>
      <c r="I4147" s="26" t="n">
        <v>3488</v>
      </c>
      <c r="J4147" s="19" t="n">
        <v>1962</v>
      </c>
      <c r="K4147" s="37" t="n">
        <v>-0.25</v>
      </c>
    </row>
    <row r="4148">
      <c r="A4148" s="34" t="inlineStr">
        <is>
          <t>Lønn vikarer</t>
        </is>
      </c>
      <c r="B4148" s="34" t="inlineStr">
        <is>
          <t>Region Midt-Norge</t>
        </is>
      </c>
      <c r="C4148" s="34" t="inlineStr">
        <is>
          <t>Stjørdal ungdomssenter</t>
        </is>
      </c>
      <c r="D4148" s="18" t="n">
        <v>941442</v>
      </c>
      <c r="E4148" s="18" t="n">
        <v>1915529</v>
      </c>
      <c r="F4148" s="18" t="n">
        <v>536519</v>
      </c>
      <c r="G4148" s="18" t="n">
        <v>-772</v>
      </c>
      <c r="H4148" s="18" t="n"/>
      <c r="I4148" s="18" t="n"/>
      <c r="J4148" s="19" t="n">
        <v>0</v>
      </c>
      <c r="K4148" s="35" t="n">
        <v>0.065</v>
      </c>
    </row>
    <row r="4149">
      <c r="A4149" s="36" t="inlineStr">
        <is>
          <t>Lønn vikarer</t>
        </is>
      </c>
      <c r="B4149" s="36" t="inlineStr">
        <is>
          <t>Region Midt-Norge</t>
        </is>
      </c>
      <c r="C4149" s="36" t="inlineStr">
        <is>
          <t>Sunnmørsheimen akuttinstitusjon, avd. Klatrevegen</t>
        </is>
      </c>
      <c r="D4149" s="26" t="n"/>
      <c r="E4149" s="26" t="n"/>
      <c r="F4149" s="26" t="n">
        <v>1323160</v>
      </c>
      <c r="G4149" s="26" t="n">
        <v>1553391</v>
      </c>
      <c r="H4149" s="26" t="n">
        <v>1466519</v>
      </c>
      <c r="I4149" s="26" t="n">
        <v>2377375</v>
      </c>
      <c r="J4149" s="19" t="n">
        <v>2696478.159374999</v>
      </c>
      <c r="K4149" s="37" t="n">
        <v>0.065</v>
      </c>
    </row>
    <row r="4150">
      <c r="A4150" s="34" t="inlineStr">
        <is>
          <t>Lønn vikarer</t>
        </is>
      </c>
      <c r="B4150" s="34" t="inlineStr">
        <is>
          <t>Region Midt-Norge</t>
        </is>
      </c>
      <c r="C4150" s="34" t="inlineStr">
        <is>
          <t>Sunnmørsheimen ungdomsheim, avd. Klatrevegen</t>
        </is>
      </c>
      <c r="D4150" s="18" t="n">
        <v>1536075</v>
      </c>
      <c r="E4150" s="18" t="n">
        <v>2269763</v>
      </c>
      <c r="F4150" s="18" t="n">
        <v>815989</v>
      </c>
      <c r="G4150" s="18" t="n"/>
      <c r="H4150" s="18" t="n"/>
      <c r="I4150" s="18" t="n"/>
      <c r="J4150" s="19" t="n">
        <v>0</v>
      </c>
      <c r="K4150" s="35" t="n">
        <v>0.065</v>
      </c>
    </row>
    <row r="4151">
      <c r="A4151" s="36" t="inlineStr">
        <is>
          <t>Lønn vikarer</t>
        </is>
      </c>
      <c r="B4151" s="36" t="inlineStr">
        <is>
          <t>Region Midt-Norge</t>
        </is>
      </c>
      <c r="C4151" s="36" t="inlineStr">
        <is>
          <t>Sunnmørsheimen ungdomsheim, avd. Nygardsvegen</t>
        </is>
      </c>
      <c r="D4151" s="26" t="n">
        <v>2337933</v>
      </c>
      <c r="E4151" s="26" t="n">
        <v>1957085</v>
      </c>
      <c r="F4151" s="26" t="n">
        <v>2468967</v>
      </c>
      <c r="G4151" s="26" t="n">
        <v>3209710</v>
      </c>
      <c r="H4151" s="26" t="n">
        <v>4248033</v>
      </c>
      <c r="I4151" s="26" t="n">
        <v>3101885</v>
      </c>
      <c r="J4151" s="19" t="n">
        <v>3473306.789426617</v>
      </c>
      <c r="K4151" s="37" t="n">
        <v>0.05817799561670478</v>
      </c>
    </row>
    <row r="4152">
      <c r="A4152" s="34" t="inlineStr">
        <is>
          <t>Lønn vikarer</t>
        </is>
      </c>
      <c r="B4152" s="34" t="inlineStr">
        <is>
          <t>Region Midt-Norge</t>
        </is>
      </c>
      <c r="C4152" s="34" t="inlineStr">
        <is>
          <t>TFCO Trondheim</t>
        </is>
      </c>
      <c r="D4152" s="18" t="n">
        <v>580846</v>
      </c>
      <c r="E4152" s="18" t="n">
        <v>1209756</v>
      </c>
      <c r="F4152" s="18" t="n">
        <v>6776</v>
      </c>
      <c r="G4152" s="18" t="n">
        <v>409637</v>
      </c>
      <c r="H4152" s="18" t="n">
        <v>1183149</v>
      </c>
      <c r="I4152" s="18" t="n"/>
      <c r="J4152" s="19" t="n">
        <v>0</v>
      </c>
      <c r="K4152" s="35" t="n">
        <v>0.065</v>
      </c>
    </row>
    <row r="4153">
      <c r="A4153" s="36" t="inlineStr">
        <is>
          <t>Lønn vikarer</t>
        </is>
      </c>
      <c r="B4153" s="36" t="inlineStr">
        <is>
          <t>Region Midt-Norge</t>
        </is>
      </c>
      <c r="C4153" s="36" t="inlineStr">
        <is>
          <t>Trøndelag behandlingssenter for ungdom</t>
        </is>
      </c>
      <c r="D4153" s="26" t="n"/>
      <c r="E4153" s="26" t="n"/>
      <c r="F4153" s="26" t="n">
        <v>214025</v>
      </c>
      <c r="G4153" s="26" t="n">
        <v>80971</v>
      </c>
      <c r="H4153" s="26" t="n">
        <v>30533</v>
      </c>
      <c r="I4153" s="26" t="n"/>
      <c r="J4153" s="19" t="n">
        <v>0</v>
      </c>
      <c r="K4153" s="37" t="n">
        <v>0.065</v>
      </c>
    </row>
    <row r="4154">
      <c r="A4154" s="34" t="inlineStr">
        <is>
          <t>Lønn vikarer</t>
        </is>
      </c>
      <c r="B4154" s="34" t="inlineStr">
        <is>
          <t>Region Midt-Norge</t>
        </is>
      </c>
      <c r="C4154" s="34" t="inlineStr">
        <is>
          <t>Vikhovlia akuttsenter</t>
        </is>
      </c>
      <c r="D4154" s="18" t="n">
        <v>2567807</v>
      </c>
      <c r="E4154" s="18" t="n">
        <v>3247953</v>
      </c>
      <c r="F4154" s="18" t="n">
        <v>2558105</v>
      </c>
      <c r="G4154" s="18" t="n">
        <v>4591095</v>
      </c>
      <c r="H4154" s="18" t="n">
        <v>3375763</v>
      </c>
      <c r="I4154" s="18" t="n">
        <v>2934030</v>
      </c>
      <c r="J4154" s="19" t="n">
        <v>3094748.911076842</v>
      </c>
      <c r="K4154" s="35" t="n">
        <v>0.02702362592306362</v>
      </c>
    </row>
    <row r="4155">
      <c r="A4155" s="36" t="inlineStr">
        <is>
          <t>Lønn vikarer</t>
        </is>
      </c>
      <c r="B4155" s="36" t="inlineStr">
        <is>
          <t>Region Midt-Norge</t>
        </is>
      </c>
      <c r="C4155" s="36" t="inlineStr">
        <is>
          <t>Vikhovlia, beredskapshjem</t>
        </is>
      </c>
      <c r="D4155" s="26" t="n"/>
      <c r="E4155" s="26" t="n"/>
      <c r="F4155" s="26" t="n"/>
      <c r="G4155" s="26" t="n"/>
      <c r="H4155" s="26" t="n"/>
      <c r="I4155" s="26" t="n">
        <v>11976</v>
      </c>
      <c r="J4155" s="19" t="n">
        <v>13583.4786</v>
      </c>
      <c r="K4155" s="37" t="n">
        <v>0.065</v>
      </c>
    </row>
    <row r="4156">
      <c r="A4156" s="34" t="inlineStr">
        <is>
          <t>Lønn vikarer</t>
        </is>
      </c>
      <c r="B4156" s="34" t="inlineStr">
        <is>
          <t>Region Nord</t>
        </is>
      </c>
      <c r="C4156" s="34" t="inlineStr">
        <is>
          <t>Alta Ungdomssenter administrasjon</t>
        </is>
      </c>
      <c r="D4156" s="18" t="n"/>
      <c r="E4156" s="18" t="n"/>
      <c r="F4156" s="18" t="n"/>
      <c r="G4156" s="18" t="n">
        <v>1310</v>
      </c>
      <c r="H4156" s="18" t="n"/>
      <c r="I4156" s="18" t="n">
        <v>5656</v>
      </c>
      <c r="J4156" s="19" t="n">
        <v>6415.176599999999</v>
      </c>
      <c r="K4156" s="35" t="n">
        <v>0.065</v>
      </c>
    </row>
    <row r="4157">
      <c r="A4157" s="36" t="inlineStr">
        <is>
          <t>Lønn vikarer</t>
        </is>
      </c>
      <c r="B4157" s="36" t="inlineStr">
        <is>
          <t>Region Nord</t>
        </is>
      </c>
      <c r="C4157" s="36" t="inlineStr">
        <is>
          <t>Alta Ungdomssenter sjøtun</t>
        </is>
      </c>
      <c r="D4157" s="26" t="n">
        <v>1405062</v>
      </c>
      <c r="E4157" s="26" t="n">
        <v>672616</v>
      </c>
      <c r="F4157" s="26" t="n">
        <v>1137742</v>
      </c>
      <c r="G4157" s="26" t="n">
        <v>1702364</v>
      </c>
      <c r="H4157" s="26" t="n">
        <v>1926148</v>
      </c>
      <c r="I4157" s="26" t="n">
        <v>1148569</v>
      </c>
      <c r="J4157" s="19" t="n">
        <v>1059599.467234828</v>
      </c>
      <c r="K4157" s="37" t="n">
        <v>-0.03951116600748372</v>
      </c>
    </row>
    <row r="4158">
      <c r="A4158" s="34" t="inlineStr">
        <is>
          <t>Lønn vikarer</t>
        </is>
      </c>
      <c r="B4158" s="34" t="inlineStr">
        <is>
          <t>Region Nord</t>
        </is>
      </c>
      <c r="C4158" s="34" t="inlineStr">
        <is>
          <t>Alta Ungdomssenter utsikten</t>
        </is>
      </c>
      <c r="D4158" s="18" t="n">
        <v>66729</v>
      </c>
      <c r="E4158" s="18" t="n"/>
      <c r="F4158" s="18" t="n"/>
      <c r="G4158" s="18" t="n"/>
      <c r="H4158" s="18" t="n"/>
      <c r="I4158" s="18" t="n"/>
      <c r="J4158" s="19" t="n">
        <v>0</v>
      </c>
      <c r="K4158" s="35" t="n">
        <v>0.065</v>
      </c>
    </row>
    <row r="4159">
      <c r="A4159" s="36" t="inlineStr">
        <is>
          <t>Lønn vikarer</t>
        </is>
      </c>
      <c r="B4159" s="36" t="inlineStr">
        <is>
          <t>Region Nord</t>
        </is>
      </c>
      <c r="C4159" s="36" t="inlineStr">
        <is>
          <t>Alta ungdomssenter Utsikten akutt</t>
        </is>
      </c>
      <c r="D4159" s="26" t="n"/>
      <c r="E4159" s="26" t="n"/>
      <c r="F4159" s="26" t="n"/>
      <c r="G4159" s="26" t="n"/>
      <c r="H4159" s="26" t="n">
        <v>446705</v>
      </c>
      <c r="I4159" s="26" t="n">
        <v>941852</v>
      </c>
      <c r="J4159" s="19" t="n">
        <v>1068272.0847</v>
      </c>
      <c r="K4159" s="37" t="n">
        <v>0.065</v>
      </c>
    </row>
    <row r="4160">
      <c r="A4160" s="34" t="inlineStr">
        <is>
          <t>Lønn vikarer</t>
        </is>
      </c>
      <c r="B4160" s="34" t="inlineStr">
        <is>
          <t>Region Nord</t>
        </is>
      </c>
      <c r="C4160" s="34" t="inlineStr">
        <is>
          <t>Alta ungdomssenter Utsikten omsorg</t>
        </is>
      </c>
      <c r="D4160" s="18" t="n">
        <v>38598</v>
      </c>
      <c r="E4160" s="18" t="n">
        <v>563019</v>
      </c>
      <c r="F4160" s="18" t="n">
        <v>1261852</v>
      </c>
      <c r="G4160" s="18" t="n">
        <v>1062631</v>
      </c>
      <c r="H4160" s="18" t="n">
        <v>1015965</v>
      </c>
      <c r="I4160" s="18" t="n">
        <v>3863</v>
      </c>
      <c r="J4160" s="19" t="n">
        <v>2172.9375</v>
      </c>
      <c r="K4160" s="35" t="n">
        <v>-0.25</v>
      </c>
    </row>
    <row r="4161">
      <c r="A4161" s="36" t="inlineStr">
        <is>
          <t>Lønn vikarer</t>
        </is>
      </c>
      <c r="B4161" s="36" t="inlineStr">
        <is>
          <t>Region Nord</t>
        </is>
      </c>
      <c r="C4161" s="36" t="inlineStr">
        <is>
          <t>Bodø behandlingssenter Landegode</t>
        </is>
      </c>
      <c r="D4161" s="26" t="n"/>
      <c r="E4161" s="26" t="n"/>
      <c r="F4161" s="26" t="n"/>
      <c r="G4161" s="26" t="n"/>
      <c r="H4161" s="26" t="n">
        <v>75998</v>
      </c>
      <c r="I4161" s="26" t="n">
        <v>450416</v>
      </c>
      <c r="J4161" s="19" t="n">
        <v>510873.0875999999</v>
      </c>
      <c r="K4161" s="37" t="n">
        <v>0.065</v>
      </c>
    </row>
    <row r="4162">
      <c r="A4162" s="34" t="inlineStr">
        <is>
          <t>Lønn vikarer</t>
        </is>
      </c>
      <c r="B4162" s="34" t="inlineStr">
        <is>
          <t>Region Nord</t>
        </is>
      </c>
      <c r="C4162" s="34" t="inlineStr">
        <is>
          <t>Bodø behandlingssenter Sandhornet</t>
        </is>
      </c>
      <c r="D4162" s="18" t="n">
        <v>1997505</v>
      </c>
      <c r="E4162" s="18" t="n">
        <v>1695394</v>
      </c>
      <c r="F4162" s="18" t="n">
        <v>1706787</v>
      </c>
      <c r="G4162" s="18" t="n">
        <v>1947016</v>
      </c>
      <c r="H4162" s="18" t="n">
        <v>3215470</v>
      </c>
      <c r="I4162" s="18" t="n">
        <v>2600844</v>
      </c>
      <c r="J4162" s="19" t="n">
        <v>2890446.100124071</v>
      </c>
      <c r="K4162" s="35" t="n">
        <v>0.05420551954356667</v>
      </c>
    </row>
    <row r="4163">
      <c r="A4163" s="36" t="inlineStr">
        <is>
          <t>Lønn vikarer</t>
        </is>
      </c>
      <c r="B4163" s="36" t="inlineStr">
        <is>
          <t>Region Nord</t>
        </is>
      </c>
      <c r="C4163" s="36" t="inlineStr">
        <is>
          <t>FHT RN - formidling/oppfølging</t>
        </is>
      </c>
      <c r="D4163" s="26" t="n"/>
      <c r="E4163" s="26" t="n"/>
      <c r="F4163" s="26" t="n">
        <v>143375</v>
      </c>
      <c r="G4163" s="26" t="n"/>
      <c r="H4163" s="26" t="n"/>
      <c r="I4163" s="26" t="n"/>
      <c r="J4163" s="19" t="n">
        <v>0</v>
      </c>
      <c r="K4163" s="37" t="n">
        <v>0.065</v>
      </c>
    </row>
    <row r="4164">
      <c r="A4164" s="34" t="inlineStr">
        <is>
          <t>Lønn vikarer</t>
        </is>
      </c>
      <c r="B4164" s="34" t="inlineStr">
        <is>
          <t>Region Nord</t>
        </is>
      </c>
      <c r="C4164" s="34" t="inlineStr">
        <is>
          <t>Lamo ungdomssenter Tunet</t>
        </is>
      </c>
      <c r="D4164" s="18" t="n">
        <v>2960463</v>
      </c>
      <c r="E4164" s="18" t="n">
        <v>3307928</v>
      </c>
      <c r="F4164" s="18" t="n">
        <v>1666839</v>
      </c>
      <c r="G4164" s="18" t="n">
        <v>2812673</v>
      </c>
      <c r="H4164" s="18" t="n">
        <v>2545819</v>
      </c>
      <c r="I4164" s="18" t="n">
        <v>2089439</v>
      </c>
      <c r="J4164" s="19" t="n">
        <v>1817597.515153483</v>
      </c>
      <c r="K4164" s="35" t="n">
        <v>-0.06731710553939485</v>
      </c>
    </row>
    <row r="4165">
      <c r="A4165" s="36" t="inlineStr">
        <is>
          <t>Lønn vikarer</t>
        </is>
      </c>
      <c r="B4165" s="36" t="inlineStr">
        <is>
          <t>Region Nord</t>
        </is>
      </c>
      <c r="C4165" s="36" t="inlineStr">
        <is>
          <t>Nye Kvæfjord ungdomssenter Lilleheimen</t>
        </is>
      </c>
      <c r="D4165" s="26" t="n">
        <v>2083575</v>
      </c>
      <c r="E4165" s="26" t="n">
        <v>2209271</v>
      </c>
      <c r="F4165" s="26" t="n">
        <v>1835901</v>
      </c>
      <c r="G4165" s="26" t="n">
        <v>1919996</v>
      </c>
      <c r="H4165" s="26" t="n">
        <v>2321526</v>
      </c>
      <c r="I4165" s="26" t="n">
        <v>1829809</v>
      </c>
      <c r="J4165" s="19" t="n">
        <v>1737178.348943205</v>
      </c>
      <c r="K4165" s="37" t="n">
        <v>-0.02564027470517449</v>
      </c>
    </row>
    <row r="4166">
      <c r="A4166" s="34" t="inlineStr">
        <is>
          <t>Lønn vikarer</t>
        </is>
      </c>
      <c r="B4166" s="34" t="inlineStr">
        <is>
          <t>Region Nord</t>
        </is>
      </c>
      <c r="C4166" s="34" t="inlineStr">
        <is>
          <t>Nye Kvæfjord ungdomssenter Storheimen</t>
        </is>
      </c>
      <c r="D4166" s="18" t="n">
        <v>2239217</v>
      </c>
      <c r="E4166" s="18" t="n">
        <v>2373765</v>
      </c>
      <c r="F4166" s="18" t="n">
        <v>2113024</v>
      </c>
      <c r="G4166" s="18" t="n">
        <v>2061399</v>
      </c>
      <c r="H4166" s="18" t="n">
        <v>1682218</v>
      </c>
      <c r="I4166" s="18" t="n">
        <v>1764526</v>
      </c>
      <c r="J4166" s="19" t="n">
        <v>1604134.627426356</v>
      </c>
      <c r="K4166" s="35" t="n">
        <v>-0.04653144255563801</v>
      </c>
    </row>
    <row r="4167">
      <c r="A4167" s="36" t="inlineStr">
        <is>
          <t>Lønn vikarer</t>
        </is>
      </c>
      <c r="B4167" s="36" t="inlineStr">
        <is>
          <t>Region Nord</t>
        </is>
      </c>
      <c r="C4167" s="36" t="inlineStr">
        <is>
          <t>Røvika ungdomssenter Skogly</t>
        </is>
      </c>
      <c r="D4167" s="26" t="n">
        <v>1960008</v>
      </c>
      <c r="E4167" s="26" t="n">
        <v>1498510</v>
      </c>
      <c r="F4167" s="26" t="n">
        <v>1836875</v>
      </c>
      <c r="G4167" s="26" t="n">
        <v>1715026</v>
      </c>
      <c r="H4167" s="26" t="n">
        <v>1874129</v>
      </c>
      <c r="I4167" s="26" t="n">
        <v>1354047</v>
      </c>
      <c r="J4167" s="19" t="n">
        <v>1167842.019810429</v>
      </c>
      <c r="K4167" s="37" t="n">
        <v>-0.07130056985268807</v>
      </c>
    </row>
    <row r="4168">
      <c r="A4168" s="34" t="inlineStr">
        <is>
          <t>Lønn vikarer</t>
        </is>
      </c>
      <c r="B4168" s="34" t="inlineStr">
        <is>
          <t>Region Nord</t>
        </is>
      </c>
      <c r="C4168" s="34" t="inlineStr">
        <is>
          <t>Røvika ungdomssenter Åsheim akutt</t>
        </is>
      </c>
      <c r="D4168" s="18" t="n"/>
      <c r="E4168" s="18" t="n"/>
      <c r="F4168" s="18" t="n"/>
      <c r="G4168" s="18" t="n"/>
      <c r="H4168" s="18" t="n">
        <v>50480</v>
      </c>
      <c r="I4168" s="18" t="n">
        <v>346472</v>
      </c>
      <c r="J4168" s="19" t="n">
        <v>392977.2041999999</v>
      </c>
      <c r="K4168" s="35" t="n">
        <v>0.065</v>
      </c>
    </row>
    <row r="4169">
      <c r="A4169" s="36" t="inlineStr">
        <is>
          <t>Lønn vikarer</t>
        </is>
      </c>
      <c r="B4169" s="36" t="inlineStr">
        <is>
          <t>Region Nord</t>
        </is>
      </c>
      <c r="C4169" s="36" t="inlineStr">
        <is>
          <t>Røvika Åsheim</t>
        </is>
      </c>
      <c r="D4169" s="26" t="n">
        <v>1517658</v>
      </c>
      <c r="E4169" s="26" t="n">
        <v>1025085</v>
      </c>
      <c r="F4169" s="26" t="n">
        <v>1218243</v>
      </c>
      <c r="G4169" s="26" t="n">
        <v>1872725</v>
      </c>
      <c r="H4169" s="26" t="n">
        <v>1035808</v>
      </c>
      <c r="I4169" s="26" t="n">
        <v>1232</v>
      </c>
      <c r="J4169" s="19" t="n">
        <v>693</v>
      </c>
      <c r="K4169" s="37" t="n">
        <v>-0.25</v>
      </c>
    </row>
    <row r="4170">
      <c r="A4170" s="34" t="inlineStr">
        <is>
          <t>Lønn vikarer</t>
        </is>
      </c>
      <c r="B4170" s="34" t="inlineStr">
        <is>
          <t>Region Nord</t>
        </is>
      </c>
      <c r="C4170" s="34" t="inlineStr">
        <is>
          <t>Silsand ungdomssenter administrasjon</t>
        </is>
      </c>
      <c r="D4170" s="18" t="n">
        <v>59</v>
      </c>
      <c r="E4170" s="18" t="n"/>
      <c r="F4170" s="18" t="n"/>
      <c r="G4170" s="18" t="n"/>
      <c r="H4170" s="18" t="n"/>
      <c r="I4170" s="18" t="n"/>
      <c r="J4170" s="19" t="n">
        <v>0</v>
      </c>
      <c r="K4170" s="35" t="n">
        <v>0.065</v>
      </c>
    </row>
    <row r="4171">
      <c r="A4171" s="36" t="inlineStr">
        <is>
          <t>Lønn vikarer</t>
        </is>
      </c>
      <c r="B4171" s="36" t="inlineStr">
        <is>
          <t>Region Nord</t>
        </is>
      </c>
      <c r="C4171" s="36" t="inlineStr">
        <is>
          <t>Silsand ungdomssenter avdeling 1</t>
        </is>
      </c>
      <c r="D4171" s="26" t="n">
        <v>3546581</v>
      </c>
      <c r="E4171" s="26" t="n">
        <v>1876158</v>
      </c>
      <c r="F4171" s="26" t="n">
        <v>2098164</v>
      </c>
      <c r="G4171" s="26" t="n">
        <v>2379129</v>
      </c>
      <c r="H4171" s="26" t="n">
        <v>1613503</v>
      </c>
      <c r="I4171" s="26" t="n">
        <v>4536</v>
      </c>
      <c r="J4171" s="19" t="n">
        <v>2551.5</v>
      </c>
      <c r="K4171" s="37" t="n">
        <v>-0.25</v>
      </c>
    </row>
    <row r="4172">
      <c r="A4172" s="34" t="inlineStr">
        <is>
          <t>Lønn vikarer</t>
        </is>
      </c>
      <c r="B4172" s="34" t="inlineStr">
        <is>
          <t>Region Nord</t>
        </is>
      </c>
      <c r="C4172" s="34" t="inlineStr">
        <is>
          <t>Silsand ungdomssenter miljøavdeling</t>
        </is>
      </c>
      <c r="D4172" s="18" t="n"/>
      <c r="E4172" s="18" t="n"/>
      <c r="F4172" s="18" t="n"/>
      <c r="G4172" s="18" t="n"/>
      <c r="H4172" s="18" t="n">
        <v>746792</v>
      </c>
      <c r="I4172" s="18" t="n">
        <v>2767643</v>
      </c>
      <c r="J4172" s="19" t="n">
        <v>3139129.881674999</v>
      </c>
      <c r="K4172" s="35" t="n">
        <v>0.065</v>
      </c>
    </row>
    <row r="4173">
      <c r="A4173" s="36" t="inlineStr">
        <is>
          <t>Lønn vikarer</t>
        </is>
      </c>
      <c r="B4173" s="36" t="inlineStr">
        <is>
          <t>Region Nord</t>
        </is>
      </c>
      <c r="C4173" s="36" t="inlineStr">
        <is>
          <t>Solbakken barne- og familiesenter avd. 1 foreldre og barn</t>
        </is>
      </c>
      <c r="D4173" s="26" t="n">
        <v>-32924</v>
      </c>
      <c r="E4173" s="26" t="n"/>
      <c r="F4173" s="26" t="n"/>
      <c r="G4173" s="26" t="n">
        <v>522</v>
      </c>
      <c r="H4173" s="26" t="n"/>
      <c r="I4173" s="26" t="n"/>
      <c r="J4173" s="19" t="n">
        <v>0</v>
      </c>
      <c r="K4173" s="37" t="n">
        <v>0.065</v>
      </c>
    </row>
    <row r="4174">
      <c r="A4174" s="34" t="inlineStr">
        <is>
          <t>Lønn vikarer</t>
        </is>
      </c>
      <c r="B4174" s="34" t="inlineStr">
        <is>
          <t>Region Nord</t>
        </is>
      </c>
      <c r="C4174" s="34" t="inlineStr">
        <is>
          <t>Sollia barne- og ungdomssenter adm</t>
        </is>
      </c>
      <c r="D4174" s="18" t="n">
        <v>181142</v>
      </c>
      <c r="E4174" s="18" t="n">
        <v>16060</v>
      </c>
      <c r="F4174" s="18" t="n"/>
      <c r="G4174" s="18" t="n"/>
      <c r="H4174" s="18" t="n"/>
      <c r="I4174" s="18" t="n"/>
      <c r="J4174" s="19" t="n">
        <v>0</v>
      </c>
      <c r="K4174" s="35" t="n">
        <v>0.065</v>
      </c>
    </row>
    <row r="4175">
      <c r="A4175" s="36" t="inlineStr">
        <is>
          <t>Lønn vikarer</t>
        </is>
      </c>
      <c r="B4175" s="36" t="inlineStr">
        <is>
          <t>Region Nord</t>
        </is>
      </c>
      <c r="C4175" s="36" t="inlineStr">
        <is>
          <t>Sollia barne- og ungdomssenter miljøavdeling</t>
        </is>
      </c>
      <c r="D4175" s="26" t="n">
        <v>1870275</v>
      </c>
      <c r="E4175" s="26" t="n">
        <v>2577136</v>
      </c>
      <c r="F4175" s="26" t="n">
        <v>4208483</v>
      </c>
      <c r="G4175" s="26" t="n">
        <v>4049369</v>
      </c>
      <c r="H4175" s="26" t="n">
        <v>4631375</v>
      </c>
      <c r="I4175" s="26" t="n">
        <v>4792501</v>
      </c>
      <c r="J4175" s="19" t="n">
        <v>6982724.53321126</v>
      </c>
      <c r="K4175" s="37" t="n">
        <v>0.2070669215904528</v>
      </c>
    </row>
    <row r="4176">
      <c r="A4176" s="34" t="inlineStr">
        <is>
          <t>Lønn vikarer</t>
        </is>
      </c>
      <c r="B4176" s="34" t="inlineStr">
        <is>
          <t>Region Nord</t>
        </is>
      </c>
      <c r="C4176" s="34" t="inlineStr">
        <is>
          <t>Tromsø ungdomssenter Fjære</t>
        </is>
      </c>
      <c r="D4176" s="18" t="n">
        <v>2617418</v>
      </c>
      <c r="E4176" s="18" t="n">
        <v>1862394</v>
      </c>
      <c r="F4176" s="18" t="n">
        <v>1851081</v>
      </c>
      <c r="G4176" s="18" t="n">
        <v>1959714</v>
      </c>
      <c r="H4176" s="18" t="n">
        <v>1795255</v>
      </c>
      <c r="I4176" s="18" t="n">
        <v>1864854</v>
      </c>
      <c r="J4176" s="19" t="n">
        <v>1628371.666533328</v>
      </c>
      <c r="K4176" s="35" t="n">
        <v>-0.0655536965817477</v>
      </c>
    </row>
    <row r="4177">
      <c r="A4177" s="36" t="inlineStr">
        <is>
          <t>Lønn vikarer</t>
        </is>
      </c>
      <c r="B4177" s="36" t="inlineStr">
        <is>
          <t>Region Nord</t>
        </is>
      </c>
      <c r="C4177" s="36" t="inlineStr">
        <is>
          <t>Tromsø ungdomssenter Flo</t>
        </is>
      </c>
      <c r="D4177" s="26" t="n">
        <v>1813628</v>
      </c>
      <c r="E4177" s="26" t="n">
        <v>1759065</v>
      </c>
      <c r="F4177" s="26" t="n">
        <v>1653710</v>
      </c>
      <c r="G4177" s="26" t="n">
        <v>2067228</v>
      </c>
      <c r="H4177" s="26" t="n">
        <v>1826585</v>
      </c>
      <c r="I4177" s="26" t="n">
        <v>1889049</v>
      </c>
      <c r="J4177" s="19" t="n">
        <v>1920088.41674564</v>
      </c>
      <c r="K4177" s="37" t="n">
        <v>0.008182146045821348</v>
      </c>
    </row>
    <row r="4178">
      <c r="A4178" s="34" t="inlineStr">
        <is>
          <t>Lønn vikarer</t>
        </is>
      </c>
      <c r="B4178" s="34" t="inlineStr">
        <is>
          <t>Region Nord</t>
        </is>
      </c>
      <c r="C4178" s="34" t="inlineStr">
        <is>
          <t>Vadsø ungdomssenter avdeling 1</t>
        </is>
      </c>
      <c r="D4178" s="18" t="n">
        <v>993235</v>
      </c>
      <c r="E4178" s="18" t="n">
        <v>335578</v>
      </c>
      <c r="F4178" s="18" t="n">
        <v>97286</v>
      </c>
      <c r="G4178" s="18" t="n"/>
      <c r="H4178" s="18" t="n"/>
      <c r="I4178" s="18" t="n"/>
      <c r="J4178" s="19" t="n">
        <v>0</v>
      </c>
      <c r="K4178" s="35" t="n">
        <v>0.065</v>
      </c>
    </row>
    <row r="4179">
      <c r="A4179" s="36" t="inlineStr">
        <is>
          <t>Lønn vikarer</t>
        </is>
      </c>
      <c r="B4179" s="36" t="inlineStr">
        <is>
          <t>Region Nord</t>
        </is>
      </c>
      <c r="C4179" s="36" t="inlineStr">
        <is>
          <t>Yttrabekken ungdomssenter avdeling 1</t>
        </is>
      </c>
      <c r="D4179" s="26" t="n">
        <v>2253772</v>
      </c>
      <c r="E4179" s="26" t="n">
        <v>2921402</v>
      </c>
      <c r="F4179" s="26" t="n">
        <v>1994912</v>
      </c>
      <c r="G4179" s="26" t="n">
        <v>2242384</v>
      </c>
      <c r="H4179" s="26" t="n">
        <v>1761466</v>
      </c>
      <c r="I4179" s="26" t="n">
        <v>1958530</v>
      </c>
      <c r="J4179" s="19" t="n">
        <v>1851562.293695879</v>
      </c>
      <c r="K4179" s="37" t="n">
        <v>-0.02769157290559088</v>
      </c>
    </row>
    <row r="4180">
      <c r="A4180" s="34" t="inlineStr">
        <is>
          <t>Lønn vikarer</t>
        </is>
      </c>
      <c r="B4180" s="34" t="inlineStr">
        <is>
          <t>Region Sør</t>
        </is>
      </c>
      <c r="C4180" s="34" t="inlineStr">
        <is>
          <t>Avdeling Barkåker</t>
        </is>
      </c>
      <c r="D4180" s="18" t="n">
        <v>4804849</v>
      </c>
      <c r="E4180" s="18" t="n">
        <v>19384</v>
      </c>
      <c r="F4180" s="18" t="n"/>
      <c r="G4180" s="18" t="n"/>
      <c r="H4180" s="18" t="n"/>
      <c r="I4180" s="18" t="n"/>
      <c r="J4180" s="19" t="n">
        <v>0</v>
      </c>
      <c r="K4180" s="35" t="n">
        <v>0.065</v>
      </c>
    </row>
    <row r="4181">
      <c r="A4181" s="36" t="inlineStr">
        <is>
          <t>Lønn vikarer</t>
        </is>
      </c>
      <c r="B4181" s="36" t="inlineStr">
        <is>
          <t>Region Sør</t>
        </is>
      </c>
      <c r="C4181" s="36" t="inlineStr">
        <is>
          <t>Avdeling Familiebehandling</t>
        </is>
      </c>
      <c r="D4181" s="26" t="n">
        <v>-8713</v>
      </c>
      <c r="E4181" s="26" t="n"/>
      <c r="F4181" s="26" t="n"/>
      <c r="G4181" s="26" t="n"/>
      <c r="H4181" s="26" t="n"/>
      <c r="I4181" s="26" t="n"/>
      <c r="J4181" s="19" t="n">
        <v>0</v>
      </c>
      <c r="K4181" s="37" t="n">
        <v>0.065</v>
      </c>
    </row>
    <row r="4182">
      <c r="A4182" s="34" t="inlineStr">
        <is>
          <t>Lønn vikarer</t>
        </is>
      </c>
      <c r="B4182" s="34" t="inlineStr">
        <is>
          <t>Region Sør</t>
        </is>
      </c>
      <c r="C4182" s="34" t="inlineStr">
        <is>
          <t>Avdeling Forvaltning og Økonomioppfølging</t>
        </is>
      </c>
      <c r="D4182" s="18" t="n">
        <v>8818</v>
      </c>
      <c r="E4182" s="18" t="n"/>
      <c r="F4182" s="18" t="n"/>
      <c r="G4182" s="18" t="n"/>
      <c r="H4182" s="18" t="n">
        <v>85945</v>
      </c>
      <c r="I4182" s="18" t="n"/>
      <c r="J4182" s="19" t="n">
        <v>0</v>
      </c>
      <c r="K4182" s="35" t="n">
        <v>0.065</v>
      </c>
    </row>
    <row r="4183">
      <c r="A4183" s="36" t="inlineStr">
        <is>
          <t>Lønn vikarer</t>
        </is>
      </c>
      <c r="B4183" s="36" t="inlineStr">
        <is>
          <t>Region Sør</t>
        </is>
      </c>
      <c r="C4183" s="36" t="inlineStr">
        <is>
          <t>Avdeling Furuly</t>
        </is>
      </c>
      <c r="D4183" s="26" t="n">
        <v>3037632</v>
      </c>
      <c r="E4183" s="26" t="n">
        <v>3531503</v>
      </c>
      <c r="F4183" s="26" t="n">
        <v>-19353</v>
      </c>
      <c r="G4183" s="26" t="n"/>
      <c r="H4183" s="26" t="n"/>
      <c r="I4183" s="26" t="n"/>
      <c r="J4183" s="19" t="n">
        <v>0</v>
      </c>
      <c r="K4183" s="37" t="n">
        <v>0.065</v>
      </c>
    </row>
    <row r="4184">
      <c r="A4184" s="34" t="inlineStr">
        <is>
          <t>Lønn vikarer</t>
        </is>
      </c>
      <c r="B4184" s="34" t="inlineStr">
        <is>
          <t>Region Sør</t>
        </is>
      </c>
      <c r="C4184" s="34" t="inlineStr">
        <is>
          <t>Avdeling Geithus</t>
        </is>
      </c>
      <c r="D4184" s="18" t="n">
        <v>2444560</v>
      </c>
      <c r="E4184" s="18" t="n">
        <v>1523130</v>
      </c>
      <c r="F4184" s="18" t="n">
        <v>1526876</v>
      </c>
      <c r="G4184" s="18" t="n">
        <v>17961</v>
      </c>
      <c r="H4184" s="18" t="n"/>
      <c r="I4184" s="18" t="n"/>
      <c r="J4184" s="19" t="n">
        <v>0</v>
      </c>
      <c r="K4184" s="35" t="n">
        <v>0.065</v>
      </c>
    </row>
    <row r="4185">
      <c r="A4185" s="36" t="inlineStr">
        <is>
          <t>Lønn vikarer</t>
        </is>
      </c>
      <c r="B4185" s="36" t="inlineStr">
        <is>
          <t>Region Sør</t>
        </is>
      </c>
      <c r="C4185" s="36" t="inlineStr">
        <is>
          <t>Avdeling Gemini</t>
        </is>
      </c>
      <c r="D4185" s="26" t="n">
        <v>1742681</v>
      </c>
      <c r="E4185" s="26" t="n">
        <v>2261072</v>
      </c>
      <c r="F4185" s="26" t="n">
        <v>59089</v>
      </c>
      <c r="G4185" s="26" t="n"/>
      <c r="H4185" s="26" t="n"/>
      <c r="I4185" s="26" t="n"/>
      <c r="J4185" s="19" t="n">
        <v>0</v>
      </c>
      <c r="K4185" s="37" t="n">
        <v>0.065</v>
      </c>
    </row>
    <row r="4186">
      <c r="A4186" s="34" t="inlineStr">
        <is>
          <t>Lønn vikarer</t>
        </is>
      </c>
      <c r="B4186" s="34" t="inlineStr">
        <is>
          <t>Region Sør</t>
        </is>
      </c>
      <c r="C4186" s="34" t="inlineStr">
        <is>
          <t>Avdeling Kjørbekk</t>
        </is>
      </c>
      <c r="D4186" s="18" t="n">
        <v>1629972</v>
      </c>
      <c r="E4186" s="18" t="n">
        <v>1529458</v>
      </c>
      <c r="F4186" s="18" t="n">
        <v>1950312</v>
      </c>
      <c r="G4186" s="18" t="n">
        <v>2282716</v>
      </c>
      <c r="H4186" s="18" t="n">
        <v>2676670</v>
      </c>
      <c r="I4186" s="18" t="n">
        <v>2751822</v>
      </c>
      <c r="J4186" s="19" t="n">
        <v>3393098.100989322</v>
      </c>
      <c r="K4186" s="35" t="n">
        <v>0.1104219521893195</v>
      </c>
    </row>
    <row r="4187">
      <c r="A4187" s="36" t="inlineStr">
        <is>
          <t>Lønn vikarer</t>
        </is>
      </c>
      <c r="B4187" s="36" t="inlineStr">
        <is>
          <t>Region Sør</t>
        </is>
      </c>
      <c r="C4187" s="36" t="inlineStr">
        <is>
          <t>Avdeling Larønningen</t>
        </is>
      </c>
      <c r="D4187" s="26" t="n">
        <v>1459271</v>
      </c>
      <c r="E4187" s="26" t="n">
        <v>892714</v>
      </c>
      <c r="F4187" s="26" t="n"/>
      <c r="G4187" s="26" t="n"/>
      <c r="H4187" s="26" t="n"/>
      <c r="I4187" s="26" t="n"/>
      <c r="J4187" s="19" t="n">
        <v>0</v>
      </c>
      <c r="K4187" s="37" t="n">
        <v>0.065</v>
      </c>
    </row>
    <row r="4188">
      <c r="A4188" s="34" t="inlineStr">
        <is>
          <t>Lønn vikarer</t>
        </is>
      </c>
      <c r="B4188" s="34" t="inlineStr">
        <is>
          <t>Region Sør</t>
        </is>
      </c>
      <c r="C4188" s="34" t="inlineStr">
        <is>
          <t>Avdeling Miljøheimen</t>
        </is>
      </c>
      <c r="D4188" s="18" t="n">
        <v>1687231</v>
      </c>
      <c r="E4188" s="18" t="n">
        <v>1391636</v>
      </c>
      <c r="F4188" s="18" t="n">
        <v>1516188</v>
      </c>
      <c r="G4188" s="18" t="n">
        <v>1889648</v>
      </c>
      <c r="H4188" s="18" t="n">
        <v>2449591</v>
      </c>
      <c r="I4188" s="18" t="n">
        <v>2416513</v>
      </c>
      <c r="J4188" s="19" t="n">
        <v>2789940.694895983</v>
      </c>
      <c r="K4188" s="35" t="n">
        <v>0.07449133587237311</v>
      </c>
    </row>
    <row r="4189">
      <c r="A4189" s="36" t="inlineStr">
        <is>
          <t>Lønn vikarer</t>
        </is>
      </c>
      <c r="B4189" s="36" t="inlineStr">
        <is>
          <t>Region Sør</t>
        </is>
      </c>
      <c r="C4189" s="36" t="inlineStr">
        <is>
          <t>Avdeling Nes</t>
        </is>
      </c>
      <c r="D4189" s="26" t="n">
        <v>2288341</v>
      </c>
      <c r="E4189" s="26" t="n">
        <v>2223952</v>
      </c>
      <c r="F4189" s="26" t="n">
        <v>2333621</v>
      </c>
      <c r="G4189" s="26" t="n">
        <v>2674327</v>
      </c>
      <c r="H4189" s="26" t="n">
        <v>2577337</v>
      </c>
      <c r="I4189" s="26" t="n">
        <v>3560688</v>
      </c>
      <c r="J4189" s="19" t="n">
        <v>4249513.29738764</v>
      </c>
      <c r="K4189" s="37" t="n">
        <v>0.09245268349648295</v>
      </c>
    </row>
    <row r="4190">
      <c r="A4190" s="34" t="inlineStr">
        <is>
          <t>Lønn vikarer</t>
        </is>
      </c>
      <c r="B4190" s="34" t="inlineStr">
        <is>
          <t>Region Sør</t>
        </is>
      </c>
      <c r="C4190" s="34" t="inlineStr">
        <is>
          <t>Avdeling Nyli</t>
        </is>
      </c>
      <c r="D4190" s="18" t="n">
        <v>2450057</v>
      </c>
      <c r="E4190" s="18" t="n">
        <v>1202350</v>
      </c>
      <c r="F4190" s="18" t="n">
        <v>6677</v>
      </c>
      <c r="G4190" s="18" t="n"/>
      <c r="H4190" s="18" t="n"/>
      <c r="I4190" s="18" t="n"/>
      <c r="J4190" s="19" t="n">
        <v>0</v>
      </c>
      <c r="K4190" s="35" t="n">
        <v>0.065</v>
      </c>
    </row>
    <row r="4191">
      <c r="A4191" s="36" t="inlineStr">
        <is>
          <t>Lønn vikarer</t>
        </is>
      </c>
      <c r="B4191" s="36" t="inlineStr">
        <is>
          <t>Region Sør</t>
        </is>
      </c>
      <c r="C4191" s="36" t="inlineStr">
        <is>
          <t>Avdeling Orion</t>
        </is>
      </c>
      <c r="D4191" s="26" t="n">
        <v>1898425</v>
      </c>
      <c r="E4191" s="26" t="n">
        <v>1601456</v>
      </c>
      <c r="F4191" s="26" t="n">
        <v>188839</v>
      </c>
      <c r="G4191" s="26" t="n"/>
      <c r="H4191" s="26" t="n"/>
      <c r="I4191" s="26" t="n"/>
      <c r="J4191" s="19" t="n">
        <v>0</v>
      </c>
      <c r="K4191" s="37" t="n">
        <v>0.065</v>
      </c>
    </row>
    <row r="4192">
      <c r="A4192" s="34" t="inlineStr">
        <is>
          <t>Lønn vikarer</t>
        </is>
      </c>
      <c r="B4192" s="34" t="inlineStr">
        <is>
          <t>Region Sør</t>
        </is>
      </c>
      <c r="C4192" s="34" t="inlineStr">
        <is>
          <t>Avdeling Skomrak</t>
        </is>
      </c>
      <c r="D4192" s="18" t="n">
        <v>2495244</v>
      </c>
      <c r="E4192" s="18" t="n">
        <v>1571021</v>
      </c>
      <c r="F4192" s="18" t="n">
        <v>1749653</v>
      </c>
      <c r="G4192" s="18" t="n">
        <v>2782773</v>
      </c>
      <c r="H4192" s="18" t="n">
        <v>3168533</v>
      </c>
      <c r="I4192" s="18" t="n">
        <v>2708162</v>
      </c>
      <c r="J4192" s="19" t="n">
        <v>2798332.316264714</v>
      </c>
      <c r="K4192" s="35" t="n">
        <v>0.01651156490091332</v>
      </c>
    </row>
    <row r="4193">
      <c r="A4193" s="36" t="inlineStr">
        <is>
          <t>Lønn vikarer</t>
        </is>
      </c>
      <c r="B4193" s="36" t="inlineStr">
        <is>
          <t>Region Sør</t>
        </is>
      </c>
      <c r="C4193" s="36" t="inlineStr">
        <is>
          <t>Avdeling Vestre Kjenner</t>
        </is>
      </c>
      <c r="D4193" s="26" t="n">
        <v>1248866</v>
      </c>
      <c r="E4193" s="26" t="n">
        <v>1258018</v>
      </c>
      <c r="F4193" s="26" t="n">
        <v>319100</v>
      </c>
      <c r="G4193" s="26" t="n"/>
      <c r="H4193" s="26" t="n"/>
      <c r="I4193" s="26" t="n"/>
      <c r="J4193" s="19" t="n">
        <v>0</v>
      </c>
      <c r="K4193" s="37" t="n">
        <v>0.065</v>
      </c>
    </row>
    <row r="4194">
      <c r="A4194" s="34" t="inlineStr">
        <is>
          <t>Lønn vikarer</t>
        </is>
      </c>
      <c r="B4194" s="34" t="inlineStr">
        <is>
          <t>Region Sør</t>
        </is>
      </c>
      <c r="C4194" s="34" t="inlineStr">
        <is>
          <t>BVT behandling ungdom Adm</t>
        </is>
      </c>
      <c r="D4194" s="18" t="n">
        <v>2084</v>
      </c>
      <c r="E4194" s="18" t="n"/>
      <c r="F4194" s="18" t="n">
        <v>42759</v>
      </c>
      <c r="G4194" s="18" t="n"/>
      <c r="H4194" s="18" t="n"/>
      <c r="I4194" s="18" t="n"/>
      <c r="J4194" s="19" t="n">
        <v>0</v>
      </c>
      <c r="K4194" s="35" t="n">
        <v>0.065</v>
      </c>
    </row>
    <row r="4195">
      <c r="A4195" s="36" t="inlineStr">
        <is>
          <t>Lønn vikarer</t>
        </is>
      </c>
      <c r="B4195" s="36" t="inlineStr">
        <is>
          <t>Region Sør</t>
        </is>
      </c>
      <c r="C4195" s="36" t="inlineStr">
        <is>
          <t>Barkåker.</t>
        </is>
      </c>
      <c r="D4195" s="26" t="n"/>
      <c r="E4195" s="26" t="n">
        <v>3064907</v>
      </c>
      <c r="F4195" s="26" t="n">
        <v>4714708</v>
      </c>
      <c r="G4195" s="26" t="n">
        <v>6401164</v>
      </c>
      <c r="H4195" s="26" t="n">
        <v>4421978</v>
      </c>
      <c r="I4195" s="26" t="n">
        <v>2735210</v>
      </c>
      <c r="J4195" s="19" t="n">
        <v>2583909.881906216</v>
      </c>
      <c r="K4195" s="37" t="n">
        <v>-0.02805129907791371</v>
      </c>
    </row>
    <row r="4196">
      <c r="A4196" s="34" t="inlineStr">
        <is>
          <t>Lønn vikarer</t>
        </is>
      </c>
      <c r="B4196" s="34" t="inlineStr">
        <is>
          <t>Region Sør</t>
        </is>
      </c>
      <c r="C4196" s="34" t="inlineStr">
        <is>
          <t>Furuly</t>
        </is>
      </c>
      <c r="D4196" s="18" t="n"/>
      <c r="E4196" s="18" t="n"/>
      <c r="F4196" s="18" t="n">
        <v>2642730</v>
      </c>
      <c r="G4196" s="18" t="n">
        <v>3659896</v>
      </c>
      <c r="H4196" s="18" t="n">
        <v>5177466</v>
      </c>
      <c r="I4196" s="18" t="n">
        <v>5166921</v>
      </c>
      <c r="J4196" s="19" t="n">
        <v>5860450.971224999</v>
      </c>
      <c r="K4196" s="35" t="n">
        <v>0.065</v>
      </c>
    </row>
    <row r="4197">
      <c r="A4197" s="36" t="inlineStr">
        <is>
          <t>Lønn vikarer</t>
        </is>
      </c>
      <c r="B4197" s="36" t="inlineStr">
        <is>
          <t>Region Sør</t>
        </is>
      </c>
      <c r="C4197" s="36" t="inlineStr">
        <is>
          <t>Ilaug</t>
        </is>
      </c>
      <c r="D4197" s="26" t="n">
        <v>2527155</v>
      </c>
      <c r="E4197" s="26" t="n">
        <v>1300129</v>
      </c>
      <c r="F4197" s="26" t="n">
        <v>1451</v>
      </c>
      <c r="G4197" s="26" t="n"/>
      <c r="H4197" s="26" t="n"/>
      <c r="I4197" s="26" t="n"/>
      <c r="J4197" s="19" t="n">
        <v>0</v>
      </c>
      <c r="K4197" s="37" t="n">
        <v>0.065</v>
      </c>
    </row>
    <row r="4198">
      <c r="A4198" s="34" t="inlineStr">
        <is>
          <t>Lønn vikarer</t>
        </is>
      </c>
      <c r="B4198" s="34" t="inlineStr">
        <is>
          <t>Region Sør</t>
        </is>
      </c>
      <c r="C4198" s="34" t="inlineStr">
        <is>
          <t>Justøya</t>
        </is>
      </c>
      <c r="D4198" s="18" t="n"/>
      <c r="E4198" s="18" t="n"/>
      <c r="F4198" s="18" t="n"/>
      <c r="G4198" s="18" t="n"/>
      <c r="H4198" s="18" t="n"/>
      <c r="I4198" s="18" t="n">
        <v>311130</v>
      </c>
      <c r="J4198" s="19" t="n">
        <v>352891.4242499999</v>
      </c>
      <c r="K4198" s="35" t="n">
        <v>0.065</v>
      </c>
    </row>
    <row r="4199">
      <c r="A4199" s="36" t="inlineStr">
        <is>
          <t>Lønn vikarer</t>
        </is>
      </c>
      <c r="B4199" s="36" t="inlineStr">
        <is>
          <t>Region Sør</t>
        </is>
      </c>
      <c r="C4199" s="36" t="inlineStr">
        <is>
          <t>Kantum</t>
        </is>
      </c>
      <c r="D4199" s="26" t="n">
        <v>818926</v>
      </c>
      <c r="E4199" s="26" t="n">
        <v>813723</v>
      </c>
      <c r="F4199" s="26" t="n">
        <v>868637</v>
      </c>
      <c r="G4199" s="26" t="n">
        <v>1159830</v>
      </c>
      <c r="H4199" s="26" t="n">
        <v>1301868</v>
      </c>
      <c r="I4199" s="26" t="n">
        <v>1150267</v>
      </c>
      <c r="J4199" s="19" t="n">
        <v>1317711.271426815</v>
      </c>
      <c r="K4199" s="37" t="n">
        <v>0.07031299942913627</v>
      </c>
    </row>
    <row r="4200">
      <c r="A4200" s="34" t="inlineStr">
        <is>
          <t>Lønn vikarer</t>
        </is>
      </c>
      <c r="B4200" s="34" t="inlineStr">
        <is>
          <t>Region Sør</t>
        </is>
      </c>
      <c r="C4200" s="34" t="inlineStr">
        <is>
          <t>Katfoss</t>
        </is>
      </c>
      <c r="D4200" s="18" t="n"/>
      <c r="E4200" s="18" t="n"/>
      <c r="F4200" s="18" t="n"/>
      <c r="G4200" s="18" t="n"/>
      <c r="H4200" s="18" t="n">
        <v>307777</v>
      </c>
      <c r="I4200" s="18" t="n">
        <v>2383653</v>
      </c>
      <c r="J4200" s="19" t="n">
        <v>2703598.823925</v>
      </c>
      <c r="K4200" s="35" t="n">
        <v>0.065</v>
      </c>
    </row>
    <row r="4201">
      <c r="A4201" s="36" t="inlineStr">
        <is>
          <t>Lønn vikarer</t>
        </is>
      </c>
      <c r="B4201" s="36" t="inlineStr">
        <is>
          <t>Region Sør</t>
        </is>
      </c>
      <c r="C4201" s="36" t="inlineStr">
        <is>
          <t>Klokkerhuset</t>
        </is>
      </c>
      <c r="D4201" s="26" t="n">
        <v>2708401</v>
      </c>
      <c r="E4201" s="26" t="n">
        <v>2037592</v>
      </c>
      <c r="F4201" s="26" t="n">
        <v>3020822</v>
      </c>
      <c r="G4201" s="26" t="n">
        <v>4034221</v>
      </c>
      <c r="H4201" s="26" t="n">
        <v>4913582</v>
      </c>
      <c r="I4201" s="26" t="n">
        <v>5669015</v>
      </c>
      <c r="J4201" s="19" t="n">
        <v>7617728.013568878</v>
      </c>
      <c r="K4201" s="37" t="n">
        <v>0.1592014831591715</v>
      </c>
    </row>
    <row r="4202">
      <c r="A4202" s="34" t="inlineStr">
        <is>
          <t>Lønn vikarer</t>
        </is>
      </c>
      <c r="B4202" s="34" t="inlineStr">
        <is>
          <t>Region Sør</t>
        </is>
      </c>
      <c r="C4202" s="34" t="inlineStr">
        <is>
          <t>Knuten</t>
        </is>
      </c>
      <c r="D4202" s="18" t="n"/>
      <c r="E4202" s="18" t="n"/>
      <c r="F4202" s="18" t="n">
        <v>1182960</v>
      </c>
      <c r="G4202" s="18" t="n">
        <v>1171310</v>
      </c>
      <c r="H4202" s="18" t="n">
        <v>1066726</v>
      </c>
      <c r="I4202" s="18" t="n">
        <v>1684560</v>
      </c>
      <c r="J4202" s="19" t="n">
        <v>1910670.066</v>
      </c>
      <c r="K4202" s="35" t="n">
        <v>0.065</v>
      </c>
    </row>
    <row r="4203">
      <c r="A4203" s="36" t="inlineStr">
        <is>
          <t>Lønn vikarer</t>
        </is>
      </c>
      <c r="B4203" s="36" t="inlineStr">
        <is>
          <t>Region Sør</t>
        </is>
      </c>
      <c r="C4203" s="36" t="inlineStr">
        <is>
          <t>Lerketoppen</t>
        </is>
      </c>
      <c r="D4203" s="26" t="n"/>
      <c r="E4203" s="26" t="n"/>
      <c r="F4203" s="26" t="n"/>
      <c r="G4203" s="26" t="n"/>
      <c r="H4203" s="26" t="n">
        <v>41003</v>
      </c>
      <c r="I4203" s="26" t="n">
        <v>2519925</v>
      </c>
      <c r="J4203" s="19" t="n">
        <v>2858161.933125</v>
      </c>
      <c r="K4203" s="37" t="n">
        <v>0.065</v>
      </c>
    </row>
    <row r="4204">
      <c r="A4204" s="34" t="inlineStr">
        <is>
          <t>Lønn vikarer</t>
        </is>
      </c>
      <c r="B4204" s="34" t="inlineStr">
        <is>
          <t>Region Sør</t>
        </is>
      </c>
      <c r="C4204" s="34" t="inlineStr">
        <is>
          <t>Lunde behandlingssenter</t>
        </is>
      </c>
      <c r="D4204" s="18" t="n">
        <v>2105825</v>
      </c>
      <c r="E4204" s="18" t="n">
        <v>1412461</v>
      </c>
      <c r="F4204" s="18" t="n">
        <v>1812276</v>
      </c>
      <c r="G4204" s="18" t="n">
        <v>2468569</v>
      </c>
      <c r="H4204" s="18" t="n">
        <v>3182436</v>
      </c>
      <c r="I4204" s="18" t="n">
        <v>4289039</v>
      </c>
      <c r="J4204" s="19" t="n">
        <v>5700790.515726021</v>
      </c>
      <c r="K4204" s="35" t="n">
        <v>0.1528891277190161</v>
      </c>
    </row>
    <row r="4205">
      <c r="A4205" s="36" t="inlineStr">
        <is>
          <t>Lønn vikarer</t>
        </is>
      </c>
      <c r="B4205" s="36" t="inlineStr">
        <is>
          <t>Region Sør</t>
        </is>
      </c>
      <c r="C4205" s="36" t="inlineStr">
        <is>
          <t>Mynten</t>
        </is>
      </c>
      <c r="D4205" s="26" t="n"/>
      <c r="E4205" s="26" t="n"/>
      <c r="F4205" s="26" t="n">
        <v>1961930</v>
      </c>
      <c r="G4205" s="26" t="n">
        <v>1518244</v>
      </c>
      <c r="H4205" s="26" t="n">
        <v>1356788</v>
      </c>
      <c r="I4205" s="26" t="n">
        <v>2381652</v>
      </c>
      <c r="J4205" s="19" t="n">
        <v>2701329.239699999</v>
      </c>
      <c r="K4205" s="37" t="n">
        <v>0.065</v>
      </c>
    </row>
    <row r="4206">
      <c r="A4206" s="34" t="inlineStr">
        <is>
          <t>Lønn vikarer</t>
        </is>
      </c>
      <c r="B4206" s="34" t="inlineStr">
        <is>
          <t>Region Sør</t>
        </is>
      </c>
      <c r="C4206" s="34" t="inlineStr">
        <is>
          <t>Nye Toppen</t>
        </is>
      </c>
      <c r="D4206" s="18" t="n">
        <v>2289330</v>
      </c>
      <c r="E4206" s="18" t="n">
        <v>2218347</v>
      </c>
      <c r="F4206" s="18" t="n">
        <v>1497285</v>
      </c>
      <c r="G4206" s="18" t="n">
        <v>2313953</v>
      </c>
      <c r="H4206" s="18" t="n">
        <v>4236945</v>
      </c>
      <c r="I4206" s="18" t="n">
        <v>4681560</v>
      </c>
      <c r="J4206" s="19" t="n">
        <v>6232516.996404237</v>
      </c>
      <c r="K4206" s="35" t="n">
        <v>0.1538156860587734</v>
      </c>
    </row>
    <row r="4207">
      <c r="A4207" s="36" t="inlineStr">
        <is>
          <t>Lønn vikarer</t>
        </is>
      </c>
      <c r="B4207" s="36" t="inlineStr">
        <is>
          <t>Region Sør</t>
        </is>
      </c>
      <c r="C4207" s="36" t="inlineStr">
        <is>
          <t>Nyhuset</t>
        </is>
      </c>
      <c r="D4207" s="26" t="n"/>
      <c r="E4207" s="26" t="n"/>
      <c r="F4207" s="26" t="n"/>
      <c r="G4207" s="26" t="n">
        <v>2802958</v>
      </c>
      <c r="H4207" s="26" t="n">
        <v>3557047</v>
      </c>
      <c r="I4207" s="26" t="n">
        <v>3430321</v>
      </c>
      <c r="J4207" s="19" t="n">
        <v>3890755.836224999</v>
      </c>
      <c r="K4207" s="37" t="n">
        <v>0.065</v>
      </c>
    </row>
    <row r="4208">
      <c r="A4208" s="34" t="inlineStr">
        <is>
          <t>Lønn vikarer</t>
        </is>
      </c>
      <c r="B4208" s="34" t="inlineStr">
        <is>
          <t>Region Sør</t>
        </is>
      </c>
      <c r="C4208" s="34" t="inlineStr">
        <is>
          <t>Skjerfheimkollektivet</t>
        </is>
      </c>
      <c r="D4208" s="18" t="n">
        <v>2764110</v>
      </c>
      <c r="E4208" s="18" t="n">
        <v>2161898</v>
      </c>
      <c r="F4208" s="18" t="n">
        <v>3430959</v>
      </c>
      <c r="G4208" s="18" t="n">
        <v>281345</v>
      </c>
      <c r="H4208" s="18" t="n"/>
      <c r="I4208" s="18" t="n"/>
      <c r="J4208" s="19" t="n">
        <v>0</v>
      </c>
      <c r="K4208" s="35" t="n">
        <v>0.065</v>
      </c>
    </row>
    <row r="4209">
      <c r="A4209" s="36" t="inlineStr">
        <is>
          <t>Lønn vikarer</t>
        </is>
      </c>
      <c r="B4209" s="36" t="inlineStr">
        <is>
          <t>Region Sør</t>
        </is>
      </c>
      <c r="C4209" s="36" t="inlineStr">
        <is>
          <t>St.Hansgården</t>
        </is>
      </c>
      <c r="D4209" s="26" t="n">
        <v>3065921</v>
      </c>
      <c r="E4209" s="26" t="n">
        <v>1753241</v>
      </c>
      <c r="F4209" s="26" t="n">
        <v>2995629</v>
      </c>
      <c r="G4209" s="26" t="n">
        <v>4229674</v>
      </c>
      <c r="H4209" s="26" t="n">
        <v>4880565</v>
      </c>
      <c r="I4209" s="26" t="n">
        <v>4562022</v>
      </c>
      <c r="J4209" s="19" t="n">
        <v>5348055.940999556</v>
      </c>
      <c r="K4209" s="37" t="n">
        <v>0.08272778806356373</v>
      </c>
    </row>
    <row r="4210">
      <c r="A4210" s="34" t="inlineStr">
        <is>
          <t>Lønn vikarer</t>
        </is>
      </c>
      <c r="B4210" s="34" t="inlineStr">
        <is>
          <t>Region Sør</t>
        </is>
      </c>
      <c r="C4210" s="34" t="inlineStr">
        <is>
          <t>Stokke barnesenter</t>
        </is>
      </c>
      <c r="D4210" s="18" t="n"/>
      <c r="E4210" s="18" t="n"/>
      <c r="F4210" s="18" t="n"/>
      <c r="G4210" s="18" t="n"/>
      <c r="H4210" s="18" t="n"/>
      <c r="I4210" s="18" t="n">
        <v>3950</v>
      </c>
      <c r="J4210" s="19" t="n">
        <v>4480.188749999999</v>
      </c>
      <c r="K4210" s="35" t="n">
        <v>0.065</v>
      </c>
    </row>
    <row r="4211">
      <c r="A4211" s="36" t="inlineStr">
        <is>
          <t>Lønn vikarer</t>
        </is>
      </c>
      <c r="B4211" s="36" t="inlineStr">
        <is>
          <t>Region Sør</t>
        </is>
      </c>
      <c r="C4211" s="36" t="inlineStr">
        <is>
          <t>Sundstedtråkka</t>
        </is>
      </c>
      <c r="D4211" s="26" t="n">
        <v>3104907</v>
      </c>
      <c r="E4211" s="26" t="n">
        <v>2037851</v>
      </c>
      <c r="F4211" s="26" t="n">
        <v>2950652</v>
      </c>
      <c r="G4211" s="26" t="n">
        <v>3154460</v>
      </c>
      <c r="H4211" s="26" t="n">
        <v>2862015</v>
      </c>
      <c r="I4211" s="26" t="n">
        <v>2844842</v>
      </c>
      <c r="J4211" s="19" t="n">
        <v>2747020.958590133</v>
      </c>
      <c r="K4211" s="37" t="n">
        <v>-0.01734309343147611</v>
      </c>
    </row>
    <row r="4212">
      <c r="A4212" s="34" t="inlineStr">
        <is>
          <t>Lønn vikarer</t>
        </is>
      </c>
      <c r="B4212" s="34" t="inlineStr">
        <is>
          <t>Region Sør</t>
        </is>
      </c>
      <c r="C4212" s="34" t="inlineStr">
        <is>
          <t>Svenner</t>
        </is>
      </c>
      <c r="D4212" s="18" t="n"/>
      <c r="E4212" s="18" t="n">
        <v>41145</v>
      </c>
      <c r="F4212" s="18" t="n">
        <v>1275461</v>
      </c>
      <c r="G4212" s="18" t="n">
        <v>2389720</v>
      </c>
      <c r="H4212" s="18" t="n">
        <v>2545302</v>
      </c>
      <c r="I4212" s="18" t="n">
        <v>2784191</v>
      </c>
      <c r="J4212" s="19" t="n">
        <v>4350298.4375</v>
      </c>
      <c r="K4212" s="35" t="n">
        <v>0.25</v>
      </c>
    </row>
    <row r="4213">
      <c r="A4213" s="36" t="inlineStr">
        <is>
          <t>Lønn vikarer</t>
        </is>
      </c>
      <c r="B4213" s="36" t="inlineStr">
        <is>
          <t>Region Sør</t>
        </is>
      </c>
      <c r="C4213" s="36" t="inlineStr">
        <is>
          <t>Thorøya</t>
        </is>
      </c>
      <c r="D4213" s="26" t="n">
        <v>2164460</v>
      </c>
      <c r="E4213" s="26" t="n">
        <v>2538194</v>
      </c>
      <c r="F4213" s="26" t="n">
        <v>2299809</v>
      </c>
      <c r="G4213" s="26" t="n">
        <v>2824933</v>
      </c>
      <c r="H4213" s="26" t="n">
        <v>3423946</v>
      </c>
      <c r="I4213" s="26" t="n">
        <v>2937283</v>
      </c>
      <c r="J4213" s="19" t="n">
        <v>3318824.463858921</v>
      </c>
      <c r="K4213" s="37" t="n">
        <v>0.06296568689073734</v>
      </c>
    </row>
    <row r="4214">
      <c r="A4214" s="34" t="inlineStr">
        <is>
          <t>Lønn vikarer</t>
        </is>
      </c>
      <c r="B4214" s="34" t="inlineStr">
        <is>
          <t>Region Sør</t>
        </is>
      </c>
      <c r="C4214" s="34" t="inlineStr">
        <is>
          <t>Ulabrand</t>
        </is>
      </c>
      <c r="D4214" s="18" t="n"/>
      <c r="E4214" s="18" t="n">
        <v>26103</v>
      </c>
      <c r="F4214" s="18" t="n">
        <v>1210589</v>
      </c>
      <c r="G4214" s="18" t="n">
        <v>1662681</v>
      </c>
      <c r="H4214" s="18" t="n">
        <v>2396350</v>
      </c>
      <c r="I4214" s="18" t="n">
        <v>2718594</v>
      </c>
      <c r="J4214" s="19" t="n">
        <v>4247803.125</v>
      </c>
      <c r="K4214" s="35" t="n">
        <v>0.25</v>
      </c>
    </row>
    <row r="4215">
      <c r="A4215" s="36" t="inlineStr">
        <is>
          <t>Lønn vikarer</t>
        </is>
      </c>
      <c r="B4215" s="36" t="inlineStr">
        <is>
          <t>Region Vest</t>
        </is>
      </c>
      <c r="C4215" s="36" t="inlineStr">
        <is>
          <t>Bergen Akutts. avd. Nattland</t>
        </is>
      </c>
      <c r="D4215" s="26" t="n">
        <v>1879013</v>
      </c>
      <c r="E4215" s="26" t="n">
        <v>1687320</v>
      </c>
      <c r="F4215" s="26" t="n">
        <v>1336920</v>
      </c>
      <c r="G4215" s="26" t="n">
        <v>1340615</v>
      </c>
      <c r="H4215" s="26" t="n">
        <v>1609683</v>
      </c>
      <c r="I4215" s="26" t="n">
        <v>1102981</v>
      </c>
      <c r="J4215" s="19" t="n">
        <v>891298.8166913684</v>
      </c>
      <c r="K4215" s="37" t="n">
        <v>-0.1010663261424006</v>
      </c>
    </row>
    <row r="4216">
      <c r="A4216" s="34" t="inlineStr">
        <is>
          <t>Lønn vikarer</t>
        </is>
      </c>
      <c r="B4216" s="34" t="inlineStr">
        <is>
          <t>Region Vest</t>
        </is>
      </c>
      <c r="C4216" s="34" t="inlineStr">
        <is>
          <t>Bergen Akutts. avd. Toppe</t>
        </is>
      </c>
      <c r="D4216" s="18" t="n">
        <v>1667844</v>
      </c>
      <c r="E4216" s="18" t="n">
        <v>1800405</v>
      </c>
      <c r="F4216" s="18" t="n">
        <v>1564995</v>
      </c>
      <c r="G4216" s="18" t="n">
        <v>1944444</v>
      </c>
      <c r="H4216" s="18" t="n">
        <v>1962275</v>
      </c>
      <c r="I4216" s="18" t="n">
        <v>2042935</v>
      </c>
      <c r="J4216" s="19" t="n">
        <v>2215614.494926677</v>
      </c>
      <c r="K4216" s="35" t="n">
        <v>0.0414053978518234</v>
      </c>
    </row>
    <row r="4217">
      <c r="A4217" s="36" t="inlineStr">
        <is>
          <t>Lønn vikarer</t>
        </is>
      </c>
      <c r="B4217" s="36" t="inlineStr">
        <is>
          <t>Region Vest</t>
        </is>
      </c>
      <c r="C4217" s="36" t="inlineStr">
        <is>
          <t>Bjørgvin Ungdomssenter avd. trygghet og sikkerhet</t>
        </is>
      </c>
      <c r="D4217" s="26" t="n"/>
      <c r="E4217" s="26" t="n"/>
      <c r="F4217" s="26" t="n"/>
      <c r="G4217" s="26" t="n"/>
      <c r="H4217" s="26" t="n"/>
      <c r="I4217" s="26" t="n">
        <v>648283</v>
      </c>
      <c r="J4217" s="19" t="n">
        <v>735298.7856749999</v>
      </c>
      <c r="K4217" s="37" t="n">
        <v>0.065</v>
      </c>
    </row>
    <row r="4218">
      <c r="A4218" s="34" t="inlineStr">
        <is>
          <t>Lønn vikarer</t>
        </is>
      </c>
      <c r="B4218" s="34" t="inlineStr">
        <is>
          <t>Region Vest</t>
        </is>
      </c>
      <c r="C4218" s="34" t="inlineStr">
        <is>
          <t>Bjørgvin Ungdomssenter, Bønesskogen</t>
        </is>
      </c>
      <c r="D4218" s="18" t="n">
        <v>1467965</v>
      </c>
      <c r="E4218" s="18" t="n">
        <v>1777619</v>
      </c>
      <c r="F4218" s="18" t="n">
        <v>783201</v>
      </c>
      <c r="G4218" s="18" t="n">
        <v>1541263</v>
      </c>
      <c r="H4218" s="18" t="n">
        <v>1963836</v>
      </c>
      <c r="I4218" s="18" t="n">
        <v>1774376</v>
      </c>
      <c r="J4218" s="19" t="n">
        <v>1914157.353237952</v>
      </c>
      <c r="K4218" s="35" t="n">
        <v>0.03864226393191528</v>
      </c>
    </row>
    <row r="4219">
      <c r="A4219" s="36" t="inlineStr">
        <is>
          <t>Lønn vikarer</t>
        </is>
      </c>
      <c r="B4219" s="36" t="inlineStr">
        <is>
          <t>Region Vest</t>
        </is>
      </c>
      <c r="C4219" s="36" t="inlineStr">
        <is>
          <t>Bjørgvin Ungdomssenter, Bønesstølen</t>
        </is>
      </c>
      <c r="D4219" s="26" t="n">
        <v>2094335</v>
      </c>
      <c r="E4219" s="26" t="n">
        <v>1663795</v>
      </c>
      <c r="F4219" s="26" t="n">
        <v>1178561</v>
      </c>
      <c r="G4219" s="26" t="n">
        <v>1856060</v>
      </c>
      <c r="H4219" s="26" t="n">
        <v>1791532</v>
      </c>
      <c r="I4219" s="26" t="n">
        <v>1362486</v>
      </c>
      <c r="J4219" s="19" t="n">
        <v>1147219.202107775</v>
      </c>
      <c r="K4219" s="37" t="n">
        <v>-0.08239202463440243</v>
      </c>
    </row>
    <row r="4220">
      <c r="A4220" s="34" t="inlineStr">
        <is>
          <t>Lønn vikarer</t>
        </is>
      </c>
      <c r="B4220" s="34" t="inlineStr">
        <is>
          <t>Region Vest</t>
        </is>
      </c>
      <c r="C4220" s="34" t="inlineStr">
        <is>
          <t>Bjørgvin Ungdomssenter, administrasjon</t>
        </is>
      </c>
      <c r="D4220" s="18" t="n">
        <v>2219</v>
      </c>
      <c r="E4220" s="18" t="n">
        <v>3554</v>
      </c>
      <c r="F4220" s="18" t="n"/>
      <c r="G4220" s="18" t="n"/>
      <c r="H4220" s="18" t="n">
        <v>477878</v>
      </c>
      <c r="I4220" s="18" t="n"/>
      <c r="J4220" s="19" t="n">
        <v>0</v>
      </c>
      <c r="K4220" s="35" t="n">
        <v>0.065</v>
      </c>
    </row>
    <row r="4221">
      <c r="A4221" s="36" t="inlineStr">
        <is>
          <t>Lønn vikarer</t>
        </is>
      </c>
      <c r="B4221" s="36" t="inlineStr">
        <is>
          <t>Region Vest</t>
        </is>
      </c>
      <c r="C4221" s="36" t="inlineStr">
        <is>
          <t>Driftsavdelingen</t>
        </is>
      </c>
      <c r="D4221" s="26" t="n"/>
      <c r="E4221" s="26" t="n">
        <v>80200</v>
      </c>
      <c r="F4221" s="26" t="n">
        <v>223346</v>
      </c>
      <c r="G4221" s="26" t="n">
        <v>213220</v>
      </c>
      <c r="H4221" s="26" t="n">
        <v>330590</v>
      </c>
      <c r="I4221" s="26" t="n">
        <v>279341</v>
      </c>
      <c r="J4221" s="19" t="n">
        <v>436470.3125</v>
      </c>
      <c r="K4221" s="37" t="n">
        <v>0.25</v>
      </c>
    </row>
    <row r="4222">
      <c r="A4222" s="34" t="inlineStr">
        <is>
          <t>Lønn vikarer</t>
        </is>
      </c>
      <c r="B4222" s="34" t="inlineStr">
        <is>
          <t>Region Vest</t>
        </is>
      </c>
      <c r="C4222" s="34" t="inlineStr">
        <is>
          <t>Eikelund US avd. beh. høy</t>
        </is>
      </c>
      <c r="D4222" s="18" t="n"/>
      <c r="E4222" s="18" t="n"/>
      <c r="F4222" s="18" t="n"/>
      <c r="G4222" s="18" t="n"/>
      <c r="H4222" s="18" t="n"/>
      <c r="I4222" s="18" t="n">
        <v>442224</v>
      </c>
      <c r="J4222" s="19" t="n">
        <v>501581.5163999999</v>
      </c>
      <c r="K4222" s="35" t="n">
        <v>0.065</v>
      </c>
    </row>
    <row r="4223">
      <c r="A4223" s="36" t="inlineStr">
        <is>
          <t>Lønn vikarer</t>
        </is>
      </c>
      <c r="B4223" s="36" t="inlineStr">
        <is>
          <t>Region Vest</t>
        </is>
      </c>
      <c r="C4223" s="36" t="inlineStr">
        <is>
          <t>Kasa Ungdomssenter avd. Flatøy</t>
        </is>
      </c>
      <c r="D4223" s="26" t="n">
        <v>2156349</v>
      </c>
      <c r="E4223" s="26" t="n">
        <v>1433696</v>
      </c>
      <c r="F4223" s="26" t="n">
        <v>1225671</v>
      </c>
      <c r="G4223" s="26" t="n">
        <v>1815893</v>
      </c>
      <c r="H4223" s="26" t="n">
        <v>1409285</v>
      </c>
      <c r="I4223" s="26" t="n">
        <v>1147319</v>
      </c>
      <c r="J4223" s="19" t="n">
        <v>891395.093555233</v>
      </c>
      <c r="K4223" s="37" t="n">
        <v>-0.1185594484285164</v>
      </c>
    </row>
    <row r="4224">
      <c r="A4224" s="34" t="inlineStr">
        <is>
          <t>Lønn vikarer</t>
        </is>
      </c>
      <c r="B4224" s="34" t="inlineStr">
        <is>
          <t>Region Vest</t>
        </is>
      </c>
      <c r="C4224" s="34" t="inlineStr">
        <is>
          <t>Kasa Ungdomssenter avd. Hop</t>
        </is>
      </c>
      <c r="D4224" s="18" t="n">
        <v>1258918</v>
      </c>
      <c r="E4224" s="18" t="n">
        <v>1387132</v>
      </c>
      <c r="F4224" s="18" t="n">
        <v>1655055</v>
      </c>
      <c r="G4224" s="18" t="n">
        <v>1657135</v>
      </c>
      <c r="H4224" s="18" t="n">
        <v>2362270</v>
      </c>
      <c r="I4224" s="18" t="n">
        <v>2283909</v>
      </c>
      <c r="J4224" s="19" t="n">
        <v>2898353.390372355</v>
      </c>
      <c r="K4224" s="35" t="n">
        <v>0.1265131626172005</v>
      </c>
    </row>
    <row r="4225">
      <c r="A4225" s="36" t="inlineStr">
        <is>
          <t>Lønn vikarer</t>
        </is>
      </c>
      <c r="B4225" s="36" t="inlineStr">
        <is>
          <t>Region Vest</t>
        </is>
      </c>
      <c r="C4225" s="36" t="inlineStr">
        <is>
          <t>Kasa Ungdomssenter avd. Morvik</t>
        </is>
      </c>
      <c r="D4225" s="26" t="n">
        <v>2877077</v>
      </c>
      <c r="E4225" s="26" t="n">
        <v>1724465</v>
      </c>
      <c r="F4225" s="26" t="n">
        <v>1595406</v>
      </c>
      <c r="G4225" s="26" t="n">
        <v>1639581</v>
      </c>
      <c r="H4225" s="26" t="n">
        <v>2046884</v>
      </c>
      <c r="I4225" s="26" t="n">
        <v>1268392</v>
      </c>
      <c r="J4225" s="19" t="n">
        <v>914059.1444335501</v>
      </c>
      <c r="K4225" s="37" t="n">
        <v>-0.1510924389000911</v>
      </c>
    </row>
    <row r="4226">
      <c r="A4226" s="34" t="inlineStr">
        <is>
          <t>Lønn vikarer</t>
        </is>
      </c>
      <c r="B4226" s="34" t="inlineStr">
        <is>
          <t>Region Vest</t>
        </is>
      </c>
      <c r="C4226" s="34" t="inlineStr">
        <is>
          <t>Kasa Ungdomssenter avd. Sandsli</t>
        </is>
      </c>
      <c r="D4226" s="18" t="n">
        <v>897416</v>
      </c>
      <c r="E4226" s="18" t="n">
        <v>915138</v>
      </c>
      <c r="F4226" s="18" t="n">
        <v>884478</v>
      </c>
      <c r="G4226" s="18" t="n">
        <v>899398</v>
      </c>
      <c r="H4226" s="18" t="n">
        <v>1322454</v>
      </c>
      <c r="I4226" s="18" t="n">
        <v>1348068</v>
      </c>
      <c r="J4226" s="19" t="n">
        <v>1586349.939007354</v>
      </c>
      <c r="K4226" s="35" t="n">
        <v>0.08478481759611345</v>
      </c>
    </row>
    <row r="4227">
      <c r="A4227" s="36" t="inlineStr">
        <is>
          <t>Lønn vikarer</t>
        </is>
      </c>
      <c r="B4227" s="36" t="inlineStr">
        <is>
          <t>Region Vest</t>
        </is>
      </c>
      <c r="C4227" s="36" t="inlineStr">
        <is>
          <t>Kasa Ungdomssenter avd. Tertnes</t>
        </is>
      </c>
      <c r="D4227" s="26" t="n">
        <v>1291250</v>
      </c>
      <c r="E4227" s="26" t="n">
        <v>747297</v>
      </c>
      <c r="F4227" s="26" t="n">
        <v>755892</v>
      </c>
      <c r="G4227" s="26" t="n">
        <v>1136939</v>
      </c>
      <c r="H4227" s="26" t="n">
        <v>1291839</v>
      </c>
      <c r="I4227" s="26" t="n">
        <v>1739988</v>
      </c>
      <c r="J4227" s="19" t="n">
        <v>1960471.894434979</v>
      </c>
      <c r="K4227" s="37" t="n">
        <v>0.06146867865281225</v>
      </c>
    </row>
    <row r="4228">
      <c r="A4228" s="34" t="inlineStr">
        <is>
          <t>Lønn vikarer</t>
        </is>
      </c>
      <c r="B4228" s="34" t="inlineStr">
        <is>
          <t>Region Vest</t>
        </is>
      </c>
      <c r="C4228" s="34" t="inlineStr">
        <is>
          <t>Krabbedalen</t>
        </is>
      </c>
      <c r="D4228" s="18" t="n">
        <v>166699</v>
      </c>
      <c r="E4228" s="18" t="n"/>
      <c r="F4228" s="18" t="n"/>
      <c r="G4228" s="18" t="n"/>
      <c r="H4228" s="18" t="n"/>
      <c r="I4228" s="18" t="n"/>
      <c r="J4228" s="19" t="n">
        <v>0</v>
      </c>
      <c r="K4228" s="35" t="n">
        <v>0.065</v>
      </c>
    </row>
    <row r="4229">
      <c r="A4229" s="36" t="inlineStr">
        <is>
          <t>Lønn vikarer</t>
        </is>
      </c>
      <c r="B4229" s="36" t="inlineStr">
        <is>
          <t>Region Vest</t>
        </is>
      </c>
      <c r="C4229" s="36" t="inlineStr">
        <is>
          <t>MultifunC - Bergen ungdomssenter</t>
        </is>
      </c>
      <c r="D4229" s="26" t="n"/>
      <c r="E4229" s="26" t="n">
        <v>670</v>
      </c>
      <c r="F4229" s="26" t="n"/>
      <c r="G4229" s="26" t="n"/>
      <c r="H4229" s="26" t="n"/>
      <c r="I4229" s="26" t="n"/>
      <c r="J4229" s="19" t="n">
        <v>0</v>
      </c>
      <c r="K4229" s="37" t="n">
        <v>0.065</v>
      </c>
    </row>
    <row r="4230">
      <c r="A4230" s="34" t="inlineStr">
        <is>
          <t>Lønn vikarer</t>
        </is>
      </c>
      <c r="B4230" s="34" t="inlineStr">
        <is>
          <t>Region Vest</t>
        </is>
      </c>
      <c r="C4230" s="34" t="inlineStr">
        <is>
          <t>SFU avd Bregnetunet</t>
        </is>
      </c>
      <c r="D4230" s="18" t="n">
        <v>1518478</v>
      </c>
      <c r="E4230" s="18" t="n">
        <v>917329</v>
      </c>
      <c r="F4230" s="18" t="n">
        <v>1266508</v>
      </c>
      <c r="G4230" s="18" t="n">
        <v>2003481</v>
      </c>
      <c r="H4230" s="18" t="n">
        <v>3040734</v>
      </c>
      <c r="I4230" s="18" t="n">
        <v>15291</v>
      </c>
      <c r="J4230" s="19" t="n">
        <v>8601.1875</v>
      </c>
      <c r="K4230" s="35" t="n">
        <v>-0.25</v>
      </c>
    </row>
    <row r="4231">
      <c r="A4231" s="36" t="inlineStr">
        <is>
          <t>Lønn vikarer</t>
        </is>
      </c>
      <c r="B4231" s="36" t="inlineStr">
        <is>
          <t>Region Vest</t>
        </is>
      </c>
      <c r="C4231" s="36" t="inlineStr">
        <is>
          <t>SFU avd.Meltunet</t>
        </is>
      </c>
      <c r="D4231" s="26" t="n">
        <v>1369107</v>
      </c>
      <c r="E4231" s="26" t="n">
        <v>787659</v>
      </c>
      <c r="F4231" s="26" t="n">
        <v>1876706</v>
      </c>
      <c r="G4231" s="26" t="n">
        <v>2484326</v>
      </c>
      <c r="H4231" s="26" t="n">
        <v>3061013</v>
      </c>
      <c r="I4231" s="26" t="n">
        <v>1995538</v>
      </c>
      <c r="J4231" s="19" t="n">
        <v>2320112.515223736</v>
      </c>
      <c r="K4231" s="37" t="n">
        <v>0.07826255153928718</v>
      </c>
    </row>
    <row r="4232">
      <c r="A4232" s="34" t="inlineStr">
        <is>
          <t>Lønn vikarer</t>
        </is>
      </c>
      <c r="B4232" s="34" t="inlineStr">
        <is>
          <t>Region Vest</t>
        </is>
      </c>
      <c r="C4232" s="34" t="inlineStr">
        <is>
          <t>Sandnes ungdomssenter - Minde 2</t>
        </is>
      </c>
      <c r="D4232" s="18" t="n">
        <v>1562275</v>
      </c>
      <c r="E4232" s="18" t="n">
        <v>4107616</v>
      </c>
      <c r="F4232" s="18" t="n">
        <v>3111156</v>
      </c>
      <c r="G4232" s="18" t="n">
        <v>1765277</v>
      </c>
      <c r="H4232" s="18" t="n">
        <v>1902185</v>
      </c>
      <c r="I4232" s="18" t="n">
        <v>2103748</v>
      </c>
      <c r="J4232" s="19" t="n">
        <v>2369671.849113822</v>
      </c>
      <c r="K4232" s="35" t="n">
        <v>0.06132219512500914</v>
      </c>
    </row>
    <row r="4233">
      <c r="A4233" s="36" t="inlineStr">
        <is>
          <t>Lønn vikarer</t>
        </is>
      </c>
      <c r="B4233" s="36" t="inlineStr">
        <is>
          <t>Region Vest</t>
        </is>
      </c>
      <c r="C4233" s="36" t="inlineStr">
        <is>
          <t>Sandnes ungdomssenter - Minde1</t>
        </is>
      </c>
      <c r="D4233" s="26" t="n">
        <v>1833607</v>
      </c>
      <c r="E4233" s="26" t="n">
        <v>2212608</v>
      </c>
      <c r="F4233" s="26" t="n">
        <v>2470231</v>
      </c>
      <c r="G4233" s="26" t="n">
        <v>1670275</v>
      </c>
      <c r="H4233" s="26" t="n">
        <v>2062101</v>
      </c>
      <c r="I4233" s="26" t="n">
        <v>1486409</v>
      </c>
      <c r="J4233" s="19" t="n">
        <v>1366693.577191983</v>
      </c>
      <c r="K4233" s="37" t="n">
        <v>-0.04111524583036896</v>
      </c>
    </row>
    <row r="4234">
      <c r="A4234" s="34" t="inlineStr">
        <is>
          <t>Lønn vikarer</t>
        </is>
      </c>
      <c r="B4234" s="34" t="inlineStr">
        <is>
          <t>Region Vest</t>
        </is>
      </c>
      <c r="C4234" s="34" t="inlineStr">
        <is>
          <t>Skjoldvegen Skjold</t>
        </is>
      </c>
      <c r="D4234" s="18" t="n">
        <v>2704572</v>
      </c>
      <c r="E4234" s="18" t="n">
        <v>2012263</v>
      </c>
      <c r="F4234" s="18" t="n">
        <v>1468993</v>
      </c>
      <c r="G4234" s="18" t="n">
        <v>1539002</v>
      </c>
      <c r="H4234" s="18" t="n">
        <v>3119198</v>
      </c>
      <c r="I4234" s="18" t="n">
        <v>2794048</v>
      </c>
      <c r="J4234" s="19" t="n">
        <v>2830661.830815724</v>
      </c>
      <c r="K4234" s="35" t="n">
        <v>0.006530786406754752</v>
      </c>
    </row>
    <row r="4235">
      <c r="A4235" s="36" t="inlineStr">
        <is>
          <t>Lønn vikarer</t>
        </is>
      </c>
      <c r="B4235" s="36" t="inlineStr">
        <is>
          <t>Region Vest</t>
        </is>
      </c>
      <c r="C4235" s="36" t="inlineStr">
        <is>
          <t>Skjoldvegen Søfteland</t>
        </is>
      </c>
      <c r="D4235" s="26" t="n">
        <v>817135</v>
      </c>
      <c r="E4235" s="26" t="n">
        <v>1015015</v>
      </c>
      <c r="F4235" s="26" t="n">
        <v>1497670</v>
      </c>
      <c r="G4235" s="26" t="n">
        <v>1585239</v>
      </c>
      <c r="H4235" s="26" t="n">
        <v>1682791</v>
      </c>
      <c r="I4235" s="26" t="n">
        <v>2006897</v>
      </c>
      <c r="J4235" s="19" t="n">
        <v>2874865.903796535</v>
      </c>
      <c r="K4235" s="37" t="n">
        <v>0.1968679959747008</v>
      </c>
    </row>
    <row r="4236">
      <c r="A4236" s="34" t="inlineStr">
        <is>
          <t>Lønn vikarer</t>
        </is>
      </c>
      <c r="B4236" s="34" t="inlineStr">
        <is>
          <t>Region Vest</t>
        </is>
      </c>
      <c r="C4236" s="34" t="inlineStr">
        <is>
          <t>Skjoldvegen barnevernsenter Enetiltak</t>
        </is>
      </c>
      <c r="D4236" s="18" t="n">
        <v>232014</v>
      </c>
      <c r="E4236" s="18" t="n"/>
      <c r="F4236" s="18" t="n"/>
      <c r="G4236" s="18" t="n">
        <v>239871</v>
      </c>
      <c r="H4236" s="18" t="n"/>
      <c r="I4236" s="18" t="n"/>
      <c r="J4236" s="19" t="n">
        <v>0</v>
      </c>
      <c r="K4236" s="35" t="n">
        <v>0.065</v>
      </c>
    </row>
    <row r="4237">
      <c r="A4237" s="36" t="inlineStr">
        <is>
          <t>Lønn vikarer</t>
        </is>
      </c>
      <c r="B4237" s="36" t="inlineStr">
        <is>
          <t>Region Vest</t>
        </is>
      </c>
      <c r="C4237" s="36" t="inlineStr">
        <is>
          <t>Skjoldvegen barnevernsenter avd. Fyllingsdalen</t>
        </is>
      </c>
      <c r="D4237" s="26" t="n">
        <v>1500203</v>
      </c>
      <c r="E4237" s="26" t="n">
        <v>1179373</v>
      </c>
      <c r="F4237" s="26" t="n">
        <v>890901</v>
      </c>
      <c r="G4237" s="26" t="n">
        <v>1077990</v>
      </c>
      <c r="H4237" s="26" t="n">
        <v>1558701</v>
      </c>
      <c r="I4237" s="26" t="n">
        <v>1223614</v>
      </c>
      <c r="J4237" s="19" t="n">
        <v>1127826.254951192</v>
      </c>
      <c r="K4237" s="37" t="n">
        <v>-0.03993888153742109</v>
      </c>
    </row>
    <row r="4238">
      <c r="A4238" s="34" t="inlineStr">
        <is>
          <t>Lønn vikarer</t>
        </is>
      </c>
      <c r="B4238" s="34" t="inlineStr">
        <is>
          <t>Region Vest</t>
        </is>
      </c>
      <c r="C4238" s="34" t="inlineStr">
        <is>
          <t>Sogn og fjordane ungdomssenter avdeling Bregnetunet behandling høy</t>
        </is>
      </c>
      <c r="D4238" s="18" t="n"/>
      <c r="E4238" s="18" t="n"/>
      <c r="F4238" s="18" t="n"/>
      <c r="G4238" s="18" t="n"/>
      <c r="H4238" s="18" t="n">
        <v>109882</v>
      </c>
      <c r="I4238" s="18" t="n">
        <v>1778595</v>
      </c>
      <c r="J4238" s="19" t="n">
        <v>2017326.913875</v>
      </c>
      <c r="K4238" s="35" t="n">
        <v>0.065</v>
      </c>
    </row>
    <row r="4239">
      <c r="A4239" s="36" t="inlineStr">
        <is>
          <t>Lønn vikarer</t>
        </is>
      </c>
      <c r="B4239" s="36" t="inlineStr">
        <is>
          <t>Region Vest</t>
        </is>
      </c>
      <c r="C4239" s="36" t="inlineStr">
        <is>
          <t>Sogndal ungdomsenter-adm.</t>
        </is>
      </c>
      <c r="D4239" s="26" t="n">
        <v>1307798</v>
      </c>
      <c r="E4239" s="26" t="n">
        <v>989426</v>
      </c>
      <c r="F4239" s="26" t="n">
        <v>1121733</v>
      </c>
      <c r="G4239" s="26" t="n">
        <v>1080923</v>
      </c>
      <c r="H4239" s="26" t="n">
        <v>1652925</v>
      </c>
      <c r="I4239" s="26" t="n">
        <v>1654769</v>
      </c>
      <c r="J4239" s="19" t="n">
        <v>1818092.851937274</v>
      </c>
      <c r="K4239" s="37" t="n">
        <v>0.04818838145087723</v>
      </c>
    </row>
    <row r="4240">
      <c r="A4240" s="34" t="inlineStr">
        <is>
          <t>Lønn vikarer</t>
        </is>
      </c>
      <c r="B4240" s="34" t="inlineStr">
        <is>
          <t>Region Vest</t>
        </is>
      </c>
      <c r="C4240" s="34" t="inlineStr">
        <is>
          <t>Stavanger akuttsenter - Heimly</t>
        </is>
      </c>
      <c r="D4240" s="18" t="n">
        <v>77356</v>
      </c>
      <c r="E4240" s="18" t="n">
        <v>37449</v>
      </c>
      <c r="F4240" s="18" t="n">
        <v>1680</v>
      </c>
      <c r="G4240" s="18" t="n"/>
      <c r="H4240" s="18" t="n"/>
      <c r="I4240" s="18" t="n"/>
      <c r="J4240" s="19" t="n">
        <v>0</v>
      </c>
      <c r="K4240" s="35" t="n">
        <v>0.065</v>
      </c>
    </row>
    <row r="4241">
      <c r="A4241" s="36" t="inlineStr">
        <is>
          <t>Lønn vikarer</t>
        </is>
      </c>
      <c r="B4241" s="36" t="inlineStr">
        <is>
          <t>Region Vest</t>
        </is>
      </c>
      <c r="C4241" s="36" t="inlineStr">
        <is>
          <t>Stavanger akuttsenter - Madla</t>
        </is>
      </c>
      <c r="D4241" s="26" t="n">
        <v>2313087</v>
      </c>
      <c r="E4241" s="26" t="n">
        <v>2041374</v>
      </c>
      <c r="F4241" s="26" t="n">
        <v>3048647</v>
      </c>
      <c r="G4241" s="26" t="n">
        <v>4390836</v>
      </c>
      <c r="H4241" s="26" t="n">
        <v>5604397</v>
      </c>
      <c r="I4241" s="26" t="n">
        <v>6305044</v>
      </c>
      <c r="J4241" s="19" t="n">
        <v>9416436.524607327</v>
      </c>
      <c r="K4241" s="37" t="n">
        <v>0.2220788577651245</v>
      </c>
    </row>
    <row r="4242">
      <c r="A4242" s="34" t="inlineStr">
        <is>
          <t>Lønn vikarer</t>
        </is>
      </c>
      <c r="B4242" s="34" t="inlineStr">
        <is>
          <t>Region Vest</t>
        </is>
      </c>
      <c r="C4242" s="34" t="inlineStr">
        <is>
          <t>Stavanger akuttsenter - Røyneberg</t>
        </is>
      </c>
      <c r="D4242" s="18" t="n">
        <v>2221375</v>
      </c>
      <c r="E4242" s="18" t="n">
        <v>2405525</v>
      </c>
      <c r="F4242" s="18" t="n">
        <v>2263397</v>
      </c>
      <c r="G4242" s="18" t="n">
        <v>2368463</v>
      </c>
      <c r="H4242" s="18" t="n">
        <v>2016291</v>
      </c>
      <c r="I4242" s="18" t="n">
        <v>2255615</v>
      </c>
      <c r="J4242" s="19" t="n">
        <v>2269458.323143691</v>
      </c>
      <c r="K4242" s="35" t="n">
        <v>0.003063942209182935</v>
      </c>
    </row>
    <row r="4243">
      <c r="A4243" s="36" t="inlineStr">
        <is>
          <t>Lønn vikarer</t>
        </is>
      </c>
      <c r="B4243" s="36" t="inlineStr">
        <is>
          <t>Region Vest</t>
        </is>
      </c>
      <c r="C4243" s="36" t="inlineStr">
        <is>
          <t>Stavanger ungdomssenter - adm</t>
        </is>
      </c>
      <c r="D4243" s="26" t="n"/>
      <c r="E4243" s="26" t="n">
        <v>42024</v>
      </c>
      <c r="F4243" s="26" t="n">
        <v>167960</v>
      </c>
      <c r="G4243" s="26" t="n">
        <v>40496</v>
      </c>
      <c r="H4243" s="26" t="n">
        <v>1405</v>
      </c>
      <c r="I4243" s="26" t="n"/>
      <c r="J4243" s="19" t="n">
        <v>0</v>
      </c>
      <c r="K4243" s="37" t="n">
        <v>0.065</v>
      </c>
    </row>
    <row r="4244">
      <c r="A4244" s="34" t="inlineStr">
        <is>
          <t>Lønn vikarer</t>
        </is>
      </c>
      <c r="B4244" s="34" t="inlineStr">
        <is>
          <t>Region Vest</t>
        </is>
      </c>
      <c r="C4244" s="34" t="inlineStr">
        <is>
          <t>Stavanger ungdomssenter - avd. Lindøy</t>
        </is>
      </c>
      <c r="D4244" s="18" t="n">
        <v>1663551</v>
      </c>
      <c r="E4244" s="18" t="n">
        <v>2017941</v>
      </c>
      <c r="F4244" s="18" t="n">
        <v>2341741</v>
      </c>
      <c r="G4244" s="18" t="n">
        <v>2996071</v>
      </c>
      <c r="H4244" s="18" t="n">
        <v>1830197</v>
      </c>
      <c r="I4244" s="18" t="n">
        <v>1358217</v>
      </c>
      <c r="J4244" s="19" t="n">
        <v>1252398.038851358</v>
      </c>
      <c r="K4244" s="35" t="n">
        <v>-0.03974493088280207</v>
      </c>
    </row>
    <row r="4245">
      <c r="A4245" s="36" t="inlineStr">
        <is>
          <t>Lønn vikarer</t>
        </is>
      </c>
      <c r="B4245" s="36" t="inlineStr">
        <is>
          <t>Region Vest</t>
        </is>
      </c>
      <c r="C4245" s="36" t="inlineStr">
        <is>
          <t>Stavanger ungdomssenter - avd. Våland</t>
        </is>
      </c>
      <c r="D4245" s="26" t="n">
        <v>1067340</v>
      </c>
      <c r="E4245" s="26" t="n">
        <v>1356590</v>
      </c>
      <c r="F4245" s="26" t="n">
        <v>1765884</v>
      </c>
      <c r="G4245" s="26" t="n">
        <v>1497849</v>
      </c>
      <c r="H4245" s="26" t="n">
        <v>1662236</v>
      </c>
      <c r="I4245" s="26" t="n">
        <v>1097575</v>
      </c>
      <c r="J4245" s="19" t="n">
        <v>1109907.470870793</v>
      </c>
      <c r="K4245" s="37" t="n">
        <v>0.005602360610468482</v>
      </c>
    </row>
    <row r="4246">
      <c r="A4246" s="34" t="inlineStr">
        <is>
          <t>Lønn vikarer</t>
        </is>
      </c>
      <c r="B4246" s="34" t="inlineStr">
        <is>
          <t>Region Vest</t>
        </is>
      </c>
      <c r="C4246" s="34" t="inlineStr">
        <is>
          <t>TFCO Bergen, avdeling fosterhjem</t>
        </is>
      </c>
      <c r="D4246" s="18" t="n"/>
      <c r="E4246" s="18" t="n"/>
      <c r="F4246" s="18" t="n">
        <v>20328</v>
      </c>
      <c r="G4246" s="18" t="n">
        <v>131088</v>
      </c>
      <c r="H4246" s="18" t="n"/>
      <c r="I4246" s="18" t="n"/>
      <c r="J4246" s="19" t="n">
        <v>0</v>
      </c>
      <c r="K4246" s="35" t="n">
        <v>0.065</v>
      </c>
    </row>
    <row r="4247">
      <c r="A4247" s="36" t="inlineStr">
        <is>
          <t>Lønn vikarer</t>
        </is>
      </c>
      <c r="B4247" s="36" t="inlineStr">
        <is>
          <t>Region Øst</t>
        </is>
      </c>
      <c r="C4247" s="36" t="inlineStr">
        <is>
          <t>Akershus ungdoms- og familiesenter - akutt  Avdeling Sole</t>
        </is>
      </c>
      <c r="D4247" s="26" t="n">
        <v>1895050</v>
      </c>
      <c r="E4247" s="26" t="n">
        <v>1881540</v>
      </c>
      <c r="F4247" s="26" t="n">
        <v>2377426</v>
      </c>
      <c r="G4247" s="26" t="n">
        <v>2224319</v>
      </c>
      <c r="H4247" s="26" t="n">
        <v>2260984</v>
      </c>
      <c r="I4247" s="26" t="n">
        <v>62442</v>
      </c>
      <c r="J4247" s="19" t="n">
        <v>35123.625</v>
      </c>
      <c r="K4247" s="37" t="n">
        <v>-0.25</v>
      </c>
    </row>
    <row r="4248">
      <c r="A4248" s="34" t="inlineStr">
        <is>
          <t>Lønn vikarer</t>
        </is>
      </c>
      <c r="B4248" s="34" t="inlineStr">
        <is>
          <t>Region Øst</t>
        </is>
      </c>
      <c r="C4248" s="34" t="inlineStr">
        <is>
          <t>Akershus ungdoms- og familiesenter - akutt  Avdeling Tjernlia</t>
        </is>
      </c>
      <c r="D4248" s="18" t="n">
        <v>1113785</v>
      </c>
      <c r="E4248" s="18" t="n">
        <v>1336933</v>
      </c>
      <c r="F4248" s="18" t="n">
        <v>1978434</v>
      </c>
      <c r="G4248" s="18" t="n">
        <v>2854645</v>
      </c>
      <c r="H4248" s="18" t="n">
        <v>3087135</v>
      </c>
      <c r="I4248" s="18" t="n">
        <v>163110</v>
      </c>
      <c r="J4248" s="19" t="n">
        <v>91749.375</v>
      </c>
      <c r="K4248" s="35" t="n">
        <v>-0.25</v>
      </c>
    </row>
    <row r="4249">
      <c r="A4249" s="36" t="inlineStr">
        <is>
          <t>Lønn vikarer</t>
        </is>
      </c>
      <c r="B4249" s="36" t="inlineStr">
        <is>
          <t>Region Øst</t>
        </is>
      </c>
      <c r="C4249" s="36" t="inlineStr">
        <is>
          <t>Akershus ungdoms- og familiesenter - akutt Avdeling Bjørlien</t>
        </is>
      </c>
      <c r="D4249" s="26" t="n">
        <v>1133796</v>
      </c>
      <c r="E4249" s="26" t="n">
        <v>1637006</v>
      </c>
      <c r="F4249" s="26" t="n">
        <v>1698272</v>
      </c>
      <c r="G4249" s="26" t="n">
        <v>2335284</v>
      </c>
      <c r="H4249" s="26" t="n">
        <v>1691303</v>
      </c>
      <c r="I4249" s="26" t="n">
        <v>138196</v>
      </c>
      <c r="J4249" s="19" t="n">
        <v>77735.25</v>
      </c>
      <c r="K4249" s="37" t="n">
        <v>-0.25</v>
      </c>
    </row>
    <row r="4250">
      <c r="A4250" s="34" t="inlineStr">
        <is>
          <t>Lønn vikarer</t>
        </is>
      </c>
      <c r="B4250" s="34" t="inlineStr">
        <is>
          <t>Region Øst</t>
        </is>
      </c>
      <c r="C4250" s="34" t="inlineStr">
        <is>
          <t>Akershus ungdoms- og familiesenter - akutt Avdeling Follo</t>
        </is>
      </c>
      <c r="D4250" s="18" t="n">
        <v>324170</v>
      </c>
      <c r="E4250" s="18" t="n">
        <v>1253070</v>
      </c>
      <c r="F4250" s="18" t="n">
        <v>37357</v>
      </c>
      <c r="G4250" s="18" t="n"/>
      <c r="H4250" s="18" t="n"/>
      <c r="I4250" s="18" t="n"/>
      <c r="J4250" s="19" t="n">
        <v>0</v>
      </c>
      <c r="K4250" s="35" t="n">
        <v>0.065</v>
      </c>
    </row>
    <row r="4251">
      <c r="A4251" s="36" t="inlineStr">
        <is>
          <t>Lønn vikarer</t>
        </is>
      </c>
      <c r="B4251" s="36" t="inlineStr">
        <is>
          <t>Region Øst</t>
        </is>
      </c>
      <c r="C4251" s="36" t="inlineStr">
        <is>
          <t>Akershus ungdoms- og familiesenter - akutt Avdeling Jibbe</t>
        </is>
      </c>
      <c r="D4251" s="26" t="n">
        <v>185690</v>
      </c>
      <c r="E4251" s="26" t="n">
        <v>806409</v>
      </c>
      <c r="F4251" s="26" t="n">
        <v>1061663</v>
      </c>
      <c r="G4251" s="26" t="n">
        <v>1278609</v>
      </c>
      <c r="H4251" s="26" t="n">
        <v>1106656</v>
      </c>
      <c r="I4251" s="26" t="n">
        <v>90991</v>
      </c>
      <c r="J4251" s="19" t="n">
        <v>68404.14307682002</v>
      </c>
      <c r="K4251" s="37" t="n">
        <v>-0.1329543087765286</v>
      </c>
    </row>
    <row r="4252">
      <c r="A4252" s="34" t="inlineStr">
        <is>
          <t>Lønn vikarer</t>
        </is>
      </c>
      <c r="B4252" s="34" t="inlineStr">
        <is>
          <t>Region Øst</t>
        </is>
      </c>
      <c r="C4252" s="34" t="inlineStr">
        <is>
          <t>Akershus ungdoms- og familiesenter - akutt, avd Bjørlien</t>
        </is>
      </c>
      <c r="D4252" s="18" t="n"/>
      <c r="E4252" s="18" t="n"/>
      <c r="F4252" s="18" t="n"/>
      <c r="G4252" s="18" t="n"/>
      <c r="H4252" s="18" t="n"/>
      <c r="I4252" s="18" t="n">
        <v>442814</v>
      </c>
      <c r="J4252" s="19" t="n">
        <v>502250.7091499999</v>
      </c>
      <c r="K4252" s="35" t="n">
        <v>0.065</v>
      </c>
    </row>
    <row r="4253">
      <c r="A4253" s="36" t="inlineStr">
        <is>
          <t>Lønn vikarer</t>
        </is>
      </c>
      <c r="B4253" s="36" t="inlineStr">
        <is>
          <t>Region Øst</t>
        </is>
      </c>
      <c r="C4253" s="36" t="inlineStr">
        <is>
          <t>Akershus ungdoms- og familiesenter - akutt, avd Jibbe</t>
        </is>
      </c>
      <c r="D4253" s="26" t="n"/>
      <c r="E4253" s="26" t="n"/>
      <c r="F4253" s="26" t="n"/>
      <c r="G4253" s="26" t="n"/>
      <c r="H4253" s="26" t="n"/>
      <c r="I4253" s="26" t="n">
        <v>1044648</v>
      </c>
      <c r="J4253" s="19" t="n">
        <v>1184865.8778</v>
      </c>
      <c r="K4253" s="37" t="n">
        <v>0.065</v>
      </c>
    </row>
    <row r="4254">
      <c r="A4254" s="34" t="inlineStr">
        <is>
          <t>Lønn vikarer</t>
        </is>
      </c>
      <c r="B4254" s="34" t="inlineStr">
        <is>
          <t>Region Øst</t>
        </is>
      </c>
      <c r="C4254" s="34" t="inlineStr">
        <is>
          <t>Akershus ungdoms- og familiesenter - akutt, avd Sole</t>
        </is>
      </c>
      <c r="D4254" s="18" t="n"/>
      <c r="E4254" s="18" t="n"/>
      <c r="F4254" s="18" t="n"/>
      <c r="G4254" s="18" t="n"/>
      <c r="H4254" s="18" t="n"/>
      <c r="I4254" s="18" t="n">
        <v>712858</v>
      </c>
      <c r="J4254" s="19" t="n">
        <v>808541.3650499999</v>
      </c>
      <c r="K4254" s="35" t="n">
        <v>0.065</v>
      </c>
    </row>
    <row r="4255">
      <c r="A4255" s="36" t="inlineStr">
        <is>
          <t>Lønn vikarer</t>
        </is>
      </c>
      <c r="B4255" s="36" t="inlineStr">
        <is>
          <t>Region Øst</t>
        </is>
      </c>
      <c r="C4255" s="36" t="inlineStr">
        <is>
          <t>Akershus ungdoms- og familiesenter - akutt, avd Tjernlia</t>
        </is>
      </c>
      <c r="D4255" s="26" t="n"/>
      <c r="E4255" s="26" t="n"/>
      <c r="F4255" s="26" t="n"/>
      <c r="G4255" s="26" t="n"/>
      <c r="H4255" s="26" t="n"/>
      <c r="I4255" s="26" t="n">
        <v>2244594</v>
      </c>
      <c r="J4255" s="19" t="n">
        <v>2545874.62965</v>
      </c>
      <c r="K4255" s="37" t="n">
        <v>0.065</v>
      </c>
    </row>
    <row r="4256">
      <c r="A4256" s="34" t="inlineStr">
        <is>
          <t>Lønn vikarer</t>
        </is>
      </c>
      <c r="B4256" s="34" t="inlineStr">
        <is>
          <t>Region Øst</t>
        </is>
      </c>
      <c r="C4256" s="34" t="inlineStr">
        <is>
          <t>Avdeling for statlig barnevern</t>
        </is>
      </c>
      <c r="D4256" s="18" t="n"/>
      <c r="E4256" s="18" t="n"/>
      <c r="F4256" s="18" t="n">
        <v>242720</v>
      </c>
      <c r="G4256" s="18" t="n"/>
      <c r="H4256" s="18" t="n"/>
      <c r="I4256" s="18" t="n"/>
      <c r="J4256" s="19" t="n">
        <v>0</v>
      </c>
      <c r="K4256" s="35" t="n">
        <v>0.065</v>
      </c>
    </row>
    <row r="4257">
      <c r="A4257" s="36" t="inlineStr">
        <is>
          <t>Lønn vikarer</t>
        </is>
      </c>
      <c r="B4257" s="36" t="inlineStr">
        <is>
          <t>Region Øst</t>
        </is>
      </c>
      <c r="C4257" s="36" t="inlineStr">
        <is>
          <t>Borg barne- og familiesenter Avdeling for beredskapshjem - 2</t>
        </is>
      </c>
      <c r="D4257" s="26" t="n"/>
      <c r="E4257" s="26" t="n"/>
      <c r="F4257" s="26" t="n">
        <v>3688</v>
      </c>
      <c r="G4257" s="26" t="n"/>
      <c r="H4257" s="26" t="n"/>
      <c r="I4257" s="26" t="n"/>
      <c r="J4257" s="19" t="n">
        <v>0</v>
      </c>
      <c r="K4257" s="37" t="n">
        <v>0.065</v>
      </c>
    </row>
    <row r="4258">
      <c r="A4258" s="34" t="inlineStr">
        <is>
          <t>Lønn vikarer</t>
        </is>
      </c>
      <c r="B4258" s="34" t="inlineStr">
        <is>
          <t>Region Øst</t>
        </is>
      </c>
      <c r="C4258" s="34" t="inlineStr">
        <is>
          <t>Bufetats behandlingssenter Akershus/Østfold, Avdeling Kroerveien Institusjon</t>
        </is>
      </c>
      <c r="D4258" s="18" t="n"/>
      <c r="E4258" s="18" t="n"/>
      <c r="F4258" s="18" t="n"/>
      <c r="G4258" s="18" t="n">
        <v>844208</v>
      </c>
      <c r="H4258" s="18" t="n">
        <v>2087793</v>
      </c>
      <c r="I4258" s="18" t="n">
        <v>176548</v>
      </c>
      <c r="J4258" s="19" t="n">
        <v>200245.1553</v>
      </c>
      <c r="K4258" s="35" t="n">
        <v>0.065</v>
      </c>
    </row>
    <row r="4259">
      <c r="A4259" s="36" t="inlineStr">
        <is>
          <t>Lønn vikarer</t>
        </is>
      </c>
      <c r="B4259" s="36" t="inlineStr">
        <is>
          <t>Region Øst</t>
        </is>
      </c>
      <c r="C4259" s="36" t="inlineStr">
        <is>
          <t>Bufetats behandlingssenter Akershus/Østfold, Avdeling Ås</t>
        </is>
      </c>
      <c r="D4259" s="26" t="n"/>
      <c r="E4259" s="26" t="n"/>
      <c r="F4259" s="26" t="n"/>
      <c r="G4259" s="26" t="n">
        <v>850852</v>
      </c>
      <c r="H4259" s="26" t="n">
        <v>1362418</v>
      </c>
      <c r="I4259" s="26" t="n">
        <v>97469</v>
      </c>
      <c r="J4259" s="19" t="n">
        <v>110551.776525</v>
      </c>
      <c r="K4259" s="37" t="n">
        <v>0.065</v>
      </c>
    </row>
    <row r="4260">
      <c r="A4260" s="34" t="inlineStr">
        <is>
          <t>Lønn vikarer</t>
        </is>
      </c>
      <c r="B4260" s="34" t="inlineStr">
        <is>
          <t>Region Øst</t>
        </is>
      </c>
      <c r="C4260" s="34" t="inlineStr">
        <is>
          <t>Bufetats behandlingssenter Akershus/Østfold, Avdeling Østheim</t>
        </is>
      </c>
      <c r="D4260" s="18" t="n"/>
      <c r="E4260" s="18" t="n"/>
      <c r="F4260" s="18" t="n"/>
      <c r="G4260" s="18" t="n">
        <v>1077785</v>
      </c>
      <c r="H4260" s="18" t="n">
        <v>788915</v>
      </c>
      <c r="I4260" s="18" t="n">
        <v>77137</v>
      </c>
      <c r="J4260" s="19" t="n">
        <v>87490.71382499998</v>
      </c>
      <c r="K4260" s="35" t="n">
        <v>0.065</v>
      </c>
    </row>
    <row r="4261">
      <c r="A4261" s="36" t="inlineStr">
        <is>
          <t>Lønn vikarer</t>
        </is>
      </c>
      <c r="B4261" s="36" t="inlineStr">
        <is>
          <t>Region Øst</t>
        </is>
      </c>
      <c r="C4261" s="36" t="inlineStr">
        <is>
          <t>Bufetats behandlingssenter Akershus/Østfold, Avdeling Østlund</t>
        </is>
      </c>
      <c r="D4261" s="26" t="n"/>
      <c r="E4261" s="26" t="n"/>
      <c r="F4261" s="26" t="n"/>
      <c r="G4261" s="26" t="n">
        <v>937184</v>
      </c>
      <c r="H4261" s="26" t="n">
        <v>2348653</v>
      </c>
      <c r="I4261" s="26" t="n">
        <v>133196</v>
      </c>
      <c r="J4261" s="19" t="n">
        <v>151074.2331</v>
      </c>
      <c r="K4261" s="37" t="n">
        <v>0.065</v>
      </c>
    </row>
    <row r="4262">
      <c r="A4262" s="34" t="inlineStr">
        <is>
          <t>Lønn vikarer</t>
        </is>
      </c>
      <c r="B4262" s="34" t="inlineStr">
        <is>
          <t>Region Øst</t>
        </is>
      </c>
      <c r="C4262" s="34" t="inlineStr">
        <is>
          <t>Bufetats behandlingssenter Akershus_Østfold, avd Kroerveien</t>
        </is>
      </c>
      <c r="D4262" s="18" t="n"/>
      <c r="E4262" s="18" t="n"/>
      <c r="F4262" s="18" t="n"/>
      <c r="G4262" s="18" t="n"/>
      <c r="H4262" s="18" t="n"/>
      <c r="I4262" s="18" t="n">
        <v>2843950</v>
      </c>
      <c r="J4262" s="19" t="n">
        <v>3225679.188749999</v>
      </c>
      <c r="K4262" s="35" t="n">
        <v>0.065</v>
      </c>
    </row>
    <row r="4263">
      <c r="A4263" s="36" t="inlineStr">
        <is>
          <t>Lønn vikarer</t>
        </is>
      </c>
      <c r="B4263" s="36" t="inlineStr">
        <is>
          <t>Region Øst</t>
        </is>
      </c>
      <c r="C4263" s="36" t="inlineStr">
        <is>
          <t>Bufetats behandlingssenter Akershus_Østfold, avd Ås</t>
        </is>
      </c>
      <c r="D4263" s="26" t="n"/>
      <c r="E4263" s="26" t="n"/>
      <c r="F4263" s="26" t="n"/>
      <c r="G4263" s="26" t="n"/>
      <c r="H4263" s="26" t="n"/>
      <c r="I4263" s="26" t="n">
        <v>1843295</v>
      </c>
      <c r="J4263" s="19" t="n">
        <v>2090711.271375</v>
      </c>
      <c r="K4263" s="37" t="n">
        <v>0.065</v>
      </c>
    </row>
    <row r="4264">
      <c r="A4264" s="34" t="inlineStr">
        <is>
          <t>Lønn vikarer</t>
        </is>
      </c>
      <c r="B4264" s="34" t="inlineStr">
        <is>
          <t>Region Øst</t>
        </is>
      </c>
      <c r="C4264" s="34" t="inlineStr">
        <is>
          <t>Bufetats behandlingssenter Akershus_Østfold, avd Østheim</t>
        </is>
      </c>
      <c r="D4264" s="18" t="n"/>
      <c r="E4264" s="18" t="n"/>
      <c r="F4264" s="18" t="n"/>
      <c r="G4264" s="18" t="n"/>
      <c r="H4264" s="18" t="n"/>
      <c r="I4264" s="18" t="n">
        <v>1421984</v>
      </c>
      <c r="J4264" s="19" t="n">
        <v>1612849.8024</v>
      </c>
      <c r="K4264" s="35" t="n">
        <v>0.065</v>
      </c>
    </row>
    <row r="4265">
      <c r="A4265" s="36" t="inlineStr">
        <is>
          <t>Lønn vikarer</t>
        </is>
      </c>
      <c r="B4265" s="36" t="inlineStr">
        <is>
          <t>Region Øst</t>
        </is>
      </c>
      <c r="C4265" s="36" t="inlineStr">
        <is>
          <t>Bufetats behandlingssenter Akershus_Østfold, avd Østlund</t>
        </is>
      </c>
      <c r="D4265" s="26" t="n"/>
      <c r="E4265" s="26" t="n"/>
      <c r="F4265" s="26" t="n"/>
      <c r="G4265" s="26" t="n"/>
      <c r="H4265" s="26" t="n"/>
      <c r="I4265" s="26" t="n">
        <v>1497592</v>
      </c>
      <c r="J4265" s="19" t="n">
        <v>1698606.2862</v>
      </c>
      <c r="K4265" s="37" t="n">
        <v>0.065</v>
      </c>
    </row>
    <row r="4266">
      <c r="A4266" s="34" t="inlineStr">
        <is>
          <t>Lønn vikarer</t>
        </is>
      </c>
      <c r="B4266" s="34" t="inlineStr">
        <is>
          <t>Region Øst</t>
        </is>
      </c>
      <c r="C4266" s="34" t="inlineStr">
        <is>
          <t>Enhet for psykologressurser EMA</t>
        </is>
      </c>
      <c r="D4266" s="18" t="n">
        <v>603528</v>
      </c>
      <c r="E4266" s="18" t="n">
        <v>145380</v>
      </c>
      <c r="F4266" s="18" t="n"/>
      <c r="G4266" s="18" t="n"/>
      <c r="H4266" s="18" t="n"/>
      <c r="I4266" s="18" t="n"/>
      <c r="J4266" s="19" t="n">
        <v>0</v>
      </c>
      <c r="K4266" s="35" t="n">
        <v>0.065</v>
      </c>
    </row>
    <row r="4267">
      <c r="A4267" s="36" t="inlineStr">
        <is>
          <t>Lønn vikarer</t>
        </is>
      </c>
      <c r="B4267" s="36" t="inlineStr">
        <is>
          <t>Region Øst</t>
        </is>
      </c>
      <c r="C4267" s="36" t="inlineStr">
        <is>
          <t>Follo ungdoms- og familiesenter - akutt  Avdeling Follo</t>
        </is>
      </c>
      <c r="D4267" s="26" t="n">
        <v>1101263</v>
      </c>
      <c r="E4267" s="26" t="n"/>
      <c r="F4267" s="26" t="n"/>
      <c r="G4267" s="26" t="n"/>
      <c r="H4267" s="26" t="n"/>
      <c r="I4267" s="26" t="n"/>
      <c r="J4267" s="19" t="n">
        <v>0</v>
      </c>
      <c r="K4267" s="37" t="n">
        <v>0.065</v>
      </c>
    </row>
    <row r="4268">
      <c r="A4268" s="34" t="inlineStr">
        <is>
          <t>Lønn vikarer</t>
        </is>
      </c>
      <c r="B4268" s="34" t="inlineStr">
        <is>
          <t>Region Øst</t>
        </is>
      </c>
      <c r="C4268" s="34" t="inlineStr">
        <is>
          <t>Follo ungdoms- og familiesenter - akutt  Avdeling Jibbe</t>
        </is>
      </c>
      <c r="D4268" s="18" t="n">
        <v>994404</v>
      </c>
      <c r="E4268" s="18" t="n"/>
      <c r="F4268" s="18" t="n"/>
      <c r="G4268" s="18" t="n"/>
      <c r="H4268" s="18" t="n"/>
      <c r="I4268" s="18" t="n"/>
      <c r="J4268" s="19" t="n">
        <v>0</v>
      </c>
      <c r="K4268" s="35" t="n">
        <v>0.065</v>
      </c>
    </row>
    <row r="4269">
      <c r="A4269" s="36" t="inlineStr">
        <is>
          <t>Lønn vikarer</t>
        </is>
      </c>
      <c r="B4269" s="36" t="inlineStr">
        <is>
          <t>Region Øst</t>
        </is>
      </c>
      <c r="C4269" s="36" t="inlineStr">
        <is>
          <t>Gullhella barne- og familiesenter Foreldre- og barn avdeling</t>
        </is>
      </c>
      <c r="D4269" s="26" t="n"/>
      <c r="E4269" s="26" t="n"/>
      <c r="F4269" s="26" t="n"/>
      <c r="G4269" s="26" t="n"/>
      <c r="H4269" s="26" t="n">
        <v>6348</v>
      </c>
      <c r="I4269" s="26" t="n"/>
      <c r="J4269" s="19" t="n">
        <v>0</v>
      </c>
      <c r="K4269" s="37" t="n">
        <v>0.065</v>
      </c>
    </row>
    <row r="4270">
      <c r="A4270" s="34" t="inlineStr">
        <is>
          <t>Lønn vikarer</t>
        </is>
      </c>
      <c r="B4270" s="34" t="inlineStr">
        <is>
          <t>Region Øst</t>
        </is>
      </c>
      <c r="C4270" s="34" t="inlineStr">
        <is>
          <t>Hedmark ungdoms- og  familiesenter - akutt  Avdeling  Stange 1</t>
        </is>
      </c>
      <c r="D4270" s="18" t="n">
        <v>1057513</v>
      </c>
      <c r="E4270" s="18" t="n">
        <v>854639</v>
      </c>
      <c r="F4270" s="18" t="n">
        <v>752478</v>
      </c>
      <c r="G4270" s="18" t="n">
        <v>733158</v>
      </c>
      <c r="H4270" s="18" t="n">
        <v>935010</v>
      </c>
      <c r="I4270" s="18" t="n">
        <v>3229</v>
      </c>
      <c r="J4270" s="19" t="n">
        <v>1816.3125</v>
      </c>
      <c r="K4270" s="35" t="n">
        <v>-0.25</v>
      </c>
    </row>
    <row r="4271">
      <c r="A4271" s="36" t="inlineStr">
        <is>
          <t>Lønn vikarer</t>
        </is>
      </c>
      <c r="B4271" s="36" t="inlineStr">
        <is>
          <t>Region Øst</t>
        </is>
      </c>
      <c r="C4271" s="36" t="inlineStr">
        <is>
          <t>Hedmark ungdoms- og  familiesenter - akutt  Avdeling  Vien 1</t>
        </is>
      </c>
      <c r="D4271" s="26" t="n">
        <v>691894</v>
      </c>
      <c r="E4271" s="26" t="n">
        <v>800551</v>
      </c>
      <c r="F4271" s="26" t="n">
        <v>915554</v>
      </c>
      <c r="G4271" s="26" t="n">
        <v>1787567</v>
      </c>
      <c r="H4271" s="26" t="n">
        <v>1910191</v>
      </c>
      <c r="I4271" s="26" t="n">
        <v>6754</v>
      </c>
      <c r="J4271" s="19" t="n">
        <v>3799.125</v>
      </c>
      <c r="K4271" s="37" t="n">
        <v>-0.25</v>
      </c>
    </row>
    <row r="4272">
      <c r="A4272" s="34" t="inlineStr">
        <is>
          <t>Lønn vikarer</t>
        </is>
      </c>
      <c r="B4272" s="34" t="inlineStr">
        <is>
          <t>Region Øst</t>
        </is>
      </c>
      <c r="C4272" s="34" t="inlineStr">
        <is>
          <t>Hedmark ungdoms- og  familiesenter - akutt  Avdeling  Vien 2</t>
        </is>
      </c>
      <c r="D4272" s="18" t="n">
        <v>863331</v>
      </c>
      <c r="E4272" s="18" t="n">
        <v>925855</v>
      </c>
      <c r="F4272" s="18" t="n">
        <v>1196595</v>
      </c>
      <c r="G4272" s="18" t="n">
        <v>1231902</v>
      </c>
      <c r="H4272" s="18" t="n">
        <v>1374386</v>
      </c>
      <c r="I4272" s="18" t="n">
        <v>-149</v>
      </c>
      <c r="J4272" s="19" t="n">
        <v>-168.999525</v>
      </c>
      <c r="K4272" s="35" t="n">
        <v>0.065</v>
      </c>
    </row>
    <row r="4273">
      <c r="A4273" s="36" t="inlineStr">
        <is>
          <t>Lønn vikarer</t>
        </is>
      </c>
      <c r="B4273" s="36" t="inlineStr">
        <is>
          <t>Region Øst</t>
        </is>
      </c>
      <c r="C4273" s="36" t="inlineStr">
        <is>
          <t>Hedmark ungdoms- og familiesenter - akutt Avdeling Disen</t>
        </is>
      </c>
      <c r="D4273" s="26" t="n"/>
      <c r="E4273" s="26" t="n"/>
      <c r="F4273" s="26" t="n">
        <v>1290682</v>
      </c>
      <c r="G4273" s="26" t="n">
        <v>1533738</v>
      </c>
      <c r="H4273" s="26" t="n">
        <v>1448304</v>
      </c>
      <c r="I4273" s="26" t="n">
        <v>32365</v>
      </c>
      <c r="J4273" s="19" t="n">
        <v>36709.19212499999</v>
      </c>
      <c r="K4273" s="37" t="n">
        <v>0.065</v>
      </c>
    </row>
    <row r="4274">
      <c r="A4274" s="34" t="inlineStr">
        <is>
          <t>Lønn vikarer</t>
        </is>
      </c>
      <c r="B4274" s="34" t="inlineStr">
        <is>
          <t>Region Øst</t>
        </is>
      </c>
      <c r="C4274" s="34" t="inlineStr">
        <is>
          <t>Hedmark ungdoms- og familiesenter - akutt Avdeling Irstad</t>
        </is>
      </c>
      <c r="D4274" s="18" t="n">
        <v>1593568</v>
      </c>
      <c r="E4274" s="18" t="n">
        <v>1522541</v>
      </c>
      <c r="F4274" s="18" t="n">
        <v>140578</v>
      </c>
      <c r="G4274" s="18" t="n"/>
      <c r="H4274" s="18" t="n"/>
      <c r="I4274" s="18" t="n"/>
      <c r="J4274" s="19" t="n">
        <v>0</v>
      </c>
      <c r="K4274" s="35" t="n">
        <v>0.065</v>
      </c>
    </row>
    <row r="4275">
      <c r="A4275" s="36" t="inlineStr">
        <is>
          <t>Lønn vikarer</t>
        </is>
      </c>
      <c r="B4275" s="36" t="inlineStr">
        <is>
          <t>Region Øst</t>
        </is>
      </c>
      <c r="C4275" s="36" t="inlineStr">
        <is>
          <t>Hedmark ungdoms- og familiesenter - akutt, avd Disen</t>
        </is>
      </c>
      <c r="D4275" s="26" t="n"/>
      <c r="E4275" s="26" t="n"/>
      <c r="F4275" s="26" t="n"/>
      <c r="G4275" s="26" t="n"/>
      <c r="H4275" s="26" t="n"/>
      <c r="I4275" s="26" t="n">
        <v>1629772</v>
      </c>
      <c r="J4275" s="19" t="n">
        <v>1848528.1467</v>
      </c>
      <c r="K4275" s="37" t="n">
        <v>0.065</v>
      </c>
    </row>
    <row r="4276">
      <c r="A4276" s="34" t="inlineStr">
        <is>
          <t>Lønn vikarer</t>
        </is>
      </c>
      <c r="B4276" s="34" t="inlineStr">
        <is>
          <t>Region Øst</t>
        </is>
      </c>
      <c r="C4276" s="34" t="inlineStr">
        <is>
          <t>Hedmark ungdoms- og familiesenter - akutt, avd Stange 1</t>
        </is>
      </c>
      <c r="D4276" s="18" t="n"/>
      <c r="E4276" s="18" t="n"/>
      <c r="F4276" s="18" t="n"/>
      <c r="G4276" s="18" t="n"/>
      <c r="H4276" s="18" t="n"/>
      <c r="I4276" s="18" t="n">
        <v>1236687</v>
      </c>
      <c r="J4276" s="19" t="n">
        <v>1402681.312575</v>
      </c>
      <c r="K4276" s="35" t="n">
        <v>0.065</v>
      </c>
    </row>
    <row r="4277">
      <c r="A4277" s="36" t="inlineStr">
        <is>
          <t>Lønn vikarer</t>
        </is>
      </c>
      <c r="B4277" s="36" t="inlineStr">
        <is>
          <t>Region Øst</t>
        </is>
      </c>
      <c r="C4277" s="36" t="inlineStr">
        <is>
          <t>Hedmark ungdoms- og familiesenter - akutt, avd Vien 1</t>
        </is>
      </c>
      <c r="D4277" s="26" t="n"/>
      <c r="E4277" s="26" t="n"/>
      <c r="F4277" s="26" t="n"/>
      <c r="G4277" s="26" t="n"/>
      <c r="H4277" s="26" t="n"/>
      <c r="I4277" s="26" t="n">
        <v>1250574</v>
      </c>
      <c r="J4277" s="19" t="n">
        <v>1418432.29515</v>
      </c>
      <c r="K4277" s="37" t="n">
        <v>0.065</v>
      </c>
    </row>
    <row r="4278">
      <c r="A4278" s="34" t="inlineStr">
        <is>
          <t>Lønn vikarer</t>
        </is>
      </c>
      <c r="B4278" s="34" t="inlineStr">
        <is>
          <t>Region Øst</t>
        </is>
      </c>
      <c r="C4278" s="34" t="inlineStr">
        <is>
          <t>Hedmark ungdoms- og familiesenter - akutt, avd Vien 2</t>
        </is>
      </c>
      <c r="D4278" s="18" t="n"/>
      <c r="E4278" s="18" t="n"/>
      <c r="F4278" s="18" t="n"/>
      <c r="G4278" s="18" t="n"/>
      <c r="H4278" s="18" t="n"/>
      <c r="I4278" s="18" t="n">
        <v>1890937</v>
      </c>
      <c r="J4278" s="19" t="n">
        <v>2144748.018825</v>
      </c>
      <c r="K4278" s="35" t="n">
        <v>0.065</v>
      </c>
    </row>
    <row r="4279">
      <c r="A4279" s="36" t="inlineStr">
        <is>
          <t>Lønn vikarer</t>
        </is>
      </c>
      <c r="B4279" s="36" t="inlineStr">
        <is>
          <t>Region Øst</t>
        </is>
      </c>
      <c r="C4279" s="36" t="inlineStr">
        <is>
          <t>Innlandet Barnevernsenter avdeling Sandvig</t>
        </is>
      </c>
      <c r="D4279" s="26" t="n">
        <v>249283</v>
      </c>
      <c r="E4279" s="26" t="n">
        <v>836205</v>
      </c>
      <c r="F4279" s="26" t="n">
        <v>1354232</v>
      </c>
      <c r="G4279" s="26" t="n">
        <v>1561787</v>
      </c>
      <c r="H4279" s="26" t="n">
        <v>1548406</v>
      </c>
      <c r="I4279" s="26" t="n">
        <v>1840805</v>
      </c>
      <c r="J4279" s="19" t="n">
        <v>2876257.8125</v>
      </c>
      <c r="K4279" s="37" t="n">
        <v>0.25</v>
      </c>
    </row>
    <row r="4280">
      <c r="A4280" s="34" t="inlineStr">
        <is>
          <t>Lønn vikarer</t>
        </is>
      </c>
      <c r="B4280" s="34" t="inlineStr">
        <is>
          <t>Region Øst</t>
        </is>
      </c>
      <c r="C4280" s="34" t="inlineStr">
        <is>
          <t>Innlandet barnevernsenter avdeling Aukrust</t>
        </is>
      </c>
      <c r="D4280" s="18" t="n">
        <v>1456478</v>
      </c>
      <c r="E4280" s="18" t="n">
        <v>1289574</v>
      </c>
      <c r="F4280" s="18" t="n">
        <v>1001879</v>
      </c>
      <c r="G4280" s="18" t="n">
        <v>728205</v>
      </c>
      <c r="H4280" s="18" t="n">
        <v>653073</v>
      </c>
      <c r="I4280" s="18" t="n">
        <v>1089751</v>
      </c>
      <c r="J4280" s="19" t="n">
        <v>970368.3324839517</v>
      </c>
      <c r="K4280" s="35" t="n">
        <v>-0.05636363400822098</v>
      </c>
    </row>
    <row r="4281">
      <c r="A4281" s="36" t="inlineStr">
        <is>
          <t>Lønn vikarer</t>
        </is>
      </c>
      <c r="B4281" s="36" t="inlineStr">
        <is>
          <t>Region Øst</t>
        </is>
      </c>
      <c r="C4281" s="36" t="inlineStr">
        <is>
          <t>Innlandet barnevernsenter avdeling Kauffeldt</t>
        </is>
      </c>
      <c r="D4281" s="26" t="n"/>
      <c r="E4281" s="26" t="n"/>
      <c r="F4281" s="26" t="n"/>
      <c r="G4281" s="26" t="n">
        <v>8399</v>
      </c>
      <c r="H4281" s="26" t="n">
        <v>393382</v>
      </c>
      <c r="I4281" s="26" t="n">
        <v>485750</v>
      </c>
      <c r="J4281" s="19" t="n">
        <v>550949.79375</v>
      </c>
      <c r="K4281" s="37" t="n">
        <v>0.065</v>
      </c>
    </row>
    <row r="4282">
      <c r="A4282" s="34" t="inlineStr">
        <is>
          <t>Lønn vikarer</t>
        </is>
      </c>
      <c r="B4282" s="34" t="inlineStr">
        <is>
          <t>Region Øst</t>
        </is>
      </c>
      <c r="C4282" s="34" t="inlineStr">
        <is>
          <t>Innlandet barnevernsenter avdeling Prøysen</t>
        </is>
      </c>
      <c r="D4282" s="18" t="n">
        <v>1030529</v>
      </c>
      <c r="E4282" s="18" t="n">
        <v>1706194</v>
      </c>
      <c r="F4282" s="18" t="n">
        <v>1917154</v>
      </c>
      <c r="G4282" s="18" t="n">
        <v>2120475</v>
      </c>
      <c r="H4282" s="18" t="n">
        <v>1939052</v>
      </c>
      <c r="I4282" s="18" t="n">
        <v>1362149</v>
      </c>
      <c r="J4282" s="19" t="n">
        <v>1522966.586656827</v>
      </c>
      <c r="K4282" s="35" t="n">
        <v>0.05738435333670133</v>
      </c>
    </row>
    <row r="4283">
      <c r="A4283" s="36" t="inlineStr">
        <is>
          <t>Lønn vikarer</t>
        </is>
      </c>
      <c r="B4283" s="36" t="inlineStr">
        <is>
          <t>Region Øst</t>
        </is>
      </c>
      <c r="C4283" s="36" t="inlineStr">
        <is>
          <t>Innlandet barnevernsenter avdeling Vestly</t>
        </is>
      </c>
      <c r="D4283" s="26" t="n">
        <v>1201367</v>
      </c>
      <c r="E4283" s="26" t="n">
        <v>1255936</v>
      </c>
      <c r="F4283" s="26" t="n">
        <v>1735828</v>
      </c>
      <c r="G4283" s="26" t="n">
        <v>1789977</v>
      </c>
      <c r="H4283" s="26" t="n">
        <v>1091711</v>
      </c>
      <c r="I4283" s="26" t="n">
        <v>1347266</v>
      </c>
      <c r="J4283" s="19" t="n">
        <v>1410471.809782826</v>
      </c>
      <c r="K4283" s="37" t="n">
        <v>0.0231882173651945</v>
      </c>
    </row>
    <row r="4284">
      <c r="A4284" s="34" t="inlineStr">
        <is>
          <t>Lønn vikarer</t>
        </is>
      </c>
      <c r="B4284" s="34" t="inlineStr">
        <is>
          <t>Region Øst</t>
        </is>
      </c>
      <c r="C4284" s="34" t="inlineStr">
        <is>
          <t>Jong ungdoms- og familiesenter, avd Åsen</t>
        </is>
      </c>
      <c r="D4284" s="18" t="n"/>
      <c r="E4284" s="18" t="n"/>
      <c r="F4284" s="18" t="n"/>
      <c r="G4284" s="18" t="n"/>
      <c r="H4284" s="18" t="n"/>
      <c r="I4284" s="18" t="n">
        <v>1394588</v>
      </c>
      <c r="J4284" s="19" t="n">
        <v>1581776.5743</v>
      </c>
      <c r="K4284" s="35" t="n">
        <v>0.065</v>
      </c>
    </row>
    <row r="4285">
      <c r="A4285" s="36" t="inlineStr">
        <is>
          <t>Lønn vikarer</t>
        </is>
      </c>
      <c r="B4285" s="36" t="inlineStr">
        <is>
          <t>Region Øst</t>
        </is>
      </c>
      <c r="C4285" s="36" t="inlineStr">
        <is>
          <t>Jong ungdoms- og familiesenter, avd. Kollen</t>
        </is>
      </c>
      <c r="D4285" s="26" t="n"/>
      <c r="E4285" s="26" t="n"/>
      <c r="F4285" s="26" t="n"/>
      <c r="G4285" s="26" t="n"/>
      <c r="H4285" s="26" t="n"/>
      <c r="I4285" s="26" t="n">
        <v>1116628</v>
      </c>
      <c r="J4285" s="19" t="n">
        <v>1266507.3933</v>
      </c>
      <c r="K4285" s="37" t="n">
        <v>0.065</v>
      </c>
    </row>
    <row r="4286">
      <c r="A4286" s="34" t="inlineStr">
        <is>
          <t>Lønn vikarer</t>
        </is>
      </c>
      <c r="B4286" s="34" t="inlineStr">
        <is>
          <t>Region Øst</t>
        </is>
      </c>
      <c r="C4286" s="34" t="inlineStr">
        <is>
          <t>Jong ungdoms- og familiesenter, avdeling Kollen</t>
        </is>
      </c>
      <c r="D4286" s="18" t="n"/>
      <c r="E4286" s="18" t="n"/>
      <c r="F4286" s="18" t="n"/>
      <c r="G4286" s="18" t="n"/>
      <c r="H4286" s="18" t="n">
        <v>242983</v>
      </c>
      <c r="I4286" s="18" t="n"/>
      <c r="J4286" s="19" t="n">
        <v>0</v>
      </c>
      <c r="K4286" s="35" t="n">
        <v>0.065</v>
      </c>
    </row>
    <row r="4287">
      <c r="A4287" s="36" t="inlineStr">
        <is>
          <t>Lønn vikarer</t>
        </is>
      </c>
      <c r="B4287" s="36" t="inlineStr">
        <is>
          <t>Region Øst</t>
        </is>
      </c>
      <c r="C4287" s="36" t="inlineStr">
        <is>
          <t>Jong ungdoms- og familiesenter, avdeling Åsen</t>
        </is>
      </c>
      <c r="D4287" s="26" t="n">
        <v>823608</v>
      </c>
      <c r="E4287" s="26" t="n">
        <v>993289</v>
      </c>
      <c r="F4287" s="26" t="n">
        <v>1266314</v>
      </c>
      <c r="G4287" s="26" t="n">
        <v>1117903</v>
      </c>
      <c r="H4287" s="26" t="n">
        <v>1353644</v>
      </c>
      <c r="I4287" s="26" t="n"/>
      <c r="J4287" s="19" t="n">
        <v>0</v>
      </c>
      <c r="K4287" s="37" t="n">
        <v>0.065</v>
      </c>
    </row>
    <row r="4288">
      <c r="A4288" s="34" t="inlineStr">
        <is>
          <t>Lønn vikarer</t>
        </is>
      </c>
      <c r="B4288" s="34" t="inlineStr">
        <is>
          <t>Region Øst</t>
        </is>
      </c>
      <c r="C4288" s="34" t="inlineStr">
        <is>
          <t>Kirkenær barnever- og omsorgssenter Avdeling Frigg</t>
        </is>
      </c>
      <c r="D4288" s="18" t="n"/>
      <c r="E4288" s="18" t="n">
        <v>346099</v>
      </c>
      <c r="F4288" s="18" t="n">
        <v>1147251</v>
      </c>
      <c r="G4288" s="18" t="n">
        <v>1522353</v>
      </c>
      <c r="H4288" s="18" t="n">
        <v>1610278</v>
      </c>
      <c r="I4288" s="18" t="n">
        <v>1202762</v>
      </c>
      <c r="J4288" s="19" t="n">
        <v>1879315.625</v>
      </c>
      <c r="K4288" s="35" t="n">
        <v>0.25</v>
      </c>
    </row>
    <row r="4289">
      <c r="A4289" s="36" t="inlineStr">
        <is>
          <t>Lønn vikarer</t>
        </is>
      </c>
      <c r="B4289" s="36" t="inlineStr">
        <is>
          <t>Region Øst</t>
        </is>
      </c>
      <c r="C4289" s="36" t="inlineStr">
        <is>
          <t>Kirkenær barnevern- og omsorgssenter  Avdeling Frydenlund</t>
        </is>
      </c>
      <c r="D4289" s="26" t="n">
        <v>7304</v>
      </c>
      <c r="E4289" s="26" t="n">
        <v>259982</v>
      </c>
      <c r="F4289" s="26" t="n"/>
      <c r="G4289" s="26" t="n"/>
      <c r="H4289" s="26" t="n"/>
      <c r="I4289" s="26" t="n"/>
      <c r="J4289" s="19" t="n">
        <v>0</v>
      </c>
      <c r="K4289" s="37" t="n">
        <v>0.065</v>
      </c>
    </row>
    <row r="4290">
      <c r="A4290" s="34" t="inlineStr">
        <is>
          <t>Lønn vikarer</t>
        </is>
      </c>
      <c r="B4290" s="34" t="inlineStr">
        <is>
          <t>Region Øst</t>
        </is>
      </c>
      <c r="C4290" s="34" t="inlineStr">
        <is>
          <t>Kirkenær barnevern- og omsorgssenter  Avdeling Furubo</t>
        </is>
      </c>
      <c r="D4290" s="18" t="n">
        <v>1451</v>
      </c>
      <c r="E4290" s="18" t="n">
        <v>110372</v>
      </c>
      <c r="F4290" s="18" t="n"/>
      <c r="G4290" s="18" t="n"/>
      <c r="H4290" s="18" t="n"/>
      <c r="I4290" s="18" t="n"/>
      <c r="J4290" s="19" t="n">
        <v>0</v>
      </c>
      <c r="K4290" s="35" t="n">
        <v>0.065</v>
      </c>
    </row>
    <row r="4291">
      <c r="A4291" s="36" t="inlineStr">
        <is>
          <t>Lønn vikarer</t>
        </is>
      </c>
      <c r="B4291" s="36" t="inlineStr">
        <is>
          <t>Region Øst</t>
        </is>
      </c>
      <c r="C4291" s="36" t="inlineStr">
        <is>
          <t>Kirkenær barnevern- og omsorgssenter  Avdeling Kirkenærtunet</t>
        </is>
      </c>
      <c r="D4291" s="26" t="n">
        <v>2683</v>
      </c>
      <c r="E4291" s="26" t="n"/>
      <c r="F4291" s="26" t="n"/>
      <c r="G4291" s="26" t="n"/>
      <c r="H4291" s="26" t="n"/>
      <c r="I4291" s="26" t="n"/>
      <c r="J4291" s="19" t="n">
        <v>0</v>
      </c>
      <c r="K4291" s="37" t="n">
        <v>0.065</v>
      </c>
    </row>
    <row r="4292">
      <c r="A4292" s="34" t="inlineStr">
        <is>
          <t>Lønn vikarer</t>
        </is>
      </c>
      <c r="B4292" s="34" t="inlineStr">
        <is>
          <t>Region Øst</t>
        </is>
      </c>
      <c r="C4292" s="34" t="inlineStr">
        <is>
          <t>Kirkenær barnevern- og omsorgssenter  Edda ungdomshjem</t>
        </is>
      </c>
      <c r="D4292" s="18" t="n">
        <v>831717</v>
      </c>
      <c r="E4292" s="18" t="n">
        <v>919875</v>
      </c>
      <c r="F4292" s="18" t="n">
        <v>896703</v>
      </c>
      <c r="G4292" s="18" t="n">
        <v>1169931</v>
      </c>
      <c r="H4292" s="18" t="n">
        <v>1395775</v>
      </c>
      <c r="I4292" s="18" t="n">
        <v>1322367</v>
      </c>
      <c r="J4292" s="19" t="n">
        <v>1591851.57886681</v>
      </c>
      <c r="K4292" s="35" t="n">
        <v>0.09717343764335706</v>
      </c>
    </row>
    <row r="4293">
      <c r="A4293" s="36" t="inlineStr">
        <is>
          <t>Lønn vikarer</t>
        </is>
      </c>
      <c r="B4293" s="36" t="inlineStr">
        <is>
          <t>Region Øst</t>
        </is>
      </c>
      <c r="C4293" s="36" t="inlineStr">
        <is>
          <t>Kirkenær barnevern- og omsorgssenter  Snorre ungdomshjem</t>
        </is>
      </c>
      <c r="D4293" s="26" t="n">
        <v>1041475</v>
      </c>
      <c r="E4293" s="26" t="n">
        <v>547539</v>
      </c>
      <c r="F4293" s="26" t="n">
        <v>731967</v>
      </c>
      <c r="G4293" s="26" t="n">
        <v>841558</v>
      </c>
      <c r="H4293" s="26" t="n">
        <v>833120</v>
      </c>
      <c r="I4293" s="26" t="n">
        <v>1854574</v>
      </c>
      <c r="J4293" s="19" t="n">
        <v>2336050.860235878</v>
      </c>
      <c r="K4293" s="37" t="n">
        <v>0.1223261021508155</v>
      </c>
    </row>
    <row r="4294">
      <c r="A4294" s="34" t="inlineStr">
        <is>
          <t>Lønn vikarer</t>
        </is>
      </c>
      <c r="B4294" s="34" t="inlineStr">
        <is>
          <t>Region Øst</t>
        </is>
      </c>
      <c r="C4294" s="34" t="inlineStr">
        <is>
          <t>Kirkenær barnevern- og omsorgssenter Avdeling Balder</t>
        </is>
      </c>
      <c r="D4294" s="18" t="n">
        <v>873527</v>
      </c>
      <c r="E4294" s="18" t="n">
        <v>1520921</v>
      </c>
      <c r="F4294" s="18" t="n">
        <v>1313763</v>
      </c>
      <c r="G4294" s="18" t="n">
        <v>1586376</v>
      </c>
      <c r="H4294" s="18" t="n">
        <v>2233622</v>
      </c>
      <c r="I4294" s="18" t="n">
        <v>2421110</v>
      </c>
      <c r="J4294" s="19" t="n">
        <v>3640070.51485295</v>
      </c>
      <c r="K4294" s="35" t="n">
        <v>0.2261613926501678</v>
      </c>
    </row>
    <row r="4295">
      <c r="A4295" s="36" t="inlineStr">
        <is>
          <t>Lønn vikarer</t>
        </is>
      </c>
      <c r="B4295" s="36" t="inlineStr">
        <is>
          <t>Region Øst</t>
        </is>
      </c>
      <c r="C4295" s="36" t="inlineStr">
        <is>
          <t>Lierfoss ungdoms- og familiesenter - avdeling Skogtun</t>
        </is>
      </c>
      <c r="D4295" s="26" t="n"/>
      <c r="E4295" s="26" t="n"/>
      <c r="F4295" s="26" t="n"/>
      <c r="G4295" s="26" t="n"/>
      <c r="H4295" s="26" t="n">
        <v>992022</v>
      </c>
      <c r="I4295" s="26" t="n">
        <v>1267549</v>
      </c>
      <c r="J4295" s="19" t="n">
        <v>1437685.764525</v>
      </c>
      <c r="K4295" s="37" t="n">
        <v>0.065</v>
      </c>
    </row>
    <row r="4296">
      <c r="A4296" s="34" t="inlineStr">
        <is>
          <t>Lønn vikarer</t>
        </is>
      </c>
      <c r="B4296" s="34" t="inlineStr">
        <is>
          <t>Region Øst</t>
        </is>
      </c>
      <c r="C4296" s="34" t="inlineStr">
        <is>
          <t>Lierfoss ungdoms- og familiesenter - omsorg  Autentoppen ungdomshjem</t>
        </is>
      </c>
      <c r="D4296" s="18" t="n">
        <v>486547</v>
      </c>
      <c r="E4296" s="18" t="n">
        <v>771298</v>
      </c>
      <c r="F4296" s="18" t="n">
        <v>81845</v>
      </c>
      <c r="G4296" s="18" t="n"/>
      <c r="H4296" s="18" t="n"/>
      <c r="I4296" s="18" t="n"/>
      <c r="J4296" s="19" t="n">
        <v>0</v>
      </c>
      <c r="K4296" s="35" t="n">
        <v>0.065</v>
      </c>
    </row>
    <row r="4297">
      <c r="A4297" s="36" t="inlineStr">
        <is>
          <t>Lønn vikarer</t>
        </is>
      </c>
      <c r="B4297" s="36" t="inlineStr">
        <is>
          <t>Region Øst</t>
        </is>
      </c>
      <c r="C4297" s="36" t="inlineStr">
        <is>
          <t>Lierfoss ungdoms- og familiesenter - omsorg  Berglia ungdomshjem</t>
        </is>
      </c>
      <c r="D4297" s="26" t="n">
        <v>295134</v>
      </c>
      <c r="E4297" s="26" t="n">
        <v>1324671</v>
      </c>
      <c r="F4297" s="26" t="n">
        <v>824897</v>
      </c>
      <c r="G4297" s="26" t="n">
        <v>1306111</v>
      </c>
      <c r="H4297" s="26" t="n">
        <v>1395708</v>
      </c>
      <c r="I4297" s="26" t="n">
        <v>1620068</v>
      </c>
      <c r="J4297" s="19" t="n">
        <v>2531356.25</v>
      </c>
      <c r="K4297" s="37" t="n">
        <v>0.25</v>
      </c>
    </row>
    <row r="4298">
      <c r="A4298" s="34" t="inlineStr">
        <is>
          <t>Lønn vikarer</t>
        </is>
      </c>
      <c r="B4298" s="34" t="inlineStr">
        <is>
          <t>Region Øst</t>
        </is>
      </c>
      <c r="C4298" s="34" t="inlineStr">
        <is>
          <t>Lierfoss ungdoms- og familiesenter - omsorg  Furulia ungdomshjem</t>
        </is>
      </c>
      <c r="D4298" s="18" t="n">
        <v>349144</v>
      </c>
      <c r="E4298" s="18" t="n">
        <v>409890</v>
      </c>
      <c r="F4298" s="18" t="n">
        <v>575134</v>
      </c>
      <c r="G4298" s="18" t="n">
        <v>1167244</v>
      </c>
      <c r="H4298" s="18" t="n">
        <v>1015295</v>
      </c>
      <c r="I4298" s="18" t="n">
        <v>1316506</v>
      </c>
      <c r="J4298" s="19" t="n">
        <v>2057040.625</v>
      </c>
      <c r="K4298" s="35" t="n">
        <v>0.25</v>
      </c>
    </row>
    <row r="4299">
      <c r="A4299" s="36" t="inlineStr">
        <is>
          <t>Lønn vikarer</t>
        </is>
      </c>
      <c r="B4299" s="36" t="inlineStr">
        <is>
          <t>Region Øst</t>
        </is>
      </c>
      <c r="C4299" s="36" t="inlineStr">
        <is>
          <t>Lierfoss ungdoms- og familiesenter - omsorg Lillehagen</t>
        </is>
      </c>
      <c r="D4299" s="26" t="n">
        <v>661315</v>
      </c>
      <c r="E4299" s="26" t="n">
        <v>615765</v>
      </c>
      <c r="F4299" s="26" t="n">
        <v>32947</v>
      </c>
      <c r="G4299" s="26" t="n"/>
      <c r="H4299" s="26" t="n"/>
      <c r="I4299" s="26" t="n"/>
      <c r="J4299" s="19" t="n">
        <v>0</v>
      </c>
      <c r="K4299" s="37" t="n">
        <v>0.065</v>
      </c>
    </row>
    <row r="4300">
      <c r="A4300" s="34" t="inlineStr">
        <is>
          <t>Lønn vikarer</t>
        </is>
      </c>
      <c r="B4300" s="34" t="inlineStr">
        <is>
          <t>Region Øst</t>
        </is>
      </c>
      <c r="C4300" s="34" t="inlineStr">
        <is>
          <t>Lierfoss ungdoms- og familiesenter, avdeling Riserhagen</t>
        </is>
      </c>
      <c r="D4300" s="18" t="n"/>
      <c r="E4300" s="18" t="n">
        <v>93923</v>
      </c>
      <c r="F4300" s="18" t="n">
        <v>2002390</v>
      </c>
      <c r="G4300" s="18" t="n">
        <v>2065112</v>
      </c>
      <c r="H4300" s="18" t="n">
        <v>1889650</v>
      </c>
      <c r="I4300" s="18" t="n">
        <v>2055719</v>
      </c>
      <c r="J4300" s="19" t="n">
        <v>3212060.9375</v>
      </c>
      <c r="K4300" s="35" t="n">
        <v>0.25</v>
      </c>
    </row>
    <row r="4301">
      <c r="A4301" s="36" t="inlineStr">
        <is>
          <t>Lønn vikarer</t>
        </is>
      </c>
      <c r="B4301" s="36" t="inlineStr">
        <is>
          <t>Region Øst</t>
        </is>
      </c>
      <c r="C4301" s="36" t="inlineStr">
        <is>
          <t>Sarpsborg ungdoms og familiesenter - behandling  Avdeling Østheim</t>
        </is>
      </c>
      <c r="D4301" s="26" t="n">
        <v>3574343</v>
      </c>
      <c r="E4301" s="26" t="n">
        <v>1220566</v>
      </c>
      <c r="F4301" s="26" t="n">
        <v>1455075</v>
      </c>
      <c r="G4301" s="26" t="n">
        <v>983589</v>
      </c>
      <c r="H4301" s="26" t="n"/>
      <c r="I4301" s="26" t="n"/>
      <c r="J4301" s="19" t="n">
        <v>0</v>
      </c>
      <c r="K4301" s="37" t="n">
        <v>0.065</v>
      </c>
    </row>
    <row r="4302">
      <c r="A4302" s="34" t="inlineStr">
        <is>
          <t>Lønn vikarer</t>
        </is>
      </c>
      <c r="B4302" s="34" t="inlineStr">
        <is>
          <t>Region Øst</t>
        </is>
      </c>
      <c r="C4302" s="34" t="inlineStr">
        <is>
          <t>Sarpsborg ungdoms og familiesenter - behandling  Avdeling Østlund</t>
        </is>
      </c>
      <c r="D4302" s="18" t="n">
        <v>1219307</v>
      </c>
      <c r="E4302" s="18" t="n">
        <v>1168087</v>
      </c>
      <c r="F4302" s="18" t="n">
        <v>2336570</v>
      </c>
      <c r="G4302" s="18" t="n">
        <v>1199419</v>
      </c>
      <c r="H4302" s="18" t="n"/>
      <c r="I4302" s="18" t="n"/>
      <c r="J4302" s="19" t="n">
        <v>0</v>
      </c>
      <c r="K4302" s="35" t="n">
        <v>0.065</v>
      </c>
    </row>
    <row r="4303">
      <c r="A4303" s="36" t="inlineStr">
        <is>
          <t>Lønn vikarer</t>
        </is>
      </c>
      <c r="B4303" s="36" t="inlineStr">
        <is>
          <t>Region Øst</t>
        </is>
      </c>
      <c r="C4303" s="36" t="inlineStr">
        <is>
          <t>Seljelia barne- og  familiesenter  Avdeling for beredskapshjem</t>
        </is>
      </c>
      <c r="D4303" s="26" t="n">
        <v>16300</v>
      </c>
      <c r="E4303" s="26" t="n"/>
      <c r="F4303" s="26" t="n"/>
      <c r="G4303" s="26" t="n"/>
      <c r="H4303" s="26" t="n"/>
      <c r="I4303" s="26" t="n"/>
      <c r="J4303" s="19" t="n">
        <v>0</v>
      </c>
      <c r="K4303" s="37" t="n">
        <v>0.065</v>
      </c>
    </row>
    <row r="4304">
      <c r="A4304" s="34" t="inlineStr">
        <is>
          <t>Lønn vikarer</t>
        </is>
      </c>
      <c r="B4304" s="34" t="inlineStr">
        <is>
          <t>Region Øst</t>
        </is>
      </c>
      <c r="C4304" s="34" t="inlineStr">
        <is>
          <t>Seljelia barne- og  familiesenter  Foreldre- og barn avdeling</t>
        </is>
      </c>
      <c r="D4304" s="18" t="n">
        <v>90749</v>
      </c>
      <c r="E4304" s="18" t="n"/>
      <c r="F4304" s="18" t="n"/>
      <c r="G4304" s="18" t="n"/>
      <c r="H4304" s="18" t="n"/>
      <c r="I4304" s="18" t="n"/>
      <c r="J4304" s="19" t="n">
        <v>0</v>
      </c>
      <c r="K4304" s="35" t="n">
        <v>0.065</v>
      </c>
    </row>
    <row r="4305">
      <c r="A4305" s="36" t="inlineStr">
        <is>
          <t>Lønn vikarer</t>
        </is>
      </c>
      <c r="B4305" s="36" t="inlineStr">
        <is>
          <t>Region Øst</t>
        </is>
      </c>
      <c r="C4305" s="36" t="inlineStr">
        <is>
          <t>Seljelia barne- og familiesenter Foreldre- og barn avdeling</t>
        </is>
      </c>
      <c r="D4305" s="26" t="n">
        <v>9554</v>
      </c>
      <c r="E4305" s="26" t="n">
        <v>42020</v>
      </c>
      <c r="F4305" s="26" t="n"/>
      <c r="G4305" s="26" t="n"/>
      <c r="H4305" s="26" t="n"/>
      <c r="I4305" s="26" t="n"/>
      <c r="J4305" s="19" t="n">
        <v>0</v>
      </c>
      <c r="K4305" s="37" t="n">
        <v>0.065</v>
      </c>
    </row>
    <row r="4306">
      <c r="A4306" s="34" t="inlineStr">
        <is>
          <t>Lønn vikarer</t>
        </is>
      </c>
      <c r="B4306" s="34" t="inlineStr">
        <is>
          <t>Region Øst</t>
        </is>
      </c>
      <c r="C4306" s="34" t="inlineStr">
        <is>
          <t>Støttespillerne - Huset</t>
        </is>
      </c>
      <c r="D4306" s="18" t="n"/>
      <c r="E4306" s="18" t="n">
        <v>299595</v>
      </c>
      <c r="F4306" s="18" t="n">
        <v>1042915</v>
      </c>
      <c r="G4306" s="18" t="n">
        <v>1357648</v>
      </c>
      <c r="H4306" s="18" t="n"/>
      <c r="I4306" s="18" t="n"/>
      <c r="J4306" s="19" t="n">
        <v>0</v>
      </c>
      <c r="K4306" s="35" t="n">
        <v>0.065</v>
      </c>
    </row>
    <row r="4307">
      <c r="A4307" s="36" t="inlineStr">
        <is>
          <t>Lønn vikarer</t>
        </is>
      </c>
      <c r="B4307" s="36" t="inlineStr">
        <is>
          <t>Region Øst</t>
        </is>
      </c>
      <c r="C4307" s="36" t="inlineStr">
        <is>
          <t>TFCO Sandvika</t>
        </is>
      </c>
      <c r="D4307" s="26" t="n">
        <v>390884</v>
      </c>
      <c r="E4307" s="26" t="n">
        <v>445872</v>
      </c>
      <c r="F4307" s="26" t="n"/>
      <c r="G4307" s="26" t="n"/>
      <c r="H4307" s="26" t="n"/>
      <c r="I4307" s="26" t="n"/>
      <c r="J4307" s="19" t="n">
        <v>0</v>
      </c>
      <c r="K4307" s="37" t="n">
        <v>0.065</v>
      </c>
    </row>
    <row r="4308">
      <c r="A4308" s="34" t="inlineStr">
        <is>
          <t>Lønn vikarer</t>
        </is>
      </c>
      <c r="B4308" s="34" t="inlineStr">
        <is>
          <t>Region Øst</t>
        </is>
      </c>
      <c r="C4308" s="34" t="inlineStr">
        <is>
          <t>Ås ungdomssenter  - MulitifunC-behandling  Avdeling Institusjon</t>
        </is>
      </c>
      <c r="D4308" s="18" t="n">
        <v>2366946</v>
      </c>
      <c r="E4308" s="18" t="n">
        <v>2885735</v>
      </c>
      <c r="F4308" s="18" t="n">
        <v>2237981</v>
      </c>
      <c r="G4308" s="18" t="n">
        <v>1145546</v>
      </c>
      <c r="H4308" s="18" t="n"/>
      <c r="I4308" s="18" t="n"/>
      <c r="J4308" s="19" t="n">
        <v>0</v>
      </c>
      <c r="K4308" s="35" t="n">
        <v>0.065</v>
      </c>
    </row>
    <row r="4309">
      <c r="A4309" s="36" t="inlineStr">
        <is>
          <t>Lønn vikarer</t>
        </is>
      </c>
      <c r="B4309" s="36" t="inlineStr">
        <is>
          <t>Region Øst</t>
        </is>
      </c>
      <c r="C4309" s="36" t="inlineStr">
        <is>
          <t>Ås ungdomssenter - Administrasjon</t>
        </is>
      </c>
      <c r="D4309" s="26" t="n"/>
      <c r="E4309" s="26" t="n">
        <v>7252</v>
      </c>
      <c r="F4309" s="26" t="n"/>
      <c r="G4309" s="26" t="n"/>
      <c r="H4309" s="26" t="n"/>
      <c r="I4309" s="26" t="n"/>
      <c r="J4309" s="19" t="n">
        <v>0</v>
      </c>
      <c r="K4309" s="37" t="n">
        <v>0.065</v>
      </c>
    </row>
    <row r="4310">
      <c r="A4310" s="34" t="inlineStr">
        <is>
          <t>Lønn vikarer</t>
        </is>
      </c>
      <c r="B4310" s="34" t="inlineStr">
        <is>
          <t>Region Øst</t>
        </is>
      </c>
      <c r="C4310" s="34" t="inlineStr">
        <is>
          <t>Østfold ungdoms - og familiesenter - omsorg  avdeling Eika</t>
        </is>
      </c>
      <c r="D4310" s="18" t="n">
        <v>55044</v>
      </c>
      <c r="E4310" s="18" t="n"/>
      <c r="F4310" s="18" t="n"/>
      <c r="G4310" s="18" t="n"/>
      <c r="H4310" s="18" t="n"/>
      <c r="I4310" s="18" t="n"/>
      <c r="J4310" s="19" t="n">
        <v>0</v>
      </c>
      <c r="K4310" s="35" t="n">
        <v>0.065</v>
      </c>
    </row>
    <row r="4311">
      <c r="A4311" s="36" t="inlineStr">
        <is>
          <t>Lønn vikarer</t>
        </is>
      </c>
      <c r="B4311" s="36" t="inlineStr">
        <is>
          <t>Region Øst</t>
        </is>
      </c>
      <c r="C4311" s="36" t="inlineStr">
        <is>
          <t>Østfold ungdoms - og familiesenter - omsorg, avdeling Kurland ungdomshjem</t>
        </is>
      </c>
      <c r="D4311" s="26" t="n">
        <v>795836</v>
      </c>
      <c r="E4311" s="26" t="n">
        <v>30675</v>
      </c>
      <c r="F4311" s="26" t="n">
        <v>61714</v>
      </c>
      <c r="G4311" s="26" t="n">
        <v>1520054</v>
      </c>
      <c r="H4311" s="26" t="n">
        <v>1702786</v>
      </c>
      <c r="I4311" s="26" t="n">
        <v>1784458</v>
      </c>
      <c r="J4311" s="19" t="n">
        <v>2464787.203381197</v>
      </c>
      <c r="K4311" s="37" t="n">
        <v>0.1752670218735053</v>
      </c>
    </row>
    <row r="4312">
      <c r="A4312" s="34" t="inlineStr">
        <is>
          <t>Lønn vikarer</t>
        </is>
      </c>
      <c r="B4312" s="34" t="inlineStr">
        <is>
          <t>Region Øst</t>
        </is>
      </c>
      <c r="C4312" s="34" t="inlineStr">
        <is>
          <t>Østfold ungdoms- og familiesenter - avdeling Fossen</t>
        </is>
      </c>
      <c r="D4312" s="18" t="n"/>
      <c r="E4312" s="18" t="n"/>
      <c r="F4312" s="18" t="n"/>
      <c r="G4312" s="18" t="n"/>
      <c r="H4312" s="18" t="n">
        <v>694580</v>
      </c>
      <c r="I4312" s="18" t="n">
        <v>1716311</v>
      </c>
      <c r="J4312" s="19" t="n">
        <v>1946682.843975</v>
      </c>
      <c r="K4312" s="35" t="n">
        <v>0.065</v>
      </c>
    </row>
    <row r="4313">
      <c r="A4313" s="36" t="inlineStr">
        <is>
          <t>Lønn vikarer</t>
        </is>
      </c>
      <c r="B4313" s="36" t="inlineStr">
        <is>
          <t>Region Øst</t>
        </is>
      </c>
      <c r="C4313" s="36" t="inlineStr">
        <is>
          <t>Østfold ungdoms- og familiesenter - omsorg, avdeling Alfheim ungdomshjem</t>
        </is>
      </c>
      <c r="D4313" s="26" t="n">
        <v>1310668</v>
      </c>
      <c r="E4313" s="26" t="n">
        <v>1102721</v>
      </c>
      <c r="F4313" s="26" t="n">
        <v>1548581</v>
      </c>
      <c r="G4313" s="26" t="n">
        <v>1840183</v>
      </c>
      <c r="H4313" s="26" t="n">
        <v>1734366</v>
      </c>
      <c r="I4313" s="26" t="n">
        <v>1828563</v>
      </c>
      <c r="J4313" s="19" t="n">
        <v>2089088.413656875</v>
      </c>
      <c r="K4313" s="37" t="n">
        <v>0.06886645204935493</v>
      </c>
    </row>
    <row r="4314">
      <c r="A4314" s="34" t="inlineStr">
        <is>
          <t>Lønn vikarer</t>
        </is>
      </c>
      <c r="B4314" s="34" t="inlineStr">
        <is>
          <t>Region Øst</t>
        </is>
      </c>
      <c r="C4314" s="34" t="inlineStr">
        <is>
          <t>Østfold ungdoms- og familiesenter - omsorg, avdeling Dal</t>
        </is>
      </c>
      <c r="D4314" s="18" t="n"/>
      <c r="E4314" s="18" t="n">
        <v>618206</v>
      </c>
      <c r="F4314" s="18" t="n">
        <v>519670</v>
      </c>
      <c r="G4314" s="18" t="n">
        <v>1266438</v>
      </c>
      <c r="H4314" s="18" t="n">
        <v>2297579</v>
      </c>
      <c r="I4314" s="18" t="n">
        <v>1318472</v>
      </c>
      <c r="J4314" s="19" t="n">
        <v>1925483.311942748</v>
      </c>
      <c r="K4314" s="35" t="n">
        <v>0.2084659659231021</v>
      </c>
    </row>
    <row r="4315">
      <c r="A4315" s="36" t="inlineStr">
        <is>
          <t>Lønn vikarer</t>
        </is>
      </c>
      <c r="B4315" s="36" t="inlineStr">
        <is>
          <t>Region Øst</t>
        </is>
      </c>
      <c r="C4315" s="36" t="inlineStr">
        <is>
          <t>Østfold ungdoms- og familiesenter - omsorg, avdeling Rokkeveien ungdomshjem</t>
        </is>
      </c>
      <c r="D4315" s="26" t="n">
        <v>987591</v>
      </c>
      <c r="E4315" s="26" t="n">
        <v>979949</v>
      </c>
      <c r="F4315" s="26" t="n">
        <v>1397852</v>
      </c>
      <c r="G4315" s="26" t="n">
        <v>1666531</v>
      </c>
      <c r="H4315" s="26" t="n">
        <v>1845669</v>
      </c>
      <c r="I4315" s="26" t="n">
        <v>1596933</v>
      </c>
      <c r="J4315" s="19" t="n">
        <v>1935399.053439413</v>
      </c>
      <c r="K4315" s="37" t="n">
        <v>0.1008848987879867</v>
      </c>
    </row>
    <row r="4316">
      <c r="A4316" s="34" t="inlineStr">
        <is>
          <t>Lønn vikarer</t>
        </is>
      </c>
      <c r="B4316" s="34" t="inlineStr">
        <is>
          <t>Region Øst</t>
        </is>
      </c>
      <c r="C4316" s="34" t="inlineStr">
        <is>
          <t>Østfold ungdoms- og familiesenter - omsorg, avdeling Tune ungdomshjem</t>
        </is>
      </c>
      <c r="D4316" s="18" t="n">
        <v>1390783</v>
      </c>
      <c r="E4316" s="18" t="n">
        <v>1141048</v>
      </c>
      <c r="F4316" s="18" t="n">
        <v>1238980</v>
      </c>
      <c r="G4316" s="18" t="n">
        <v>1700082</v>
      </c>
      <c r="H4316" s="18" t="n">
        <v>1958547</v>
      </c>
      <c r="I4316" s="18" t="n">
        <v>2350917</v>
      </c>
      <c r="J4316" s="19" t="n">
        <v>2900203.455423045</v>
      </c>
      <c r="K4316" s="35" t="n">
        <v>0.1106969635631994</v>
      </c>
    </row>
    <row r="4317">
      <c r="A4317" s="36" t="inlineStr">
        <is>
          <t>Midlertidige stillinger</t>
        </is>
      </c>
      <c r="B4317" s="36" t="inlineStr">
        <is>
          <t>Region Midt-Norge</t>
        </is>
      </c>
      <c r="C4317" s="36" t="inlineStr">
        <is>
          <t>Buvika ungdomssenter</t>
        </is>
      </c>
      <c r="D4317" s="26" t="n"/>
      <c r="E4317" s="26" t="n">
        <v>230857</v>
      </c>
      <c r="F4317" s="26" t="n">
        <v>41599</v>
      </c>
      <c r="G4317" s="26" t="n"/>
      <c r="H4317" s="26" t="n">
        <v>520283</v>
      </c>
      <c r="I4317" s="26" t="n">
        <v>518371</v>
      </c>
      <c r="J4317" s="19" t="n">
        <v>776764.7733762587</v>
      </c>
      <c r="K4317" s="37" t="n">
        <v>0.2241211803278127</v>
      </c>
    </row>
    <row r="4318">
      <c r="A4318" s="34" t="inlineStr">
        <is>
          <t>Midlertidige stillinger</t>
        </is>
      </c>
      <c r="B4318" s="34" t="inlineStr">
        <is>
          <t>Region Midt-Norge</t>
        </is>
      </c>
      <c r="C4318" s="34" t="inlineStr">
        <is>
          <t>Clausenengen ungdomshjem</t>
        </is>
      </c>
      <c r="D4318" s="18" t="n">
        <v>389869</v>
      </c>
      <c r="E4318" s="18" t="n">
        <v>105617</v>
      </c>
      <c r="F4318" s="18" t="n">
        <v>206389</v>
      </c>
      <c r="G4318" s="18" t="n"/>
      <c r="H4318" s="18" t="n">
        <v>70178</v>
      </c>
      <c r="I4318" s="18" t="n">
        <v>116317</v>
      </c>
      <c r="J4318" s="19" t="n">
        <v>71702.28366940822</v>
      </c>
      <c r="K4318" s="35" t="n">
        <v>-0.2148639880253106</v>
      </c>
    </row>
    <row r="4319">
      <c r="A4319" s="36" t="inlineStr">
        <is>
          <t>Midlertidige stillinger</t>
        </is>
      </c>
      <c r="B4319" s="36" t="inlineStr">
        <is>
          <t>Region Midt-Norge</t>
        </is>
      </c>
      <c r="C4319" s="36" t="inlineStr">
        <is>
          <t>Gilantunet ungdomshjem</t>
        </is>
      </c>
      <c r="D4319" s="26" t="n">
        <v>1252170</v>
      </c>
      <c r="E4319" s="26" t="n">
        <v>812975</v>
      </c>
      <c r="F4319" s="26" t="n">
        <v>653896</v>
      </c>
      <c r="G4319" s="26" t="n">
        <v>707627</v>
      </c>
      <c r="H4319" s="26" t="n">
        <v>1686400</v>
      </c>
      <c r="I4319" s="26" t="n">
        <v>2021749</v>
      </c>
      <c r="J4319" s="19" t="n">
        <v>2448797.165734888</v>
      </c>
      <c r="K4319" s="37" t="n">
        <v>0.100557628584496</v>
      </c>
    </row>
    <row r="4320">
      <c r="A4320" s="34" t="inlineStr">
        <is>
          <t>Midlertidige stillinger</t>
        </is>
      </c>
      <c r="B4320" s="34" t="inlineStr">
        <is>
          <t>Region Midt-Norge</t>
        </is>
      </c>
      <c r="C4320" s="34" t="inlineStr">
        <is>
          <t>Humla Akuttsenter</t>
        </is>
      </c>
      <c r="D4320" s="18" t="n">
        <v>812869</v>
      </c>
      <c r="E4320" s="18" t="n">
        <v>1511</v>
      </c>
      <c r="F4320" s="18" t="n"/>
      <c r="G4320" s="18" t="n"/>
      <c r="H4320" s="18" t="n">
        <v>254230</v>
      </c>
      <c r="I4320" s="18" t="n">
        <v>271001</v>
      </c>
      <c r="J4320" s="19" t="n">
        <v>174642.9369544229</v>
      </c>
      <c r="K4320" s="35" t="n">
        <v>-0.1972319738827667</v>
      </c>
    </row>
    <row r="4321">
      <c r="A4321" s="36" t="inlineStr">
        <is>
          <t>Midlertidige stillinger</t>
        </is>
      </c>
      <c r="B4321" s="36" t="inlineStr">
        <is>
          <t>Region Midt-Norge</t>
        </is>
      </c>
      <c r="C4321" s="36" t="inlineStr">
        <is>
          <t>Husafjellheimen ungdomsheim</t>
        </is>
      </c>
      <c r="D4321" s="26" t="n">
        <v>86850</v>
      </c>
      <c r="E4321" s="26" t="n">
        <v>269272</v>
      </c>
      <c r="F4321" s="26" t="n">
        <v>13222</v>
      </c>
      <c r="G4321" s="26" t="n">
        <v>137569</v>
      </c>
      <c r="H4321" s="26" t="n">
        <v>365866</v>
      </c>
      <c r="I4321" s="26" t="n">
        <v>1520670</v>
      </c>
      <c r="J4321" s="19" t="n">
        <v>2376046.875</v>
      </c>
      <c r="K4321" s="37" t="n">
        <v>0.25</v>
      </c>
    </row>
    <row r="4322">
      <c r="A4322" s="34" t="inlineStr">
        <is>
          <t>Midlertidige stillinger</t>
        </is>
      </c>
      <c r="B4322" s="34" t="inlineStr">
        <is>
          <t>Region Midt-Norge</t>
        </is>
      </c>
      <c r="C4322" s="34" t="inlineStr">
        <is>
          <t>Karienborg ungdomsheim</t>
        </is>
      </c>
      <c r="D4322" s="18" t="n">
        <v>130638</v>
      </c>
      <c r="E4322" s="18" t="n">
        <v>43801</v>
      </c>
      <c r="F4322" s="18" t="n">
        <v>34272</v>
      </c>
      <c r="G4322" s="18" t="n">
        <v>4901</v>
      </c>
      <c r="H4322" s="18" t="n"/>
      <c r="I4322" s="18" t="n"/>
      <c r="J4322" s="19" t="n">
        <v>0</v>
      </c>
      <c r="K4322" s="35" t="n">
        <v>0.065</v>
      </c>
    </row>
    <row r="4323">
      <c r="A4323" s="36" t="inlineStr">
        <is>
          <t>Midlertidige stillinger</t>
        </is>
      </c>
      <c r="B4323" s="36" t="inlineStr">
        <is>
          <t>Region Midt-Norge</t>
        </is>
      </c>
      <c r="C4323" s="36" t="inlineStr">
        <is>
          <t>Kollen ungdomsbase</t>
        </is>
      </c>
      <c r="D4323" s="26" t="n"/>
      <c r="E4323" s="26" t="n">
        <v>1463</v>
      </c>
      <c r="F4323" s="26" t="n"/>
      <c r="G4323" s="26" t="n"/>
      <c r="H4323" s="26" t="n">
        <v>4654</v>
      </c>
      <c r="I4323" s="26" t="n">
        <v>180809</v>
      </c>
      <c r="J4323" s="19" t="n">
        <v>282514.0625</v>
      </c>
      <c r="K4323" s="37" t="n">
        <v>0.25</v>
      </c>
    </row>
    <row r="4324">
      <c r="A4324" s="34" t="inlineStr">
        <is>
          <t>Midlertidige stillinger</t>
        </is>
      </c>
      <c r="B4324" s="34" t="inlineStr">
        <is>
          <t>Region Midt-Norge</t>
        </is>
      </c>
      <c r="C4324" s="34" t="inlineStr">
        <is>
          <t>Kvammen akuttsenter</t>
        </is>
      </c>
      <c r="D4324" s="18" t="n">
        <v>256629</v>
      </c>
      <c r="E4324" s="18" t="n">
        <v>174198</v>
      </c>
      <c r="F4324" s="18" t="n">
        <v>2282</v>
      </c>
      <c r="G4324" s="18" t="n"/>
      <c r="H4324" s="18" t="n"/>
      <c r="I4324" s="18" t="n"/>
      <c r="J4324" s="19" t="n">
        <v>0</v>
      </c>
      <c r="K4324" s="35" t="n">
        <v>0.065</v>
      </c>
    </row>
    <row r="4325">
      <c r="A4325" s="36" t="inlineStr">
        <is>
          <t>Midlertidige stillinger</t>
        </is>
      </c>
      <c r="B4325" s="36" t="inlineStr">
        <is>
          <t>Region Midt-Norge</t>
        </is>
      </c>
      <c r="C4325" s="36" t="inlineStr">
        <is>
          <t>Kvammen akuttsenter, avdeling Fannrem</t>
        </is>
      </c>
      <c r="D4325" s="26" t="n"/>
      <c r="E4325" s="26" t="n"/>
      <c r="F4325" s="26" t="n"/>
      <c r="G4325" s="26" t="n"/>
      <c r="H4325" s="26" t="n">
        <v>81493</v>
      </c>
      <c r="I4325" s="26" t="n">
        <v>142881</v>
      </c>
      <c r="J4325" s="19" t="n">
        <v>162059.202225</v>
      </c>
      <c r="K4325" s="37" t="n">
        <v>0.065</v>
      </c>
    </row>
    <row r="4326">
      <c r="A4326" s="34" t="inlineStr">
        <is>
          <t>Midlertidige stillinger</t>
        </is>
      </c>
      <c r="B4326" s="34" t="inlineStr">
        <is>
          <t>Region Midt-Norge</t>
        </is>
      </c>
      <c r="C4326" s="34" t="inlineStr">
        <is>
          <t>Kvammen akuttsenter, avdeling Melhus</t>
        </is>
      </c>
      <c r="D4326" s="18" t="n"/>
      <c r="E4326" s="18" t="n"/>
      <c r="F4326" s="18" t="n"/>
      <c r="G4326" s="18" t="n"/>
      <c r="H4326" s="18" t="n">
        <v>16280</v>
      </c>
      <c r="I4326" s="18" t="n">
        <v>678388</v>
      </c>
      <c r="J4326" s="19" t="n">
        <v>769444.6292999999</v>
      </c>
      <c r="K4326" s="35" t="n">
        <v>0.065</v>
      </c>
    </row>
    <row r="4327">
      <c r="A4327" s="36" t="inlineStr">
        <is>
          <t>Midlertidige stillinger</t>
        </is>
      </c>
      <c r="B4327" s="36" t="inlineStr">
        <is>
          <t>Region Midt-Norge</t>
        </is>
      </c>
      <c r="C4327" s="36" t="inlineStr">
        <is>
          <t>Kvammen, avdelig enetiltak</t>
        </is>
      </c>
      <c r="D4327" s="26" t="n"/>
      <c r="E4327" s="26" t="n"/>
      <c r="F4327" s="26" t="n"/>
      <c r="G4327" s="26" t="n"/>
      <c r="H4327" s="26" t="n"/>
      <c r="I4327" s="26" t="n">
        <v>1408219</v>
      </c>
      <c r="J4327" s="19" t="n">
        <v>1597237.195275</v>
      </c>
      <c r="K4327" s="37" t="n">
        <v>0.065</v>
      </c>
    </row>
    <row r="4328">
      <c r="A4328" s="34" t="inlineStr">
        <is>
          <t>Midlertidige stillinger</t>
        </is>
      </c>
      <c r="B4328" s="34" t="inlineStr">
        <is>
          <t>Region Midt-Norge</t>
        </is>
      </c>
      <c r="C4328" s="34" t="inlineStr">
        <is>
          <t>Moholt ungdomssenter</t>
        </is>
      </c>
      <c r="D4328" s="18" t="n"/>
      <c r="E4328" s="18" t="n"/>
      <c r="F4328" s="18" t="n">
        <v>67451</v>
      </c>
      <c r="G4328" s="18" t="n">
        <v>115516</v>
      </c>
      <c r="H4328" s="18" t="n">
        <v>362218</v>
      </c>
      <c r="I4328" s="18" t="n">
        <v>528852</v>
      </c>
      <c r="J4328" s="19" t="n">
        <v>599837.1597</v>
      </c>
      <c r="K4328" s="35" t="n">
        <v>0.065</v>
      </c>
    </row>
    <row r="4329">
      <c r="A4329" s="36" t="inlineStr">
        <is>
          <t>Midlertidige stillinger</t>
        </is>
      </c>
      <c r="B4329" s="36" t="inlineStr">
        <is>
          <t>Region Midt-Norge</t>
        </is>
      </c>
      <c r="C4329" s="36" t="inlineStr">
        <is>
          <t>Orkdal barnevernsenter</t>
        </is>
      </c>
      <c r="D4329" s="26" t="n">
        <v>2204223</v>
      </c>
      <c r="E4329" s="26" t="n">
        <v>1139485</v>
      </c>
      <c r="F4329" s="26" t="n">
        <v>82300</v>
      </c>
      <c r="G4329" s="26" t="n">
        <v>5501</v>
      </c>
      <c r="H4329" s="26" t="n"/>
      <c r="I4329" s="26" t="n"/>
      <c r="J4329" s="19" t="n">
        <v>0</v>
      </c>
      <c r="K4329" s="37" t="n">
        <v>0.065</v>
      </c>
    </row>
    <row r="4330">
      <c r="A4330" s="34" t="inlineStr">
        <is>
          <t>Midlertidige stillinger</t>
        </is>
      </c>
      <c r="B4330" s="34" t="inlineStr">
        <is>
          <t>Region Midt-Norge</t>
        </is>
      </c>
      <c r="C4330" s="34" t="inlineStr">
        <is>
          <t>Ranheim Vestre</t>
        </is>
      </c>
      <c r="D4330" s="18" t="n">
        <v>357739</v>
      </c>
      <c r="E4330" s="18" t="n">
        <v>27363</v>
      </c>
      <c r="F4330" s="18" t="n">
        <v>549193</v>
      </c>
      <c r="G4330" s="18" t="n">
        <v>885009</v>
      </c>
      <c r="H4330" s="18" t="n">
        <v>677865</v>
      </c>
      <c r="I4330" s="18" t="n">
        <v>819767</v>
      </c>
      <c r="J4330" s="19" t="n">
        <v>1142194.56386133</v>
      </c>
      <c r="K4330" s="35" t="n">
        <v>0.1803881164704986</v>
      </c>
    </row>
    <row r="4331">
      <c r="A4331" s="36" t="inlineStr">
        <is>
          <t>Midlertidige stillinger</t>
        </is>
      </c>
      <c r="B4331" s="36" t="inlineStr">
        <is>
          <t>Region Midt-Norge</t>
        </is>
      </c>
      <c r="C4331" s="36" t="inlineStr">
        <is>
          <t>Skatval ungdomssenter</t>
        </is>
      </c>
      <c r="D4331" s="26" t="n"/>
      <c r="E4331" s="26" t="n"/>
      <c r="F4331" s="26" t="n"/>
      <c r="G4331" s="26" t="n"/>
      <c r="H4331" s="26" t="n"/>
      <c r="I4331" s="26" t="n">
        <v>461305</v>
      </c>
      <c r="J4331" s="19" t="n">
        <v>523223.6636249999</v>
      </c>
      <c r="K4331" s="37" t="n">
        <v>0.065</v>
      </c>
    </row>
    <row r="4332">
      <c r="A4332" s="34" t="inlineStr">
        <is>
          <t>Midlertidige stillinger</t>
        </is>
      </c>
      <c r="B4332" s="34" t="inlineStr">
        <is>
          <t>Region Midt-Norge</t>
        </is>
      </c>
      <c r="C4332" s="34" t="inlineStr">
        <is>
          <t>Spillumheimen ungdomsheim</t>
        </is>
      </c>
      <c r="D4332" s="18" t="n">
        <v>894898</v>
      </c>
      <c r="E4332" s="18" t="n">
        <v>259000</v>
      </c>
      <c r="F4332" s="18" t="n">
        <v>590</v>
      </c>
      <c r="G4332" s="18" t="n">
        <v>69390</v>
      </c>
      <c r="H4332" s="18" t="n">
        <v>122370</v>
      </c>
      <c r="I4332" s="18" t="n"/>
      <c r="J4332" s="19" t="n">
        <v>0</v>
      </c>
      <c r="K4332" s="35" t="n">
        <v>0.065</v>
      </c>
    </row>
    <row r="4333">
      <c r="A4333" s="36" t="inlineStr">
        <is>
          <t>Midlertidige stillinger</t>
        </is>
      </c>
      <c r="B4333" s="36" t="inlineStr">
        <is>
          <t>Region Midt-Norge</t>
        </is>
      </c>
      <c r="C4333" s="36" t="inlineStr">
        <is>
          <t>Stjørdal ungdomssenter</t>
        </is>
      </c>
      <c r="D4333" s="26" t="n">
        <v>123560</v>
      </c>
      <c r="E4333" s="26" t="n">
        <v>-17856</v>
      </c>
      <c r="F4333" s="26" t="n"/>
      <c r="G4333" s="26" t="n"/>
      <c r="H4333" s="26" t="n"/>
      <c r="I4333" s="26" t="n"/>
      <c r="J4333" s="19" t="n">
        <v>0</v>
      </c>
      <c r="K4333" s="37" t="n">
        <v>0.065</v>
      </c>
    </row>
    <row r="4334">
      <c r="A4334" s="34" t="inlineStr">
        <is>
          <t>Midlertidige stillinger</t>
        </is>
      </c>
      <c r="B4334" s="34" t="inlineStr">
        <is>
          <t>Region Midt-Norge</t>
        </is>
      </c>
      <c r="C4334" s="34" t="inlineStr">
        <is>
          <t>Sunnmørsheimen akuttinstitusjon, avd. Klatrevegen</t>
        </is>
      </c>
      <c r="D4334" s="18" t="n"/>
      <c r="E4334" s="18" t="n"/>
      <c r="F4334" s="18" t="n"/>
      <c r="G4334" s="18" t="n"/>
      <c r="H4334" s="18" t="n"/>
      <c r="I4334" s="18" t="n">
        <v>114801</v>
      </c>
      <c r="J4334" s="19" t="n">
        <v>130210.164225</v>
      </c>
      <c r="K4334" s="35" t="n">
        <v>0.065</v>
      </c>
    </row>
    <row r="4335">
      <c r="A4335" s="36" t="inlineStr">
        <is>
          <t>Midlertidige stillinger</t>
        </is>
      </c>
      <c r="B4335" s="36" t="inlineStr">
        <is>
          <t>Region Midt-Norge</t>
        </is>
      </c>
      <c r="C4335" s="36" t="inlineStr">
        <is>
          <t>Sunnmørsheimen ungdomsheim, avd. Klatrevegen</t>
        </is>
      </c>
      <c r="D4335" s="26" t="n">
        <v>1134275</v>
      </c>
      <c r="E4335" s="26" t="n">
        <v>495074</v>
      </c>
      <c r="F4335" s="26" t="n">
        <v>665</v>
      </c>
      <c r="G4335" s="26" t="n"/>
      <c r="H4335" s="26" t="n"/>
      <c r="I4335" s="26" t="n"/>
      <c r="J4335" s="19" t="n">
        <v>0</v>
      </c>
      <c r="K4335" s="37" t="n">
        <v>0.065</v>
      </c>
    </row>
    <row r="4336">
      <c r="A4336" s="34" t="inlineStr">
        <is>
          <t>Midlertidige stillinger</t>
        </is>
      </c>
      <c r="B4336" s="34" t="inlineStr">
        <is>
          <t>Region Midt-Norge</t>
        </is>
      </c>
      <c r="C4336" s="34" t="inlineStr">
        <is>
          <t>Sunnmørsheimen ungdomsheim, avd. Nygardsvegen</t>
        </is>
      </c>
      <c r="D4336" s="18" t="n">
        <v>545881</v>
      </c>
      <c r="E4336" s="18" t="n">
        <v>337989</v>
      </c>
      <c r="F4336" s="18" t="n">
        <v>47385</v>
      </c>
      <c r="G4336" s="18" t="n"/>
      <c r="H4336" s="18" t="n">
        <v>146697</v>
      </c>
      <c r="I4336" s="18" t="n">
        <v>264739</v>
      </c>
      <c r="J4336" s="19" t="n">
        <v>198201.027823791</v>
      </c>
      <c r="K4336" s="35" t="n">
        <v>-0.1347452559859368</v>
      </c>
    </row>
    <row r="4337">
      <c r="A4337" s="36" t="inlineStr">
        <is>
          <t>Midlertidige stillinger</t>
        </is>
      </c>
      <c r="B4337" s="36" t="inlineStr">
        <is>
          <t>Region Midt-Norge</t>
        </is>
      </c>
      <c r="C4337" s="36" t="inlineStr">
        <is>
          <t>Vikhovlia akuttsenter</t>
        </is>
      </c>
      <c r="D4337" s="26" t="n">
        <v>60450</v>
      </c>
      <c r="E4337" s="26" t="n">
        <v>109407</v>
      </c>
      <c r="F4337" s="26" t="n">
        <v>530233</v>
      </c>
      <c r="G4337" s="26" t="n">
        <v>233130</v>
      </c>
      <c r="H4337" s="26" t="n">
        <v>108930</v>
      </c>
      <c r="I4337" s="26" t="n">
        <v>18887</v>
      </c>
      <c r="J4337" s="19" t="n">
        <v>11859.58932146526</v>
      </c>
      <c r="K4337" s="37" t="n">
        <v>-0.207583819273771</v>
      </c>
    </row>
    <row r="4338">
      <c r="A4338" s="34" t="inlineStr">
        <is>
          <t>Midlertidige stillinger</t>
        </is>
      </c>
      <c r="B4338" s="34" t="inlineStr">
        <is>
          <t>Region Nord</t>
        </is>
      </c>
      <c r="C4338" s="34" t="inlineStr">
        <is>
          <t>Alta Ungdomssenter administrasjon</t>
        </is>
      </c>
      <c r="D4338" s="18" t="n"/>
      <c r="E4338" s="18" t="n">
        <v>4500</v>
      </c>
      <c r="F4338" s="18" t="n">
        <v>3786</v>
      </c>
      <c r="G4338" s="18" t="n"/>
      <c r="H4338" s="18" t="n">
        <v>222195</v>
      </c>
      <c r="I4338" s="18" t="n">
        <v>111650</v>
      </c>
      <c r="J4338" s="19" t="n">
        <v>174453.125</v>
      </c>
      <c r="K4338" s="35" t="n">
        <v>0.25</v>
      </c>
    </row>
    <row r="4339">
      <c r="A4339" s="36" t="inlineStr">
        <is>
          <t>Midlertidige stillinger</t>
        </is>
      </c>
      <c r="B4339" s="36" t="inlineStr">
        <is>
          <t>Region Nord</t>
        </is>
      </c>
      <c r="C4339" s="36" t="inlineStr">
        <is>
          <t>Alta Ungdomssenter sjøtun</t>
        </is>
      </c>
      <c r="D4339" s="26" t="n">
        <v>425138</v>
      </c>
      <c r="E4339" s="26" t="n">
        <v>887097</v>
      </c>
      <c r="F4339" s="26" t="n">
        <v>1049954</v>
      </c>
      <c r="G4339" s="26" t="n">
        <v>775161</v>
      </c>
      <c r="H4339" s="26" t="n">
        <v>1295654</v>
      </c>
      <c r="I4339" s="26" t="n">
        <v>1396012</v>
      </c>
      <c r="J4339" s="19" t="n">
        <v>2181268.75</v>
      </c>
      <c r="K4339" s="37" t="n">
        <v>0.25</v>
      </c>
    </row>
    <row r="4340">
      <c r="A4340" s="34" t="inlineStr">
        <is>
          <t>Midlertidige stillinger</t>
        </is>
      </c>
      <c r="B4340" s="34" t="inlineStr">
        <is>
          <t>Region Nord</t>
        </is>
      </c>
      <c r="C4340" s="34" t="inlineStr">
        <is>
          <t>Alta Ungdomssenter utsikten</t>
        </is>
      </c>
      <c r="D4340" s="18" t="n">
        <v>36680</v>
      </c>
      <c r="E4340" s="18" t="n"/>
      <c r="F4340" s="18" t="n"/>
      <c r="G4340" s="18" t="n"/>
      <c r="H4340" s="18" t="n"/>
      <c r="I4340" s="18" t="n"/>
      <c r="J4340" s="19" t="n">
        <v>0</v>
      </c>
      <c r="K4340" s="35" t="n">
        <v>0.065</v>
      </c>
    </row>
    <row r="4341">
      <c r="A4341" s="36" t="inlineStr">
        <is>
          <t>Midlertidige stillinger</t>
        </is>
      </c>
      <c r="B4341" s="36" t="inlineStr">
        <is>
          <t>Region Nord</t>
        </is>
      </c>
      <c r="C4341" s="36" t="inlineStr">
        <is>
          <t>Alta ungdomssenter Utsikten akutt</t>
        </is>
      </c>
      <c r="D4341" s="26" t="n"/>
      <c r="E4341" s="26" t="n"/>
      <c r="F4341" s="26" t="n"/>
      <c r="G4341" s="26" t="n"/>
      <c r="H4341" s="26" t="n">
        <v>636388</v>
      </c>
      <c r="I4341" s="26" t="n">
        <v>1233840</v>
      </c>
      <c r="J4341" s="19" t="n">
        <v>1399452.174</v>
      </c>
      <c r="K4341" s="37" t="n">
        <v>0.065</v>
      </c>
    </row>
    <row r="4342">
      <c r="A4342" s="34" t="inlineStr">
        <is>
          <t>Midlertidige stillinger</t>
        </is>
      </c>
      <c r="B4342" s="34" t="inlineStr">
        <is>
          <t>Region Nord</t>
        </is>
      </c>
      <c r="C4342" s="34" t="inlineStr">
        <is>
          <t>Alta ungdomssenter Utsikten omsorg</t>
        </is>
      </c>
      <c r="D4342" s="18" t="n">
        <v>263928</v>
      </c>
      <c r="E4342" s="18" t="n">
        <v>827916</v>
      </c>
      <c r="F4342" s="18" t="n">
        <v>474762</v>
      </c>
      <c r="G4342" s="18" t="n">
        <v>1188381</v>
      </c>
      <c r="H4342" s="18" t="n">
        <v>732393</v>
      </c>
      <c r="I4342" s="18" t="n">
        <v>1923</v>
      </c>
      <c r="J4342" s="19" t="n">
        <v>1081.6875</v>
      </c>
      <c r="K4342" s="35" t="n">
        <v>-0.25</v>
      </c>
    </row>
    <row r="4343">
      <c r="A4343" s="36" t="inlineStr">
        <is>
          <t>Midlertidige stillinger</t>
        </is>
      </c>
      <c r="B4343" s="36" t="inlineStr">
        <is>
          <t>Region Nord</t>
        </is>
      </c>
      <c r="C4343" s="36" t="inlineStr">
        <is>
          <t>Bodø behandlingssenter Sandhornet</t>
        </is>
      </c>
      <c r="D4343" s="26" t="n">
        <v>4503</v>
      </c>
      <c r="E4343" s="26" t="n">
        <v>220262</v>
      </c>
      <c r="F4343" s="26" t="n">
        <v>63911</v>
      </c>
      <c r="G4343" s="26" t="n">
        <v>310159</v>
      </c>
      <c r="H4343" s="26" t="n">
        <v>596496</v>
      </c>
      <c r="I4343" s="26" t="n">
        <v>410326</v>
      </c>
      <c r="J4343" s="19" t="n">
        <v>641134.375</v>
      </c>
      <c r="K4343" s="37" t="n">
        <v>0.25</v>
      </c>
    </row>
    <row r="4344">
      <c r="A4344" s="34" t="inlineStr">
        <is>
          <t>Midlertidige stillinger</t>
        </is>
      </c>
      <c r="B4344" s="34" t="inlineStr">
        <is>
          <t>Region Nord</t>
        </is>
      </c>
      <c r="C4344" s="34" t="inlineStr">
        <is>
          <t>KUS SKM Omsorg for ungdom</t>
        </is>
      </c>
      <c r="D4344" s="18" t="n">
        <v>630262</v>
      </c>
      <c r="E4344" s="18" t="n">
        <v>-63053</v>
      </c>
      <c r="F4344" s="18" t="n"/>
      <c r="G4344" s="18" t="n"/>
      <c r="H4344" s="18" t="n"/>
      <c r="I4344" s="18" t="n"/>
      <c r="J4344" s="19" t="n">
        <v>0</v>
      </c>
      <c r="K4344" s="35" t="n">
        <v>0.065</v>
      </c>
    </row>
    <row r="4345">
      <c r="A4345" s="36" t="inlineStr">
        <is>
          <t>Midlertidige stillinger</t>
        </is>
      </c>
      <c r="B4345" s="36" t="inlineStr">
        <is>
          <t>Region Nord</t>
        </is>
      </c>
      <c r="C4345" s="36" t="inlineStr">
        <is>
          <t>Lamo ungdomssenter Tunet</t>
        </is>
      </c>
      <c r="D4345" s="26" t="n">
        <v>1009387</v>
      </c>
      <c r="E4345" s="26" t="n">
        <v>2611866</v>
      </c>
      <c r="F4345" s="26" t="n">
        <v>306750</v>
      </c>
      <c r="G4345" s="26" t="n">
        <v>2550964</v>
      </c>
      <c r="H4345" s="26" t="n">
        <v>1715012</v>
      </c>
      <c r="I4345" s="26" t="n">
        <v>1560889</v>
      </c>
      <c r="J4345" s="19" t="n">
        <v>1858222.631993951</v>
      </c>
      <c r="K4345" s="37" t="n">
        <v>0.09109574612436266</v>
      </c>
    </row>
    <row r="4346">
      <c r="A4346" s="34" t="inlineStr">
        <is>
          <t>Midlertidige stillinger</t>
        </is>
      </c>
      <c r="B4346" s="34" t="inlineStr">
        <is>
          <t>Region Nord</t>
        </is>
      </c>
      <c r="C4346" s="34" t="inlineStr">
        <is>
          <t>Nye Kvæfjord ungdomssenter Lilleheimen</t>
        </is>
      </c>
      <c r="D4346" s="18" t="n">
        <v>411527</v>
      </c>
      <c r="E4346" s="18" t="n">
        <v>426519</v>
      </c>
      <c r="F4346" s="18" t="n">
        <v>386209</v>
      </c>
      <c r="G4346" s="18" t="n">
        <v>1050436</v>
      </c>
      <c r="H4346" s="18" t="n">
        <v>1400800</v>
      </c>
      <c r="I4346" s="18" t="n">
        <v>928408</v>
      </c>
      <c r="J4346" s="19" t="n">
        <v>1285508.906667399</v>
      </c>
      <c r="K4346" s="35" t="n">
        <v>0.176706379455505</v>
      </c>
    </row>
    <row r="4347">
      <c r="A4347" s="36" t="inlineStr">
        <is>
          <t>Midlertidige stillinger</t>
        </is>
      </c>
      <c r="B4347" s="36" t="inlineStr">
        <is>
          <t>Region Nord</t>
        </is>
      </c>
      <c r="C4347" s="36" t="inlineStr">
        <is>
          <t>Nye Kvæfjord ungdomssenter Storheimen</t>
        </is>
      </c>
      <c r="D4347" s="26" t="n">
        <v>33811</v>
      </c>
      <c r="E4347" s="26" t="n">
        <v>139986</v>
      </c>
      <c r="F4347" s="26" t="n">
        <v>766288</v>
      </c>
      <c r="G4347" s="26" t="n">
        <v>559012</v>
      </c>
      <c r="H4347" s="26" t="n">
        <v>916833</v>
      </c>
      <c r="I4347" s="26" t="n">
        <v>709326</v>
      </c>
      <c r="J4347" s="19" t="n">
        <v>1108321.875</v>
      </c>
      <c r="K4347" s="37" t="n">
        <v>0.25</v>
      </c>
    </row>
    <row r="4348">
      <c r="A4348" s="34" t="inlineStr">
        <is>
          <t>Midlertidige stillinger</t>
        </is>
      </c>
      <c r="B4348" s="34" t="inlineStr">
        <is>
          <t>Region Nord</t>
        </is>
      </c>
      <c r="C4348" s="34" t="inlineStr">
        <is>
          <t>Nye Kvæfjord ungdomssenter adm</t>
        </is>
      </c>
      <c r="D4348" s="18" t="n"/>
      <c r="E4348" s="18" t="n"/>
      <c r="F4348" s="18" t="n">
        <v>187700</v>
      </c>
      <c r="G4348" s="18" t="n">
        <v>396582</v>
      </c>
      <c r="H4348" s="18" t="n"/>
      <c r="I4348" s="18" t="n"/>
      <c r="J4348" s="19" t="n">
        <v>0</v>
      </c>
      <c r="K4348" s="35" t="n">
        <v>0.065</v>
      </c>
    </row>
    <row r="4349">
      <c r="A4349" s="36" t="inlineStr">
        <is>
          <t>Midlertidige stillinger</t>
        </is>
      </c>
      <c r="B4349" s="36" t="inlineStr">
        <is>
          <t>Region Nord</t>
        </is>
      </c>
      <c r="C4349" s="36" t="inlineStr">
        <is>
          <t>Røvika ungdomssenter Administrasjon</t>
        </is>
      </c>
      <c r="D4349" s="26" t="n">
        <v>10351</v>
      </c>
      <c r="E4349" s="26" t="n">
        <v>25560</v>
      </c>
      <c r="F4349" s="26" t="n"/>
      <c r="G4349" s="26" t="n"/>
      <c r="H4349" s="26" t="n"/>
      <c r="I4349" s="26" t="n"/>
      <c r="J4349" s="19" t="n">
        <v>0</v>
      </c>
      <c r="K4349" s="37" t="n">
        <v>0.065</v>
      </c>
    </row>
    <row r="4350">
      <c r="A4350" s="34" t="inlineStr">
        <is>
          <t>Midlertidige stillinger</t>
        </is>
      </c>
      <c r="B4350" s="34" t="inlineStr">
        <is>
          <t>Region Nord</t>
        </is>
      </c>
      <c r="C4350" s="34" t="inlineStr">
        <is>
          <t>Røvika ungdomssenter Skogly</t>
        </is>
      </c>
      <c r="D4350" s="18" t="n">
        <v>611842</v>
      </c>
      <c r="E4350" s="18" t="n">
        <v>189676</v>
      </c>
      <c r="F4350" s="18" t="n">
        <v>1040795</v>
      </c>
      <c r="G4350" s="18" t="n">
        <v>2678998</v>
      </c>
      <c r="H4350" s="18" t="n">
        <v>2349990</v>
      </c>
      <c r="I4350" s="18" t="n">
        <v>882869</v>
      </c>
      <c r="J4350" s="19" t="n">
        <v>1022348.727001476</v>
      </c>
      <c r="K4350" s="35" t="n">
        <v>0.07609693986860933</v>
      </c>
    </row>
    <row r="4351">
      <c r="A4351" s="36" t="inlineStr">
        <is>
          <t>Midlertidige stillinger</t>
        </is>
      </c>
      <c r="B4351" s="36" t="inlineStr">
        <is>
          <t>Region Nord</t>
        </is>
      </c>
      <c r="C4351" s="36" t="inlineStr">
        <is>
          <t>Røvika ungdomssenter Åsheim akutt</t>
        </is>
      </c>
      <c r="D4351" s="26" t="n"/>
      <c r="E4351" s="26" t="n"/>
      <c r="F4351" s="26" t="n"/>
      <c r="G4351" s="26" t="n"/>
      <c r="H4351" s="26" t="n">
        <v>335794</v>
      </c>
      <c r="I4351" s="26" t="n">
        <v>130831</v>
      </c>
      <c r="J4351" s="19" t="n">
        <v>148391.790975</v>
      </c>
      <c r="K4351" s="37" t="n">
        <v>0.065</v>
      </c>
    </row>
    <row r="4352">
      <c r="A4352" s="34" t="inlineStr">
        <is>
          <t>Midlertidige stillinger</t>
        </is>
      </c>
      <c r="B4352" s="34" t="inlineStr">
        <is>
          <t>Region Nord</t>
        </is>
      </c>
      <c r="C4352" s="34" t="inlineStr">
        <is>
          <t>Røvika Åsheim</t>
        </is>
      </c>
      <c r="D4352" s="18" t="n">
        <v>244417</v>
      </c>
      <c r="E4352" s="18" t="n">
        <v>2011471</v>
      </c>
      <c r="F4352" s="18" t="n">
        <v>2255740</v>
      </c>
      <c r="G4352" s="18" t="n">
        <v>799000</v>
      </c>
      <c r="H4352" s="18" t="n">
        <v>1233341</v>
      </c>
      <c r="I4352" s="18" t="n">
        <v>2878</v>
      </c>
      <c r="J4352" s="19" t="n">
        <v>1618.875</v>
      </c>
      <c r="K4352" s="35" t="n">
        <v>-0.25</v>
      </c>
    </row>
    <row r="4353">
      <c r="A4353" s="36" t="inlineStr">
        <is>
          <t>Midlertidige stillinger</t>
        </is>
      </c>
      <c r="B4353" s="36" t="inlineStr">
        <is>
          <t>Region Nord</t>
        </is>
      </c>
      <c r="C4353" s="36" t="inlineStr">
        <is>
          <t>Silsand ungdomssenter avdeling 1</t>
        </is>
      </c>
      <c r="D4353" s="26" t="n">
        <v>769499</v>
      </c>
      <c r="E4353" s="26" t="n">
        <v>841043</v>
      </c>
      <c r="F4353" s="26" t="n">
        <v>497563</v>
      </c>
      <c r="G4353" s="26" t="n">
        <v>394467</v>
      </c>
      <c r="H4353" s="26" t="n">
        <v>150006</v>
      </c>
      <c r="I4353" s="26" t="n"/>
      <c r="J4353" s="19" t="n">
        <v>0</v>
      </c>
      <c r="K4353" s="37" t="n">
        <v>0.065</v>
      </c>
    </row>
    <row r="4354">
      <c r="A4354" s="34" t="inlineStr">
        <is>
          <t>Midlertidige stillinger</t>
        </is>
      </c>
      <c r="B4354" s="34" t="inlineStr">
        <is>
          <t>Region Nord</t>
        </is>
      </c>
      <c r="C4354" s="34" t="inlineStr">
        <is>
          <t>Sollia barne- og ungdomssenter miljøavdeling</t>
        </is>
      </c>
      <c r="D4354" s="18" t="n">
        <v>931232</v>
      </c>
      <c r="E4354" s="18" t="n">
        <v>289404</v>
      </c>
      <c r="F4354" s="18" t="n">
        <v>363165</v>
      </c>
      <c r="G4354" s="18" t="n">
        <v>1015577</v>
      </c>
      <c r="H4354" s="18" t="n">
        <v>86350</v>
      </c>
      <c r="I4354" s="18" t="n">
        <v>-2775180</v>
      </c>
      <c r="J4354" s="19" t="n">
        <v>-3147678.535499999</v>
      </c>
      <c r="K4354" s="35" t="n">
        <v>0.065</v>
      </c>
    </row>
    <row r="4355">
      <c r="A4355" s="36" t="inlineStr">
        <is>
          <t>Midlertidige stillinger</t>
        </is>
      </c>
      <c r="B4355" s="36" t="inlineStr">
        <is>
          <t>Region Nord</t>
        </is>
      </c>
      <c r="C4355" s="36" t="inlineStr">
        <is>
          <t>Tromsø ungdomssenter Fjære</t>
        </is>
      </c>
      <c r="D4355" s="26" t="n">
        <v>8576</v>
      </c>
      <c r="E4355" s="26" t="n">
        <v>260727</v>
      </c>
      <c r="F4355" s="26" t="n">
        <v>173601</v>
      </c>
      <c r="G4355" s="26" t="n">
        <v>379579</v>
      </c>
      <c r="H4355" s="26" t="n">
        <v>229059</v>
      </c>
      <c r="I4355" s="26" t="n">
        <v>532922</v>
      </c>
      <c r="J4355" s="19" t="n">
        <v>832690.625</v>
      </c>
      <c r="K4355" s="37" t="n">
        <v>0.25</v>
      </c>
    </row>
    <row r="4356">
      <c r="A4356" s="34" t="inlineStr">
        <is>
          <t>Midlertidige stillinger</t>
        </is>
      </c>
      <c r="B4356" s="34" t="inlineStr">
        <is>
          <t>Region Nord</t>
        </is>
      </c>
      <c r="C4356" s="34" t="inlineStr">
        <is>
          <t>Tromsø ungdomssenter Flo</t>
        </is>
      </c>
      <c r="D4356" s="18" t="n">
        <v>16874</v>
      </c>
      <c r="E4356" s="18" t="n">
        <v>45739</v>
      </c>
      <c r="F4356" s="18" t="n">
        <v>64611</v>
      </c>
      <c r="G4356" s="18" t="n">
        <v>634108</v>
      </c>
      <c r="H4356" s="18" t="n">
        <v>-4279</v>
      </c>
      <c r="I4356" s="18" t="n">
        <v>112787</v>
      </c>
      <c r="J4356" s="19" t="n">
        <v>176229.6875</v>
      </c>
      <c r="K4356" s="35" t="n">
        <v>0.25</v>
      </c>
    </row>
    <row r="4357">
      <c r="A4357" s="36" t="inlineStr">
        <is>
          <t>Midlertidige stillinger</t>
        </is>
      </c>
      <c r="B4357" s="36" t="inlineStr">
        <is>
          <t>Region Nord</t>
        </is>
      </c>
      <c r="C4357" s="36" t="inlineStr">
        <is>
          <t>Vadsø ungdomssenter avdeling 1</t>
        </is>
      </c>
      <c r="D4357" s="26" t="n">
        <v>65111</v>
      </c>
      <c r="E4357" s="26" t="n"/>
      <c r="F4357" s="26" t="n"/>
      <c r="G4357" s="26" t="n"/>
      <c r="H4357" s="26" t="n"/>
      <c r="I4357" s="26" t="n"/>
      <c r="J4357" s="19" t="n">
        <v>0</v>
      </c>
      <c r="K4357" s="37" t="n">
        <v>0.065</v>
      </c>
    </row>
    <row r="4358">
      <c r="A4358" s="34" t="inlineStr">
        <is>
          <t>Midlertidige stillinger</t>
        </is>
      </c>
      <c r="B4358" s="34" t="inlineStr">
        <is>
          <t>Region Nord</t>
        </is>
      </c>
      <c r="C4358" s="34" t="inlineStr">
        <is>
          <t>Yttrabekken ungdomssenter avdeling 1</t>
        </is>
      </c>
      <c r="D4358" s="18" t="n">
        <v>964212</v>
      </c>
      <c r="E4358" s="18" t="n">
        <v>912401</v>
      </c>
      <c r="F4358" s="18" t="n">
        <v>1493791</v>
      </c>
      <c r="G4358" s="18" t="n">
        <v>574071</v>
      </c>
      <c r="H4358" s="18" t="n">
        <v>852125</v>
      </c>
      <c r="I4358" s="18" t="n">
        <v>1089421</v>
      </c>
      <c r="J4358" s="19" t="n">
        <v>1143944.690177318</v>
      </c>
      <c r="K4358" s="35" t="n">
        <v>0.02471865378140436</v>
      </c>
    </row>
    <row r="4359">
      <c r="A4359" s="36" t="inlineStr">
        <is>
          <t>Midlertidige stillinger</t>
        </is>
      </c>
      <c r="B4359" s="36" t="inlineStr">
        <is>
          <t>Region Sør</t>
        </is>
      </c>
      <c r="C4359" s="36" t="inlineStr">
        <is>
          <t>Avdeling Barkåker</t>
        </is>
      </c>
      <c r="D4359" s="26" t="n">
        <v>134273</v>
      </c>
      <c r="E4359" s="26" t="n">
        <v>-19384</v>
      </c>
      <c r="F4359" s="26" t="n"/>
      <c r="G4359" s="26" t="n"/>
      <c r="H4359" s="26" t="n"/>
      <c r="I4359" s="26" t="n"/>
      <c r="J4359" s="19" t="n">
        <v>0</v>
      </c>
      <c r="K4359" s="37" t="n">
        <v>0.065</v>
      </c>
    </row>
    <row r="4360">
      <c r="A4360" s="34" t="inlineStr">
        <is>
          <t>Midlertidige stillinger</t>
        </is>
      </c>
      <c r="B4360" s="34" t="inlineStr">
        <is>
          <t>Region Sør</t>
        </is>
      </c>
      <c r="C4360" s="34" t="inlineStr">
        <is>
          <t>Avdeling Forvaltning og Økonomioppfølging</t>
        </is>
      </c>
      <c r="D4360" s="18" t="n">
        <v>268349</v>
      </c>
      <c r="E4360" s="18" t="n"/>
      <c r="F4360" s="18" t="n"/>
      <c r="G4360" s="18" t="n"/>
      <c r="H4360" s="18" t="n"/>
      <c r="I4360" s="18" t="n"/>
      <c r="J4360" s="19" t="n">
        <v>0</v>
      </c>
      <c r="K4360" s="35" t="n">
        <v>0.065</v>
      </c>
    </row>
    <row r="4361">
      <c r="A4361" s="36" t="inlineStr">
        <is>
          <t>Midlertidige stillinger</t>
        </is>
      </c>
      <c r="B4361" s="36" t="inlineStr">
        <is>
          <t>Region Sør</t>
        </is>
      </c>
      <c r="C4361" s="36" t="inlineStr">
        <is>
          <t>Avdeling Furuly</t>
        </is>
      </c>
      <c r="D4361" s="26" t="n">
        <v>808361</v>
      </c>
      <c r="E4361" s="26" t="n">
        <v>370280</v>
      </c>
      <c r="F4361" s="26" t="n"/>
      <c r="G4361" s="26" t="n"/>
      <c r="H4361" s="26" t="n"/>
      <c r="I4361" s="26" t="n"/>
      <c r="J4361" s="19" t="n">
        <v>0</v>
      </c>
      <c r="K4361" s="37" t="n">
        <v>0.065</v>
      </c>
    </row>
    <row r="4362">
      <c r="A4362" s="34" t="inlineStr">
        <is>
          <t>Midlertidige stillinger</t>
        </is>
      </c>
      <c r="B4362" s="34" t="inlineStr">
        <is>
          <t>Region Sør</t>
        </is>
      </c>
      <c r="C4362" s="34" t="inlineStr">
        <is>
          <t>Avdeling Geithus</t>
        </is>
      </c>
      <c r="D4362" s="18" t="n">
        <v>1763420</v>
      </c>
      <c r="E4362" s="18" t="n">
        <v>1536519</v>
      </c>
      <c r="F4362" s="18" t="n">
        <v>296117</v>
      </c>
      <c r="G4362" s="18" t="n"/>
      <c r="H4362" s="18" t="n"/>
      <c r="I4362" s="18" t="n"/>
      <c r="J4362" s="19" t="n">
        <v>0</v>
      </c>
      <c r="K4362" s="35" t="n">
        <v>0.065</v>
      </c>
    </row>
    <row r="4363">
      <c r="A4363" s="36" t="inlineStr">
        <is>
          <t>Midlertidige stillinger</t>
        </is>
      </c>
      <c r="B4363" s="36" t="inlineStr">
        <is>
          <t>Region Sør</t>
        </is>
      </c>
      <c r="C4363" s="36" t="inlineStr">
        <is>
          <t>Avdeling Gemini</t>
        </is>
      </c>
      <c r="D4363" s="26" t="n">
        <v>372183</v>
      </c>
      <c r="E4363" s="26" t="n">
        <v>649710</v>
      </c>
      <c r="F4363" s="26" t="n">
        <v>-3572</v>
      </c>
      <c r="G4363" s="26" t="n"/>
      <c r="H4363" s="26" t="n"/>
      <c r="I4363" s="26" t="n"/>
      <c r="J4363" s="19" t="n">
        <v>0</v>
      </c>
      <c r="K4363" s="37" t="n">
        <v>0.065</v>
      </c>
    </row>
    <row r="4364">
      <c r="A4364" s="34" t="inlineStr">
        <is>
          <t>Midlertidige stillinger</t>
        </is>
      </c>
      <c r="B4364" s="34" t="inlineStr">
        <is>
          <t>Region Sør</t>
        </is>
      </c>
      <c r="C4364" s="34" t="inlineStr">
        <is>
          <t>Avdeling Kjørbekk</t>
        </is>
      </c>
      <c r="D4364" s="18" t="n">
        <v>691562</v>
      </c>
      <c r="E4364" s="18" t="n">
        <v>602504</v>
      </c>
      <c r="F4364" s="18" t="n">
        <v>596400</v>
      </c>
      <c r="G4364" s="18" t="n">
        <v>587537</v>
      </c>
      <c r="H4364" s="18" t="n">
        <v>571573</v>
      </c>
      <c r="I4364" s="18" t="n">
        <v>546469</v>
      </c>
      <c r="J4364" s="19" t="n">
        <v>497346.7609982093</v>
      </c>
      <c r="K4364" s="35" t="n">
        <v>-0.04600327949889216</v>
      </c>
    </row>
    <row r="4365">
      <c r="A4365" s="36" t="inlineStr">
        <is>
          <t>Midlertidige stillinger</t>
        </is>
      </c>
      <c r="B4365" s="36" t="inlineStr">
        <is>
          <t>Region Sør</t>
        </is>
      </c>
      <c r="C4365" s="36" t="inlineStr">
        <is>
          <t>Avdeling Larønningen</t>
        </is>
      </c>
      <c r="D4365" s="26" t="n">
        <v>839604</v>
      </c>
      <c r="E4365" s="26" t="n">
        <v>193288</v>
      </c>
      <c r="F4365" s="26" t="n"/>
      <c r="G4365" s="26" t="n"/>
      <c r="H4365" s="26" t="n"/>
      <c r="I4365" s="26" t="n"/>
      <c r="J4365" s="19" t="n">
        <v>0</v>
      </c>
      <c r="K4365" s="37" t="n">
        <v>0.065</v>
      </c>
    </row>
    <row r="4366">
      <c r="A4366" s="34" t="inlineStr">
        <is>
          <t>Midlertidige stillinger</t>
        </is>
      </c>
      <c r="B4366" s="34" t="inlineStr">
        <is>
          <t>Region Sør</t>
        </is>
      </c>
      <c r="C4366" s="34" t="inlineStr">
        <is>
          <t>Avdeling Miljøheimen</t>
        </is>
      </c>
      <c r="D4366" s="18" t="n">
        <v>847627</v>
      </c>
      <c r="E4366" s="18" t="n">
        <v>730803</v>
      </c>
      <c r="F4366" s="18" t="n">
        <v>748904</v>
      </c>
      <c r="G4366" s="18" t="n">
        <v>521080</v>
      </c>
      <c r="H4366" s="18" t="n">
        <v>285360</v>
      </c>
      <c r="I4366" s="18" t="n">
        <v>597041</v>
      </c>
      <c r="J4366" s="19" t="n">
        <v>518948.0753355879</v>
      </c>
      <c r="K4366" s="35" t="n">
        <v>-0.06769100407948436</v>
      </c>
    </row>
    <row r="4367">
      <c r="A4367" s="36" t="inlineStr">
        <is>
          <t>Midlertidige stillinger</t>
        </is>
      </c>
      <c r="B4367" s="36" t="inlineStr">
        <is>
          <t>Region Sør</t>
        </is>
      </c>
      <c r="C4367" s="36" t="inlineStr">
        <is>
          <t>Avdeling Nes</t>
        </is>
      </c>
      <c r="D4367" s="26" t="n">
        <v>2196456</v>
      </c>
      <c r="E4367" s="26" t="n">
        <v>3129775</v>
      </c>
      <c r="F4367" s="26" t="n">
        <v>1287336</v>
      </c>
      <c r="G4367" s="26" t="n">
        <v>1236033</v>
      </c>
      <c r="H4367" s="26" t="n">
        <v>-168618</v>
      </c>
      <c r="I4367" s="26" t="n">
        <v>457266</v>
      </c>
      <c r="J4367" s="19" t="n">
        <v>257212.125</v>
      </c>
      <c r="K4367" s="37" t="n">
        <v>-0.25</v>
      </c>
    </row>
    <row r="4368">
      <c r="A4368" s="34" t="inlineStr">
        <is>
          <t>Midlertidige stillinger</t>
        </is>
      </c>
      <c r="B4368" s="34" t="inlineStr">
        <is>
          <t>Region Sør</t>
        </is>
      </c>
      <c r="C4368" s="34" t="inlineStr">
        <is>
          <t>Avdeling Nyli</t>
        </is>
      </c>
      <c r="D4368" s="18" t="n">
        <v>554647</v>
      </c>
      <c r="E4368" s="18" t="n">
        <v>73297</v>
      </c>
      <c r="F4368" s="18" t="n"/>
      <c r="G4368" s="18" t="n"/>
      <c r="H4368" s="18" t="n"/>
      <c r="I4368" s="18" t="n"/>
      <c r="J4368" s="19" t="n">
        <v>0</v>
      </c>
      <c r="K4368" s="35" t="n">
        <v>0.065</v>
      </c>
    </row>
    <row r="4369">
      <c r="A4369" s="36" t="inlineStr">
        <is>
          <t>Midlertidige stillinger</t>
        </is>
      </c>
      <c r="B4369" s="36" t="inlineStr">
        <is>
          <t>Region Sør</t>
        </is>
      </c>
      <c r="C4369" s="36" t="inlineStr">
        <is>
          <t>Avdeling Orion</t>
        </is>
      </c>
      <c r="D4369" s="26" t="n">
        <v>1118837</v>
      </c>
      <c r="E4369" s="26" t="n">
        <v>688379</v>
      </c>
      <c r="F4369" s="26" t="n">
        <v>14061</v>
      </c>
      <c r="G4369" s="26" t="n"/>
      <c r="H4369" s="26" t="n"/>
      <c r="I4369" s="26" t="n"/>
      <c r="J4369" s="19" t="n">
        <v>0</v>
      </c>
      <c r="K4369" s="37" t="n">
        <v>0.065</v>
      </c>
    </row>
    <row r="4370">
      <c r="A4370" s="34" t="inlineStr">
        <is>
          <t>Midlertidige stillinger</t>
        </is>
      </c>
      <c r="B4370" s="34" t="inlineStr">
        <is>
          <t>Region Sør</t>
        </is>
      </c>
      <c r="C4370" s="34" t="inlineStr">
        <is>
          <t>Avdeling Skomrak</t>
        </is>
      </c>
      <c r="D4370" s="18" t="n">
        <v>656468</v>
      </c>
      <c r="E4370" s="18" t="n">
        <v>330991</v>
      </c>
      <c r="F4370" s="18" t="n">
        <v>294097</v>
      </c>
      <c r="G4370" s="18" t="n">
        <v>336673</v>
      </c>
      <c r="H4370" s="18" t="n">
        <v>140129</v>
      </c>
      <c r="I4370" s="18" t="n">
        <v>360562</v>
      </c>
      <c r="J4370" s="19" t="n">
        <v>283717.7527734691</v>
      </c>
      <c r="K4370" s="35" t="n">
        <v>-0.1129394230272972</v>
      </c>
    </row>
    <row r="4371">
      <c r="A4371" s="36" t="inlineStr">
        <is>
          <t>Midlertidige stillinger</t>
        </is>
      </c>
      <c r="B4371" s="36" t="inlineStr">
        <is>
          <t>Region Sør</t>
        </is>
      </c>
      <c r="C4371" s="36" t="inlineStr">
        <is>
          <t>Avdeling Vestre Kjenner</t>
        </is>
      </c>
      <c r="D4371" s="26" t="n">
        <v>673894</v>
      </c>
      <c r="E4371" s="26" t="n">
        <v>1092743</v>
      </c>
      <c r="F4371" s="26" t="n">
        <v>374051</v>
      </c>
      <c r="G4371" s="26" t="n"/>
      <c r="H4371" s="26" t="n"/>
      <c r="I4371" s="26" t="n"/>
      <c r="J4371" s="19" t="n">
        <v>0</v>
      </c>
      <c r="K4371" s="37" t="n">
        <v>0.065</v>
      </c>
    </row>
    <row r="4372">
      <c r="A4372" s="34" t="inlineStr">
        <is>
          <t>Midlertidige stillinger</t>
        </is>
      </c>
      <c r="B4372" s="34" t="inlineStr">
        <is>
          <t>Region Sør</t>
        </is>
      </c>
      <c r="C4372" s="34" t="inlineStr">
        <is>
          <t>Barkåker.</t>
        </is>
      </c>
      <c r="D4372" s="18" t="n"/>
      <c r="E4372" s="18" t="n">
        <v>1152595</v>
      </c>
      <c r="F4372" s="18" t="n">
        <v>502989</v>
      </c>
      <c r="G4372" s="18" t="n">
        <v>1351704</v>
      </c>
      <c r="H4372" s="18" t="n">
        <v>1462042</v>
      </c>
      <c r="I4372" s="18" t="n">
        <v>1341174</v>
      </c>
      <c r="J4372" s="19" t="n">
        <v>1446736.114489567</v>
      </c>
      <c r="K4372" s="35" t="n">
        <v>0.03860904055700387</v>
      </c>
    </row>
    <row r="4373">
      <c r="A4373" s="36" t="inlineStr">
        <is>
          <t>Midlertidige stillinger</t>
        </is>
      </c>
      <c r="B4373" s="36" t="inlineStr">
        <is>
          <t>Region Sør</t>
        </is>
      </c>
      <c r="C4373" s="36" t="inlineStr">
        <is>
          <t>Furuly</t>
        </is>
      </c>
      <c r="D4373" s="26" t="n"/>
      <c r="E4373" s="26" t="n"/>
      <c r="F4373" s="26" t="n">
        <v>894779</v>
      </c>
      <c r="G4373" s="26" t="n">
        <v>891106</v>
      </c>
      <c r="H4373" s="26" t="n">
        <v>1181746</v>
      </c>
      <c r="I4373" s="26" t="n">
        <v>46584</v>
      </c>
      <c r="J4373" s="19" t="n">
        <v>52836.73739999999</v>
      </c>
      <c r="K4373" s="37" t="n">
        <v>0.065</v>
      </c>
    </row>
    <row r="4374">
      <c r="A4374" s="34" t="inlineStr">
        <is>
          <t>Midlertidige stillinger</t>
        </is>
      </c>
      <c r="B4374" s="34" t="inlineStr">
        <is>
          <t>Region Sør</t>
        </is>
      </c>
      <c r="C4374" s="34" t="inlineStr">
        <is>
          <t>Ilaug</t>
        </is>
      </c>
      <c r="D4374" s="18" t="n">
        <v>462832</v>
      </c>
      <c r="E4374" s="18" t="n">
        <v>1146570</v>
      </c>
      <c r="F4374" s="18" t="n"/>
      <c r="G4374" s="18" t="n"/>
      <c r="H4374" s="18" t="n"/>
      <c r="I4374" s="18" t="n"/>
      <c r="J4374" s="19" t="n">
        <v>0</v>
      </c>
      <c r="K4374" s="35" t="n">
        <v>0.065</v>
      </c>
    </row>
    <row r="4375">
      <c r="A4375" s="36" t="inlineStr">
        <is>
          <t>Midlertidige stillinger</t>
        </is>
      </c>
      <c r="B4375" s="36" t="inlineStr">
        <is>
          <t>Region Sør</t>
        </is>
      </c>
      <c r="C4375" s="36" t="inlineStr">
        <is>
          <t>Justøya</t>
        </is>
      </c>
      <c r="D4375" s="26" t="n"/>
      <c r="E4375" s="26" t="n"/>
      <c r="F4375" s="26" t="n"/>
      <c r="G4375" s="26" t="n"/>
      <c r="H4375" s="26" t="n"/>
      <c r="I4375" s="26" t="n">
        <v>113103</v>
      </c>
      <c r="J4375" s="19" t="n">
        <v>128284.250175</v>
      </c>
      <c r="K4375" s="37" t="n">
        <v>0.065</v>
      </c>
    </row>
    <row r="4376">
      <c r="A4376" s="34" t="inlineStr">
        <is>
          <t>Midlertidige stillinger</t>
        </is>
      </c>
      <c r="B4376" s="34" t="inlineStr">
        <is>
          <t>Region Sør</t>
        </is>
      </c>
      <c r="C4376" s="34" t="inlineStr">
        <is>
          <t>Kantum</t>
        </is>
      </c>
      <c r="D4376" s="18" t="n">
        <v>7500</v>
      </c>
      <c r="E4376" s="18" t="n">
        <v>37160</v>
      </c>
      <c r="F4376" s="18" t="n">
        <v>13001</v>
      </c>
      <c r="G4376" s="18" t="n"/>
      <c r="H4376" s="18" t="n"/>
      <c r="I4376" s="18" t="n"/>
      <c r="J4376" s="19" t="n">
        <v>0</v>
      </c>
      <c r="K4376" s="35" t="n">
        <v>0.065</v>
      </c>
    </row>
    <row r="4377">
      <c r="A4377" s="36" t="inlineStr">
        <is>
          <t>Midlertidige stillinger</t>
        </is>
      </c>
      <c r="B4377" s="36" t="inlineStr">
        <is>
          <t>Region Sør</t>
        </is>
      </c>
      <c r="C4377" s="36" t="inlineStr">
        <is>
          <t>Kartleggingsteam ungdom</t>
        </is>
      </c>
      <c r="D4377" s="26" t="n"/>
      <c r="E4377" s="26" t="n"/>
      <c r="F4377" s="26" t="n"/>
      <c r="G4377" s="26" t="n"/>
      <c r="H4377" s="26" t="n">
        <v>54856</v>
      </c>
      <c r="I4377" s="26" t="n">
        <v>1153</v>
      </c>
      <c r="J4377" s="19" t="n">
        <v>1307.761425</v>
      </c>
      <c r="K4377" s="37" t="n">
        <v>0.065</v>
      </c>
    </row>
    <row r="4378">
      <c r="A4378" s="34" t="inlineStr">
        <is>
          <t>Midlertidige stillinger</t>
        </is>
      </c>
      <c r="B4378" s="34" t="inlineStr">
        <is>
          <t>Region Sør</t>
        </is>
      </c>
      <c r="C4378" s="34" t="inlineStr">
        <is>
          <t>Klokkerhuset</t>
        </is>
      </c>
      <c r="D4378" s="18" t="n">
        <v>240354</v>
      </c>
      <c r="E4378" s="18" t="n">
        <v>1453238</v>
      </c>
      <c r="F4378" s="18" t="n">
        <v>1378182</v>
      </c>
      <c r="G4378" s="18" t="n">
        <v>386591</v>
      </c>
      <c r="H4378" s="18" t="n">
        <v>135025</v>
      </c>
      <c r="I4378" s="18" t="n">
        <v>436344</v>
      </c>
      <c r="J4378" s="19" t="n">
        <v>553885.5947110944</v>
      </c>
      <c r="K4378" s="35" t="n">
        <v>0.1266668880235646</v>
      </c>
    </row>
    <row r="4379">
      <c r="A4379" s="36" t="inlineStr">
        <is>
          <t>Midlertidige stillinger</t>
        </is>
      </c>
      <c r="B4379" s="36" t="inlineStr">
        <is>
          <t>Region Sør</t>
        </is>
      </c>
      <c r="C4379" s="36" t="inlineStr">
        <is>
          <t>Knuten</t>
        </is>
      </c>
      <c r="D4379" s="26" t="n"/>
      <c r="E4379" s="26" t="n"/>
      <c r="F4379" s="26" t="n">
        <v>1265683</v>
      </c>
      <c r="G4379" s="26" t="n">
        <v>1101872</v>
      </c>
      <c r="H4379" s="26" t="n">
        <v>488426</v>
      </c>
      <c r="I4379" s="26" t="n">
        <v>1316482</v>
      </c>
      <c r="J4379" s="19" t="n">
        <v>1493186.79645</v>
      </c>
      <c r="K4379" s="37" t="n">
        <v>0.065</v>
      </c>
    </row>
    <row r="4380">
      <c r="A4380" s="34" t="inlineStr">
        <is>
          <t>Midlertidige stillinger</t>
        </is>
      </c>
      <c r="B4380" s="34" t="inlineStr">
        <is>
          <t>Region Sør</t>
        </is>
      </c>
      <c r="C4380" s="34" t="inlineStr">
        <is>
          <t>Lerketoppen</t>
        </is>
      </c>
      <c r="D4380" s="18" t="n"/>
      <c r="E4380" s="18" t="n"/>
      <c r="F4380" s="18" t="n"/>
      <c r="G4380" s="18" t="n"/>
      <c r="H4380" s="18" t="n"/>
      <c r="I4380" s="18" t="n">
        <v>466145</v>
      </c>
      <c r="J4380" s="19" t="n">
        <v>528713.3126249999</v>
      </c>
      <c r="K4380" s="35" t="n">
        <v>0.065</v>
      </c>
    </row>
    <row r="4381">
      <c r="A4381" s="36" t="inlineStr">
        <is>
          <t>Midlertidige stillinger</t>
        </is>
      </c>
      <c r="B4381" s="36" t="inlineStr">
        <is>
          <t>Region Sør</t>
        </is>
      </c>
      <c r="C4381" s="36" t="inlineStr">
        <is>
          <t>Lunde behandlingssenter</t>
        </is>
      </c>
      <c r="D4381" s="26" t="n">
        <v>1362486</v>
      </c>
      <c r="E4381" s="26" t="n">
        <v>2365501</v>
      </c>
      <c r="F4381" s="26" t="n">
        <v>1573376</v>
      </c>
      <c r="G4381" s="26" t="n">
        <v>1166886</v>
      </c>
      <c r="H4381" s="26" t="n">
        <v>908245</v>
      </c>
      <c r="I4381" s="26" t="n">
        <v>806979</v>
      </c>
      <c r="J4381" s="19" t="n">
        <v>654446.7376647459</v>
      </c>
      <c r="K4381" s="37" t="n">
        <v>-0.09945371919778589</v>
      </c>
    </row>
    <row r="4382">
      <c r="A4382" s="34" t="inlineStr">
        <is>
          <t>Midlertidige stillinger</t>
        </is>
      </c>
      <c r="B4382" s="34" t="inlineStr">
        <is>
          <t>Region Sør</t>
        </is>
      </c>
      <c r="C4382" s="34" t="inlineStr">
        <is>
          <t>Lågen ungdomshjem</t>
        </is>
      </c>
      <c r="D4382" s="18" t="n"/>
      <c r="E4382" s="18" t="n"/>
      <c r="F4382" s="18" t="n"/>
      <c r="G4382" s="18" t="n"/>
      <c r="H4382" s="18" t="n"/>
      <c r="I4382" s="18" t="n">
        <v>616691</v>
      </c>
      <c r="J4382" s="19" t="n">
        <v>699466.3494749999</v>
      </c>
      <c r="K4382" s="35" t="n">
        <v>0.065</v>
      </c>
    </row>
    <row r="4383">
      <c r="A4383" s="36" t="inlineStr">
        <is>
          <t>Midlertidige stillinger</t>
        </is>
      </c>
      <c r="B4383" s="36" t="inlineStr">
        <is>
          <t>Region Sør</t>
        </is>
      </c>
      <c r="C4383" s="36" t="inlineStr">
        <is>
          <t>Mynten</t>
        </is>
      </c>
      <c r="D4383" s="26" t="n"/>
      <c r="E4383" s="26" t="n">
        <v>28632</v>
      </c>
      <c r="F4383" s="26" t="n">
        <v>630399</v>
      </c>
      <c r="G4383" s="26" t="n">
        <v>114293</v>
      </c>
      <c r="H4383" s="26" t="n">
        <v>844036</v>
      </c>
      <c r="I4383" s="26" t="n">
        <v>642662</v>
      </c>
      <c r="J4383" s="19" t="n">
        <v>1004159.375</v>
      </c>
      <c r="K4383" s="37" t="n">
        <v>0.25</v>
      </c>
    </row>
    <row r="4384">
      <c r="A4384" s="34" t="inlineStr">
        <is>
          <t>Midlertidige stillinger</t>
        </is>
      </c>
      <c r="B4384" s="34" t="inlineStr">
        <is>
          <t>Region Sør</t>
        </is>
      </c>
      <c r="C4384" s="34" t="inlineStr">
        <is>
          <t>Nye Toppen</t>
        </is>
      </c>
      <c r="D4384" s="18" t="n">
        <v>327078</v>
      </c>
      <c r="E4384" s="18" t="n">
        <v>54140</v>
      </c>
      <c r="F4384" s="18" t="n">
        <v>228273</v>
      </c>
      <c r="G4384" s="18" t="n">
        <v>1066501</v>
      </c>
      <c r="H4384" s="18" t="n">
        <v>898177</v>
      </c>
      <c r="I4384" s="18" t="n">
        <v>378738</v>
      </c>
      <c r="J4384" s="19" t="n">
        <v>401618.6765257732</v>
      </c>
      <c r="K4384" s="35" t="n">
        <v>0.02976353654814323</v>
      </c>
    </row>
    <row r="4385">
      <c r="A4385" s="36" t="inlineStr">
        <is>
          <t>Midlertidige stillinger</t>
        </is>
      </c>
      <c r="B4385" s="36" t="inlineStr">
        <is>
          <t>Region Sør</t>
        </is>
      </c>
      <c r="C4385" s="36" t="inlineStr">
        <is>
          <t>Nyhuset</t>
        </is>
      </c>
      <c r="D4385" s="26" t="n"/>
      <c r="E4385" s="26" t="n"/>
      <c r="F4385" s="26" t="n"/>
      <c r="G4385" s="26" t="n">
        <v>123068</v>
      </c>
      <c r="H4385" s="26" t="n"/>
      <c r="I4385" s="26" t="n"/>
      <c r="J4385" s="19" t="n">
        <v>0</v>
      </c>
      <c r="K4385" s="37" t="n">
        <v>0.065</v>
      </c>
    </row>
    <row r="4386">
      <c r="A4386" s="34" t="inlineStr">
        <is>
          <t>Midlertidige stillinger</t>
        </is>
      </c>
      <c r="B4386" s="34" t="inlineStr">
        <is>
          <t>Region Sør</t>
        </is>
      </c>
      <c r="C4386" s="34" t="inlineStr">
        <is>
          <t>Omsorg for ungdom</t>
        </is>
      </c>
      <c r="D4386" s="18" t="n">
        <v>277686</v>
      </c>
      <c r="E4386" s="18" t="n"/>
      <c r="F4386" s="18" t="n"/>
      <c r="G4386" s="18" t="n"/>
      <c r="H4386" s="18" t="n"/>
      <c r="I4386" s="18" t="n"/>
      <c r="J4386" s="19" t="n">
        <v>0</v>
      </c>
      <c r="K4386" s="35" t="n">
        <v>0.065</v>
      </c>
    </row>
    <row r="4387">
      <c r="A4387" s="36" t="inlineStr">
        <is>
          <t>Midlertidige stillinger</t>
        </is>
      </c>
      <c r="B4387" s="36" t="inlineStr">
        <is>
          <t>Region Sør</t>
        </is>
      </c>
      <c r="C4387" s="36" t="inlineStr">
        <is>
          <t>Psykologteam</t>
        </is>
      </c>
      <c r="D4387" s="26" t="n"/>
      <c r="E4387" s="26" t="n"/>
      <c r="F4387" s="26" t="n">
        <v>96648</v>
      </c>
      <c r="G4387" s="26" t="n"/>
      <c r="H4387" s="26" t="n">
        <v>435837</v>
      </c>
      <c r="I4387" s="26" t="n">
        <v>558047</v>
      </c>
      <c r="J4387" s="19" t="n">
        <v>632950.8585749998</v>
      </c>
      <c r="K4387" s="37" t="n">
        <v>0.065</v>
      </c>
    </row>
    <row r="4388">
      <c r="A4388" s="34" t="inlineStr">
        <is>
          <t>Midlertidige stillinger</t>
        </is>
      </c>
      <c r="B4388" s="34" t="inlineStr">
        <is>
          <t>Region Sør</t>
        </is>
      </c>
      <c r="C4388" s="34" t="inlineStr">
        <is>
          <t>Ressursmiljø for trygghet og sikkerhet</t>
        </is>
      </c>
      <c r="D4388" s="18" t="n"/>
      <c r="E4388" s="18" t="n"/>
      <c r="F4388" s="18" t="n">
        <v>363965</v>
      </c>
      <c r="G4388" s="18" t="n">
        <v>518509</v>
      </c>
      <c r="H4388" s="18" t="n"/>
      <c r="I4388" s="18" t="n"/>
      <c r="J4388" s="19" t="n">
        <v>0</v>
      </c>
      <c r="K4388" s="35" t="n">
        <v>0.065</v>
      </c>
    </row>
    <row r="4389">
      <c r="A4389" s="36" t="inlineStr">
        <is>
          <t>Midlertidige stillinger</t>
        </is>
      </c>
      <c r="B4389" s="36" t="inlineStr">
        <is>
          <t>Region Sør</t>
        </is>
      </c>
      <c r="C4389" s="36" t="inlineStr">
        <is>
          <t>Skjerfheimkollektivet</t>
        </is>
      </c>
      <c r="D4389" s="26" t="n">
        <v>521389</v>
      </c>
      <c r="E4389" s="26" t="n">
        <v>562810</v>
      </c>
      <c r="F4389" s="26" t="n">
        <v>116222</v>
      </c>
      <c r="G4389" s="26" t="n">
        <v>33761</v>
      </c>
      <c r="H4389" s="26" t="n"/>
      <c r="I4389" s="26" t="n"/>
      <c r="J4389" s="19" t="n">
        <v>0</v>
      </c>
      <c r="K4389" s="37" t="n">
        <v>0.065</v>
      </c>
    </row>
    <row r="4390">
      <c r="A4390" s="34" t="inlineStr">
        <is>
          <t>Midlertidige stillinger</t>
        </is>
      </c>
      <c r="B4390" s="34" t="inlineStr">
        <is>
          <t>Region Sør</t>
        </is>
      </c>
      <c r="C4390" s="34" t="inlineStr">
        <is>
          <t>St.Hansgården</t>
        </is>
      </c>
      <c r="D4390" s="18" t="n">
        <v>2183502</v>
      </c>
      <c r="E4390" s="18" t="n">
        <v>2156035</v>
      </c>
      <c r="F4390" s="18" t="n">
        <v>818487</v>
      </c>
      <c r="G4390" s="18" t="n">
        <v>7022</v>
      </c>
      <c r="H4390" s="18" t="n"/>
      <c r="I4390" s="18" t="n">
        <v>202432</v>
      </c>
      <c r="J4390" s="19" t="n">
        <v>113868</v>
      </c>
      <c r="K4390" s="35" t="n">
        <v>-0.25</v>
      </c>
    </row>
    <row r="4391">
      <c r="A4391" s="36" t="inlineStr">
        <is>
          <t>Midlertidige stillinger</t>
        </is>
      </c>
      <c r="B4391" s="36" t="inlineStr">
        <is>
          <t>Region Sør</t>
        </is>
      </c>
      <c r="C4391" s="36" t="inlineStr">
        <is>
          <t>Sundstedtråkka</t>
        </is>
      </c>
      <c r="D4391" s="26" t="n">
        <v>992176</v>
      </c>
      <c r="E4391" s="26" t="n">
        <v>2414112</v>
      </c>
      <c r="F4391" s="26" t="n">
        <v>920860</v>
      </c>
      <c r="G4391" s="26" t="n">
        <v>409977</v>
      </c>
      <c r="H4391" s="26" t="n">
        <v>315650</v>
      </c>
      <c r="I4391" s="26" t="n">
        <v>8193</v>
      </c>
      <c r="J4391" s="19" t="n">
        <v>4608.5625</v>
      </c>
      <c r="K4391" s="37" t="n">
        <v>-0.25</v>
      </c>
    </row>
    <row r="4392">
      <c r="A4392" s="34" t="inlineStr">
        <is>
          <t>Midlertidige stillinger</t>
        </is>
      </c>
      <c r="B4392" s="34" t="inlineStr">
        <is>
          <t>Region Sør</t>
        </is>
      </c>
      <c r="C4392" s="34" t="inlineStr">
        <is>
          <t>Svenner</t>
        </is>
      </c>
      <c r="D4392" s="18" t="n"/>
      <c r="E4392" s="18" t="n"/>
      <c r="F4392" s="18" t="n">
        <v>549147</v>
      </c>
      <c r="G4392" s="18" t="n">
        <v>532751</v>
      </c>
      <c r="H4392" s="18" t="n">
        <v>224607</v>
      </c>
      <c r="I4392" s="18" t="n">
        <v>170320</v>
      </c>
      <c r="J4392" s="19" t="n">
        <v>193181.202</v>
      </c>
      <c r="K4392" s="35" t="n">
        <v>0.065</v>
      </c>
    </row>
    <row r="4393">
      <c r="A4393" s="36" t="inlineStr">
        <is>
          <t>Midlertidige stillinger</t>
        </is>
      </c>
      <c r="B4393" s="36" t="inlineStr">
        <is>
          <t>Region Sør</t>
        </is>
      </c>
      <c r="C4393" s="36" t="inlineStr">
        <is>
          <t>TFCO Drammen</t>
        </is>
      </c>
      <c r="D4393" s="26" t="n">
        <v>238160</v>
      </c>
      <c r="E4393" s="26" t="n">
        <v>656220</v>
      </c>
      <c r="F4393" s="26" t="n">
        <v>1027242</v>
      </c>
      <c r="G4393" s="26" t="n">
        <v>94082</v>
      </c>
      <c r="H4393" s="26" t="n"/>
      <c r="I4393" s="26" t="n"/>
      <c r="J4393" s="19" t="n">
        <v>0</v>
      </c>
      <c r="K4393" s="37" t="n">
        <v>0.065</v>
      </c>
    </row>
    <row r="4394">
      <c r="A4394" s="34" t="inlineStr">
        <is>
          <t>Midlertidige stillinger</t>
        </is>
      </c>
      <c r="B4394" s="34" t="inlineStr">
        <is>
          <t>Region Sør</t>
        </is>
      </c>
      <c r="C4394" s="34" t="inlineStr">
        <is>
          <t>Thorøya</t>
        </is>
      </c>
      <c r="D4394" s="18" t="n">
        <v>3210990</v>
      </c>
      <c r="E4394" s="18" t="n">
        <v>2021888</v>
      </c>
      <c r="F4394" s="18" t="n">
        <v>1637273</v>
      </c>
      <c r="G4394" s="18" t="n">
        <v>1062217</v>
      </c>
      <c r="H4394" s="18" t="n">
        <v>43557</v>
      </c>
      <c r="I4394" s="18" t="n">
        <v>146798</v>
      </c>
      <c r="J4394" s="19" t="n">
        <v>82573.875</v>
      </c>
      <c r="K4394" s="35" t="n">
        <v>-0.25</v>
      </c>
    </row>
    <row r="4395">
      <c r="A4395" s="36" t="inlineStr">
        <is>
          <t>Midlertidige stillinger</t>
        </is>
      </c>
      <c r="B4395" s="36" t="inlineStr">
        <is>
          <t>Region Sør</t>
        </is>
      </c>
      <c r="C4395" s="36" t="inlineStr">
        <is>
          <t>Ulabrand</t>
        </is>
      </c>
      <c r="D4395" s="26" t="n"/>
      <c r="E4395" s="26" t="n"/>
      <c r="F4395" s="26" t="n">
        <v>165203</v>
      </c>
      <c r="G4395" s="26" t="n">
        <v>89492</v>
      </c>
      <c r="H4395" s="26" t="n">
        <v>333464</v>
      </c>
      <c r="I4395" s="26" t="n">
        <v>129789</v>
      </c>
      <c r="J4395" s="19" t="n">
        <v>147209.928525</v>
      </c>
      <c r="K4395" s="37" t="n">
        <v>0.065</v>
      </c>
    </row>
    <row r="4396">
      <c r="A4396" s="34" t="inlineStr">
        <is>
          <t>Midlertidige stillinger</t>
        </is>
      </c>
      <c r="B4396" s="34" t="inlineStr">
        <is>
          <t>Region Vest</t>
        </is>
      </c>
      <c r="C4396" s="34" t="inlineStr">
        <is>
          <t>Bergen Akutts. avd. Nattland</t>
        </is>
      </c>
      <c r="D4396" s="18" t="n">
        <v>765908</v>
      </c>
      <c r="E4396" s="18" t="n">
        <v>827579</v>
      </c>
      <c r="F4396" s="18" t="n">
        <v>1313455</v>
      </c>
      <c r="G4396" s="18" t="n">
        <v>1126936</v>
      </c>
      <c r="H4396" s="18" t="n">
        <v>263013</v>
      </c>
      <c r="I4396" s="18" t="n">
        <v>1226343</v>
      </c>
      <c r="J4396" s="19" t="n">
        <v>1480423.930604498</v>
      </c>
      <c r="K4396" s="35" t="n">
        <v>0.09872010139920451</v>
      </c>
    </row>
    <row r="4397">
      <c r="A4397" s="36" t="inlineStr">
        <is>
          <t>Midlertidige stillinger</t>
        </is>
      </c>
      <c r="B4397" s="36" t="inlineStr">
        <is>
          <t>Region Vest</t>
        </is>
      </c>
      <c r="C4397" s="36" t="inlineStr">
        <is>
          <t>Bergen Akutts. avd. Toppe</t>
        </is>
      </c>
      <c r="D4397" s="26" t="n">
        <v>2460799</v>
      </c>
      <c r="E4397" s="26" t="n">
        <v>1132995</v>
      </c>
      <c r="F4397" s="26" t="n">
        <v>1053277</v>
      </c>
      <c r="G4397" s="26" t="n">
        <v>2010647</v>
      </c>
      <c r="H4397" s="26" t="n">
        <v>1718142</v>
      </c>
      <c r="I4397" s="26" t="n">
        <v>1658043</v>
      </c>
      <c r="J4397" s="19" t="n">
        <v>1415805.674243966</v>
      </c>
      <c r="K4397" s="37" t="n">
        <v>-0.07593200329811489</v>
      </c>
    </row>
    <row r="4398">
      <c r="A4398" s="34" t="inlineStr">
        <is>
          <t>Midlertidige stillinger</t>
        </is>
      </c>
      <c r="B4398" s="34" t="inlineStr">
        <is>
          <t>Region Vest</t>
        </is>
      </c>
      <c r="C4398" s="34" t="inlineStr">
        <is>
          <t>Bjørgvin Ungdomssenter, Bønesskogen</t>
        </is>
      </c>
      <c r="D4398" s="18" t="n">
        <v>373703</v>
      </c>
      <c r="E4398" s="18" t="n">
        <v>11301</v>
      </c>
      <c r="F4398" s="18" t="n"/>
      <c r="G4398" s="18" t="n"/>
      <c r="H4398" s="18" t="n">
        <v>34007</v>
      </c>
      <c r="I4398" s="18" t="n">
        <v>94006</v>
      </c>
      <c r="J4398" s="19" t="n">
        <v>54126.15406501333</v>
      </c>
      <c r="K4398" s="35" t="n">
        <v>-0.2412026633320966</v>
      </c>
    </row>
    <row r="4399">
      <c r="A4399" s="36" t="inlineStr">
        <is>
          <t>Midlertidige stillinger</t>
        </is>
      </c>
      <c r="B4399" s="36" t="inlineStr">
        <is>
          <t>Region Vest</t>
        </is>
      </c>
      <c r="C4399" s="36" t="inlineStr">
        <is>
          <t>Bjørgvin Ungdomssenter, Bønesstølen</t>
        </is>
      </c>
      <c r="D4399" s="26" t="n">
        <v>61704</v>
      </c>
      <c r="E4399" s="26" t="n">
        <v>10988</v>
      </c>
      <c r="F4399" s="26" t="n"/>
      <c r="G4399" s="26" t="n">
        <v>150</v>
      </c>
      <c r="H4399" s="26" t="n">
        <v>2042</v>
      </c>
      <c r="I4399" s="26" t="n"/>
      <c r="J4399" s="19" t="n">
        <v>0</v>
      </c>
      <c r="K4399" s="37" t="n">
        <v>0.065</v>
      </c>
    </row>
    <row r="4400">
      <c r="A4400" s="34" t="inlineStr">
        <is>
          <t>Midlertidige stillinger</t>
        </is>
      </c>
      <c r="B4400" s="34" t="inlineStr">
        <is>
          <t>Region Vest</t>
        </is>
      </c>
      <c r="C4400" s="34" t="inlineStr">
        <is>
          <t>Eikelund US avd. beh. høy</t>
        </is>
      </c>
      <c r="D4400" s="18" t="n"/>
      <c r="E4400" s="18" t="n"/>
      <c r="F4400" s="18" t="n"/>
      <c r="G4400" s="18" t="n"/>
      <c r="H4400" s="18" t="n"/>
      <c r="I4400" s="18" t="n">
        <v>352841</v>
      </c>
      <c r="J4400" s="19" t="n">
        <v>400201.083225</v>
      </c>
      <c r="K4400" s="35" t="n">
        <v>0.065</v>
      </c>
    </row>
    <row r="4401">
      <c r="A4401" s="36" t="inlineStr">
        <is>
          <t>Midlertidige stillinger</t>
        </is>
      </c>
      <c r="B4401" s="36" t="inlineStr">
        <is>
          <t>Region Vest</t>
        </is>
      </c>
      <c r="C4401" s="36" t="inlineStr">
        <is>
          <t>Kasa Ungdomssenter avd. Flatøy</t>
        </is>
      </c>
      <c r="D4401" s="26" t="n"/>
      <c r="E4401" s="26" t="n">
        <v>11042</v>
      </c>
      <c r="F4401" s="26" t="n"/>
      <c r="G4401" s="26" t="n"/>
      <c r="H4401" s="26" t="n"/>
      <c r="I4401" s="26" t="n">
        <v>585547</v>
      </c>
      <c r="J4401" s="19" t="n">
        <v>914917.1875</v>
      </c>
      <c r="K4401" s="37" t="n">
        <v>0.25</v>
      </c>
    </row>
    <row r="4402">
      <c r="A4402" s="34" t="inlineStr">
        <is>
          <t>Midlertidige stillinger</t>
        </is>
      </c>
      <c r="B4402" s="34" t="inlineStr">
        <is>
          <t>Region Vest</t>
        </is>
      </c>
      <c r="C4402" s="34" t="inlineStr">
        <is>
          <t>Kasa Ungdomssenter avd. Hop</t>
        </is>
      </c>
      <c r="D4402" s="18" t="n"/>
      <c r="E4402" s="18" t="n">
        <v>66933</v>
      </c>
      <c r="F4402" s="18" t="n"/>
      <c r="G4402" s="18" t="n"/>
      <c r="H4402" s="18" t="n">
        <v>116064</v>
      </c>
      <c r="I4402" s="18" t="n">
        <v>808</v>
      </c>
      <c r="J4402" s="19" t="n">
        <v>454.5</v>
      </c>
      <c r="K4402" s="35" t="n">
        <v>-0.25</v>
      </c>
    </row>
    <row r="4403">
      <c r="A4403" s="36" t="inlineStr">
        <is>
          <t>Midlertidige stillinger</t>
        </is>
      </c>
      <c r="B4403" s="36" t="inlineStr">
        <is>
          <t>Region Vest</t>
        </is>
      </c>
      <c r="C4403" s="36" t="inlineStr">
        <is>
          <t>Kasa Ungdomssenter avd. Morvik</t>
        </is>
      </c>
      <c r="D4403" s="26" t="n">
        <v>27221</v>
      </c>
      <c r="E4403" s="26" t="n">
        <v>35342</v>
      </c>
      <c r="F4403" s="26" t="n"/>
      <c r="G4403" s="26" t="n"/>
      <c r="H4403" s="26" t="n">
        <v>89674</v>
      </c>
      <c r="I4403" s="26" t="n">
        <v>340957</v>
      </c>
      <c r="J4403" s="19" t="n">
        <v>532745.3125</v>
      </c>
      <c r="K4403" s="37" t="n">
        <v>0.25</v>
      </c>
    </row>
    <row r="4404">
      <c r="A4404" s="34" t="inlineStr">
        <is>
          <t>Midlertidige stillinger</t>
        </is>
      </c>
      <c r="B4404" s="34" t="inlineStr">
        <is>
          <t>Region Vest</t>
        </is>
      </c>
      <c r="C4404" s="34" t="inlineStr">
        <is>
          <t>Kasa Ungdomssenter avd. Sandsli</t>
        </is>
      </c>
      <c r="D4404" s="18" t="n">
        <v>29124</v>
      </c>
      <c r="E4404" s="18" t="n">
        <v>15676</v>
      </c>
      <c r="F4404" s="18" t="n"/>
      <c r="G4404" s="18" t="n"/>
      <c r="H4404" s="18" t="n"/>
      <c r="I4404" s="18" t="n"/>
      <c r="J4404" s="19" t="n">
        <v>0</v>
      </c>
      <c r="K4404" s="35" t="n">
        <v>0.065</v>
      </c>
    </row>
    <row r="4405">
      <c r="A4405" s="36" t="inlineStr">
        <is>
          <t>Midlertidige stillinger</t>
        </is>
      </c>
      <c r="B4405" s="36" t="inlineStr">
        <is>
          <t>Region Vest</t>
        </is>
      </c>
      <c r="C4405" s="36" t="inlineStr">
        <is>
          <t>Kasa Ungdomssenter avd. Tertnes</t>
        </is>
      </c>
      <c r="D4405" s="26" t="n"/>
      <c r="E4405" s="26" t="n"/>
      <c r="F4405" s="26" t="n"/>
      <c r="G4405" s="26" t="n"/>
      <c r="H4405" s="26" t="n">
        <v>49543</v>
      </c>
      <c r="I4405" s="26" t="n">
        <v>555283</v>
      </c>
      <c r="J4405" s="19" t="n">
        <v>629815.8606749999</v>
      </c>
      <c r="K4405" s="37" t="n">
        <v>0.065</v>
      </c>
    </row>
    <row r="4406">
      <c r="A4406" s="34" t="inlineStr">
        <is>
          <t>Midlertidige stillinger</t>
        </is>
      </c>
      <c r="B4406" s="34" t="inlineStr">
        <is>
          <t>Region Vest</t>
        </is>
      </c>
      <c r="C4406" s="34" t="inlineStr">
        <is>
          <t>SFU avd Bregnetunet</t>
        </is>
      </c>
      <c r="D4406" s="18" t="n">
        <v>201348</v>
      </c>
      <c r="E4406" s="18" t="n">
        <v>129905</v>
      </c>
      <c r="F4406" s="18" t="n">
        <v>114168</v>
      </c>
      <c r="G4406" s="18" t="n">
        <v>125608</v>
      </c>
      <c r="H4406" s="18" t="n">
        <v>137422</v>
      </c>
      <c r="I4406" s="18" t="n"/>
      <c r="J4406" s="19" t="n">
        <v>0</v>
      </c>
      <c r="K4406" s="35" t="n">
        <v>0.065</v>
      </c>
    </row>
    <row r="4407">
      <c r="A4407" s="36" t="inlineStr">
        <is>
          <t>Midlertidige stillinger</t>
        </is>
      </c>
      <c r="B4407" s="36" t="inlineStr">
        <is>
          <t>Region Vest</t>
        </is>
      </c>
      <c r="C4407" s="36" t="inlineStr">
        <is>
          <t>SFU avd.Meltunet</t>
        </is>
      </c>
      <c r="D4407" s="26" t="n">
        <v>28190</v>
      </c>
      <c r="E4407" s="26" t="n">
        <v>424636</v>
      </c>
      <c r="F4407" s="26" t="n"/>
      <c r="G4407" s="26" t="n"/>
      <c r="H4407" s="26" t="n">
        <v>149909</v>
      </c>
      <c r="I4407" s="26" t="n">
        <v>1620185</v>
      </c>
      <c r="J4407" s="19" t="n">
        <v>2531539.0625</v>
      </c>
      <c r="K4407" s="37" t="n">
        <v>0.25</v>
      </c>
    </row>
    <row r="4408">
      <c r="A4408" s="34" t="inlineStr">
        <is>
          <t>Midlertidige stillinger</t>
        </is>
      </c>
      <c r="B4408" s="34" t="inlineStr">
        <is>
          <t>Region Vest</t>
        </is>
      </c>
      <c r="C4408" s="34" t="inlineStr">
        <is>
          <t>Sandnes ungdomssenter - Minde 2</t>
        </is>
      </c>
      <c r="D4408" s="18" t="n">
        <v>62558</v>
      </c>
      <c r="E4408" s="18" t="n">
        <v>9808</v>
      </c>
      <c r="F4408" s="18" t="n"/>
      <c r="G4408" s="18" t="n"/>
      <c r="H4408" s="18" t="n">
        <v>129222</v>
      </c>
      <c r="I4408" s="18" t="n">
        <v>248156</v>
      </c>
      <c r="J4408" s="19" t="n">
        <v>387743.75</v>
      </c>
      <c r="K4408" s="35" t="n">
        <v>0.25</v>
      </c>
    </row>
    <row r="4409">
      <c r="A4409" s="36" t="inlineStr">
        <is>
          <t>Midlertidige stillinger</t>
        </is>
      </c>
      <c r="B4409" s="36" t="inlineStr">
        <is>
          <t>Region Vest</t>
        </is>
      </c>
      <c r="C4409" s="36" t="inlineStr">
        <is>
          <t>Sandnes ungdomssenter - Minde1</t>
        </is>
      </c>
      <c r="D4409" s="26" t="n">
        <v>5475</v>
      </c>
      <c r="E4409" s="26" t="n">
        <v>114679</v>
      </c>
      <c r="F4409" s="26" t="n">
        <v>210232</v>
      </c>
      <c r="G4409" s="26" t="n">
        <v>309172</v>
      </c>
      <c r="H4409" s="26" t="n">
        <v>222197</v>
      </c>
      <c r="I4409" s="26" t="n">
        <v>547685</v>
      </c>
      <c r="J4409" s="19" t="n">
        <v>855757.8125</v>
      </c>
      <c r="K4409" s="37" t="n">
        <v>0.25</v>
      </c>
    </row>
    <row r="4410">
      <c r="A4410" s="34" t="inlineStr">
        <is>
          <t>Midlertidige stillinger</t>
        </is>
      </c>
      <c r="B4410" s="34" t="inlineStr">
        <is>
          <t>Region Vest</t>
        </is>
      </c>
      <c r="C4410" s="34" t="inlineStr">
        <is>
          <t>Skjoldvegen Skjold</t>
        </is>
      </c>
      <c r="D4410" s="18" t="n">
        <v>123348</v>
      </c>
      <c r="E4410" s="18" t="n">
        <v>67092</v>
      </c>
      <c r="F4410" s="18" t="n"/>
      <c r="G4410" s="18" t="n">
        <v>398838</v>
      </c>
      <c r="H4410" s="18" t="n">
        <v>885305</v>
      </c>
      <c r="I4410" s="18" t="n">
        <v>531522</v>
      </c>
      <c r="J4410" s="19" t="n">
        <v>830503.125</v>
      </c>
      <c r="K4410" s="35" t="n">
        <v>0.25</v>
      </c>
    </row>
    <row r="4411">
      <c r="A4411" s="36" t="inlineStr">
        <is>
          <t>Midlertidige stillinger</t>
        </is>
      </c>
      <c r="B4411" s="36" t="inlineStr">
        <is>
          <t>Region Vest</t>
        </is>
      </c>
      <c r="C4411" s="36" t="inlineStr">
        <is>
          <t>Skjoldvegen Søfteland</t>
        </is>
      </c>
      <c r="D4411" s="26" t="n"/>
      <c r="E4411" s="26" t="n">
        <v>268927</v>
      </c>
      <c r="F4411" s="26" t="n">
        <v>543177</v>
      </c>
      <c r="G4411" s="26" t="n">
        <v>253595</v>
      </c>
      <c r="H4411" s="26" t="n">
        <v>399735</v>
      </c>
      <c r="I4411" s="26" t="n">
        <v>718780</v>
      </c>
      <c r="J4411" s="19" t="n">
        <v>1123093.75</v>
      </c>
      <c r="K4411" s="37" t="n">
        <v>0.25</v>
      </c>
    </row>
    <row r="4412">
      <c r="A4412" s="34" t="inlineStr">
        <is>
          <t>Midlertidige stillinger</t>
        </is>
      </c>
      <c r="B4412" s="34" t="inlineStr">
        <is>
          <t>Region Vest</t>
        </is>
      </c>
      <c r="C4412" s="34" t="inlineStr">
        <is>
          <t>Skjoldvegen barnevernsenter Enetiltak</t>
        </is>
      </c>
      <c r="D4412" s="18" t="n">
        <v>14016</v>
      </c>
      <c r="E4412" s="18" t="n"/>
      <c r="F4412" s="18" t="n"/>
      <c r="G4412" s="18" t="n"/>
      <c r="H4412" s="18" t="n"/>
      <c r="I4412" s="18" t="n"/>
      <c r="J4412" s="19" t="n">
        <v>0</v>
      </c>
      <c r="K4412" s="35" t="n">
        <v>0.065</v>
      </c>
    </row>
    <row r="4413">
      <c r="A4413" s="36" t="inlineStr">
        <is>
          <t>Midlertidige stillinger</t>
        </is>
      </c>
      <c r="B4413" s="36" t="inlineStr">
        <is>
          <t>Region Vest</t>
        </is>
      </c>
      <c r="C4413" s="36" t="inlineStr">
        <is>
          <t>Skjoldvegen barnevernsenter avd. Fyllingsdalen</t>
        </is>
      </c>
      <c r="D4413" s="26" t="n"/>
      <c r="E4413" s="26" t="n">
        <v>128935</v>
      </c>
      <c r="F4413" s="26" t="n">
        <v>535628</v>
      </c>
      <c r="G4413" s="26" t="n">
        <v>52458</v>
      </c>
      <c r="H4413" s="26" t="n">
        <v>133483</v>
      </c>
      <c r="I4413" s="26" t="n">
        <v>205142</v>
      </c>
      <c r="J4413" s="19" t="n">
        <v>258759.5967302737</v>
      </c>
      <c r="K4413" s="37" t="n">
        <v>0.1231064985334918</v>
      </c>
    </row>
    <row r="4414">
      <c r="A4414" s="34" t="inlineStr">
        <is>
          <t>Midlertidige stillinger</t>
        </is>
      </c>
      <c r="B4414" s="34" t="inlineStr">
        <is>
          <t>Region Vest</t>
        </is>
      </c>
      <c r="C4414" s="34" t="inlineStr">
        <is>
          <t>Sogn og fjordane ungdomssenter avdeling Bregnetunet behandling høy</t>
        </is>
      </c>
      <c r="D4414" s="18" t="n"/>
      <c r="E4414" s="18" t="n"/>
      <c r="F4414" s="18" t="n"/>
      <c r="G4414" s="18" t="n"/>
      <c r="H4414" s="18" t="n">
        <v>3859</v>
      </c>
      <c r="I4414" s="18" t="n">
        <v>22163</v>
      </c>
      <c r="J4414" s="19" t="n">
        <v>25137.828675</v>
      </c>
      <c r="K4414" s="35" t="n">
        <v>0.065</v>
      </c>
    </row>
    <row r="4415">
      <c r="A4415" s="36" t="inlineStr">
        <is>
          <t>Midlertidige stillinger</t>
        </is>
      </c>
      <c r="B4415" s="36" t="inlineStr">
        <is>
          <t>Region Vest</t>
        </is>
      </c>
      <c r="C4415" s="36" t="inlineStr">
        <is>
          <t>Sogndal ungdomsenter-adm.</t>
        </is>
      </c>
      <c r="D4415" s="26" t="n">
        <v>641952</v>
      </c>
      <c r="E4415" s="26" t="n">
        <v>446119</v>
      </c>
      <c r="F4415" s="26" t="n">
        <v>436729</v>
      </c>
      <c r="G4415" s="26" t="n">
        <v>463203</v>
      </c>
      <c r="H4415" s="26" t="n">
        <v>439529</v>
      </c>
      <c r="I4415" s="26" t="n">
        <v>306865</v>
      </c>
      <c r="J4415" s="19" t="n">
        <v>228415.3454429425</v>
      </c>
      <c r="K4415" s="37" t="n">
        <v>-0.137242069230762</v>
      </c>
    </row>
    <row r="4416">
      <c r="A4416" s="34" t="inlineStr">
        <is>
          <t>Midlertidige stillinger</t>
        </is>
      </c>
      <c r="B4416" s="34" t="inlineStr">
        <is>
          <t>Region Vest</t>
        </is>
      </c>
      <c r="C4416" s="34" t="inlineStr">
        <is>
          <t>Stavanger akuttsenter - Madla</t>
        </is>
      </c>
      <c r="D4416" s="18" t="n"/>
      <c r="E4416" s="18" t="n">
        <v>115235</v>
      </c>
      <c r="F4416" s="18" t="n">
        <v>14044</v>
      </c>
      <c r="G4416" s="18" t="n">
        <v>155400</v>
      </c>
      <c r="H4416" s="18" t="n">
        <v>105454</v>
      </c>
      <c r="I4416" s="18" t="n">
        <v>44476</v>
      </c>
      <c r="J4416" s="19" t="n">
        <v>27630.98577433668</v>
      </c>
      <c r="K4416" s="35" t="n">
        <v>-0.2118019994315995</v>
      </c>
    </row>
    <row r="4417">
      <c r="A4417" s="36" t="inlineStr">
        <is>
          <t>Midlertidige stillinger</t>
        </is>
      </c>
      <c r="B4417" s="36" t="inlineStr">
        <is>
          <t>Region Vest</t>
        </is>
      </c>
      <c r="C4417" s="36" t="inlineStr">
        <is>
          <t>Stavanger akuttsenter - Røyneberg</t>
        </is>
      </c>
      <c r="D4417" s="26" t="n">
        <v>5815</v>
      </c>
      <c r="E4417" s="26" t="n">
        <v>89273</v>
      </c>
      <c r="F4417" s="26" t="n"/>
      <c r="G4417" s="26" t="n"/>
      <c r="H4417" s="26" t="n">
        <v>165598</v>
      </c>
      <c r="I4417" s="26" t="n">
        <v>148635</v>
      </c>
      <c r="J4417" s="19" t="n">
        <v>232242.1875</v>
      </c>
      <c r="K4417" s="37" t="n">
        <v>0.25</v>
      </c>
    </row>
    <row r="4418">
      <c r="A4418" s="34" t="inlineStr">
        <is>
          <t>Midlertidige stillinger</t>
        </is>
      </c>
      <c r="B4418" s="34" t="inlineStr">
        <is>
          <t>Region Vest</t>
        </is>
      </c>
      <c r="C4418" s="34" t="inlineStr">
        <is>
          <t>Stavanger ungdomssenter - adm</t>
        </is>
      </c>
      <c r="D4418" s="18" t="n"/>
      <c r="E4418" s="18" t="n">
        <v>3424</v>
      </c>
      <c r="F4418" s="18" t="n">
        <v>28409</v>
      </c>
      <c r="G4418" s="18" t="n">
        <v>192520</v>
      </c>
      <c r="H4418" s="18" t="n"/>
      <c r="I4418" s="18" t="n"/>
      <c r="J4418" s="19" t="n">
        <v>0</v>
      </c>
      <c r="K4418" s="35" t="n">
        <v>0.065</v>
      </c>
    </row>
    <row r="4419">
      <c r="A4419" s="36" t="inlineStr">
        <is>
          <t>Midlertidige stillinger</t>
        </is>
      </c>
      <c r="B4419" s="36" t="inlineStr">
        <is>
          <t>Region Vest</t>
        </is>
      </c>
      <c r="C4419" s="36" t="inlineStr">
        <is>
          <t>Stavanger ungdomssenter - avd. Lindøy</t>
        </is>
      </c>
      <c r="D4419" s="26" t="n">
        <v>420035</v>
      </c>
      <c r="E4419" s="26" t="n">
        <v>-82022</v>
      </c>
      <c r="F4419" s="26" t="n"/>
      <c r="G4419" s="26" t="n"/>
      <c r="H4419" s="26" t="n">
        <v>381829</v>
      </c>
      <c r="I4419" s="26" t="n">
        <v>755135</v>
      </c>
      <c r="J4419" s="19" t="n">
        <v>954817.2312175618</v>
      </c>
      <c r="K4419" s="37" t="n">
        <v>0.1244698723468571</v>
      </c>
    </row>
    <row r="4420">
      <c r="A4420" s="34" t="inlineStr">
        <is>
          <t>Midlertidige stillinger</t>
        </is>
      </c>
      <c r="B4420" s="34" t="inlineStr">
        <is>
          <t>Region Vest</t>
        </is>
      </c>
      <c r="C4420" s="34" t="inlineStr">
        <is>
          <t>Stavanger ungdomssenter - avd. Våland</t>
        </is>
      </c>
      <c r="D4420" s="18" t="n">
        <v>400731</v>
      </c>
      <c r="E4420" s="18" t="n">
        <v>227372</v>
      </c>
      <c r="F4420" s="18" t="n">
        <v>208914</v>
      </c>
      <c r="G4420" s="18" t="n"/>
      <c r="H4420" s="18" t="n">
        <v>40042</v>
      </c>
      <c r="I4420" s="18" t="n">
        <v>311981</v>
      </c>
      <c r="J4420" s="19" t="n">
        <v>282252.7799482951</v>
      </c>
      <c r="K4420" s="35" t="n">
        <v>-0.04883679602547464</v>
      </c>
    </row>
    <row r="4421">
      <c r="A4421" s="36" t="inlineStr">
        <is>
          <t>Midlertidige stillinger</t>
        </is>
      </c>
      <c r="B4421" s="36" t="inlineStr">
        <is>
          <t>Region Øst</t>
        </is>
      </c>
      <c r="C4421" s="36" t="inlineStr">
        <is>
          <t>Akershus ungdoms- og familiesenter - akutt  Avdeling Sole</t>
        </is>
      </c>
      <c r="D4421" s="26" t="n">
        <v>834917</v>
      </c>
      <c r="E4421" s="26" t="n">
        <v>107691</v>
      </c>
      <c r="F4421" s="26" t="n">
        <v>46834</v>
      </c>
      <c r="G4421" s="26" t="n">
        <v>551669</v>
      </c>
      <c r="H4421" s="26" t="n">
        <v>653335</v>
      </c>
      <c r="I4421" s="26" t="n">
        <v>20757</v>
      </c>
      <c r="J4421" s="19" t="n">
        <v>11675.8125</v>
      </c>
      <c r="K4421" s="37" t="n">
        <v>-0.25</v>
      </c>
    </row>
    <row r="4422">
      <c r="A4422" s="34" t="inlineStr">
        <is>
          <t>Midlertidige stillinger</t>
        </is>
      </c>
      <c r="B4422" s="34" t="inlineStr">
        <is>
          <t>Region Øst</t>
        </is>
      </c>
      <c r="C4422" s="34" t="inlineStr">
        <is>
          <t>Akershus ungdoms- og familiesenter - akutt  Avdeling Tjernlia</t>
        </is>
      </c>
      <c r="D4422" s="18" t="n">
        <v>5362</v>
      </c>
      <c r="E4422" s="18" t="n">
        <v>97576</v>
      </c>
      <c r="F4422" s="18" t="n">
        <v>160421</v>
      </c>
      <c r="G4422" s="18" t="n">
        <v>414848</v>
      </c>
      <c r="H4422" s="18" t="n">
        <v>726359</v>
      </c>
      <c r="I4422" s="18" t="n">
        <v>-166172</v>
      </c>
      <c r="J4422" s="19" t="n">
        <v>-188476.4367</v>
      </c>
      <c r="K4422" s="35" t="n">
        <v>0.065</v>
      </c>
    </row>
    <row r="4423">
      <c r="A4423" s="36" t="inlineStr">
        <is>
          <t>Midlertidige stillinger</t>
        </is>
      </c>
      <c r="B4423" s="36" t="inlineStr">
        <is>
          <t>Region Øst</t>
        </is>
      </c>
      <c r="C4423" s="36" t="inlineStr">
        <is>
          <t>Akershus ungdoms- og familiesenter - akutt Avdeling Bjørlien</t>
        </is>
      </c>
      <c r="D4423" s="26" t="n">
        <v>579708</v>
      </c>
      <c r="E4423" s="26" t="n">
        <v>52605</v>
      </c>
      <c r="F4423" s="26" t="n"/>
      <c r="G4423" s="26" t="n">
        <v>582917</v>
      </c>
      <c r="H4423" s="26" t="n">
        <v>354890</v>
      </c>
      <c r="I4423" s="26" t="n">
        <v>1100</v>
      </c>
      <c r="J4423" s="19" t="n">
        <v>618.75</v>
      </c>
      <c r="K4423" s="37" t="n">
        <v>-0.25</v>
      </c>
    </row>
    <row r="4424">
      <c r="A4424" s="34" t="inlineStr">
        <is>
          <t>Midlertidige stillinger</t>
        </is>
      </c>
      <c r="B4424" s="34" t="inlineStr">
        <is>
          <t>Region Øst</t>
        </is>
      </c>
      <c r="C4424" s="34" t="inlineStr">
        <is>
          <t>Akershus ungdoms- og familiesenter - akutt Avdeling Follo</t>
        </is>
      </c>
      <c r="D4424" s="18" t="n">
        <v>134859</v>
      </c>
      <c r="E4424" s="18" t="n">
        <v>72112</v>
      </c>
      <c r="F4424" s="18" t="n"/>
      <c r="G4424" s="18" t="n"/>
      <c r="H4424" s="18" t="n"/>
      <c r="I4424" s="18" t="n"/>
      <c r="J4424" s="19" t="n">
        <v>0</v>
      </c>
      <c r="K4424" s="35" t="n">
        <v>0.065</v>
      </c>
    </row>
    <row r="4425">
      <c r="A4425" s="36" t="inlineStr">
        <is>
          <t>Midlertidige stillinger</t>
        </is>
      </c>
      <c r="B4425" s="36" t="inlineStr">
        <is>
          <t>Region Øst</t>
        </is>
      </c>
      <c r="C4425" s="36" t="inlineStr">
        <is>
          <t>Akershus ungdoms- og familiesenter - akutt Avdeling Jibbe</t>
        </is>
      </c>
      <c r="D4425" s="26" t="n">
        <v>162017</v>
      </c>
      <c r="E4425" s="26" t="n">
        <v>11265</v>
      </c>
      <c r="F4425" s="26" t="n"/>
      <c r="G4425" s="26" t="n">
        <v>1653</v>
      </c>
      <c r="H4425" s="26" t="n">
        <v>19951</v>
      </c>
      <c r="I4425" s="26" t="n">
        <v>2126</v>
      </c>
      <c r="J4425" s="19" t="n">
        <v>1195.875</v>
      </c>
      <c r="K4425" s="37" t="n">
        <v>-0.25</v>
      </c>
    </row>
    <row r="4426">
      <c r="A4426" s="34" t="inlineStr">
        <is>
          <t>Midlertidige stillinger</t>
        </is>
      </c>
      <c r="B4426" s="34" t="inlineStr">
        <is>
          <t>Region Øst</t>
        </is>
      </c>
      <c r="C4426" s="34" t="inlineStr">
        <is>
          <t>Akershus ungdoms- og familiesenter - akutt, avd Bjørlien</t>
        </is>
      </c>
      <c r="D4426" s="18" t="n"/>
      <c r="E4426" s="18" t="n"/>
      <c r="F4426" s="18" t="n"/>
      <c r="G4426" s="18" t="n"/>
      <c r="H4426" s="18" t="n"/>
      <c r="I4426" s="18" t="n">
        <v>122978</v>
      </c>
      <c r="J4426" s="19" t="n">
        <v>139484.72205</v>
      </c>
      <c r="K4426" s="35" t="n">
        <v>0.065</v>
      </c>
    </row>
    <row r="4427">
      <c r="A4427" s="36" t="inlineStr">
        <is>
          <t>Midlertidige stillinger</t>
        </is>
      </c>
      <c r="B4427" s="36" t="inlineStr">
        <is>
          <t>Region Øst</t>
        </is>
      </c>
      <c r="C4427" s="36" t="inlineStr">
        <is>
          <t>Akershus ungdoms- og familiesenter - akutt, avd Sole</t>
        </is>
      </c>
      <c r="D4427" s="26" t="n"/>
      <c r="E4427" s="26" t="n"/>
      <c r="F4427" s="26" t="n"/>
      <c r="G4427" s="26" t="n"/>
      <c r="H4427" s="26" t="n"/>
      <c r="I4427" s="26" t="n">
        <v>151150</v>
      </c>
      <c r="J4427" s="19" t="n">
        <v>171438.10875</v>
      </c>
      <c r="K4427" s="37" t="n">
        <v>0.065</v>
      </c>
    </row>
    <row r="4428">
      <c r="A4428" s="34" t="inlineStr">
        <is>
          <t>Midlertidige stillinger</t>
        </is>
      </c>
      <c r="B4428" s="34" t="inlineStr">
        <is>
          <t>Region Øst</t>
        </is>
      </c>
      <c r="C4428" s="34" t="inlineStr">
        <is>
          <t>Akershus ungdoms- og familiesenter - akutt, avd Tjernlia</t>
        </is>
      </c>
      <c r="D4428" s="18" t="n"/>
      <c r="E4428" s="18" t="n"/>
      <c r="F4428" s="18" t="n"/>
      <c r="G4428" s="18" t="n"/>
      <c r="H4428" s="18" t="n"/>
      <c r="I4428" s="18" t="n">
        <v>860925</v>
      </c>
      <c r="J4428" s="19" t="n">
        <v>976482.6581249998</v>
      </c>
      <c r="K4428" s="35" t="n">
        <v>0.065</v>
      </c>
    </row>
    <row r="4429">
      <c r="A4429" s="36" t="inlineStr">
        <is>
          <t>Midlertidige stillinger</t>
        </is>
      </c>
      <c r="B4429" s="36" t="inlineStr">
        <is>
          <t>Region Øst</t>
        </is>
      </c>
      <c r="C4429" s="36" t="inlineStr">
        <is>
          <t>Bufetats behandlingssenter Akershus/Østfold, Avdeling Kroerveien Institusjon</t>
        </is>
      </c>
      <c r="D4429" s="26" t="n"/>
      <c r="E4429" s="26" t="n"/>
      <c r="F4429" s="26" t="n"/>
      <c r="G4429" s="26" t="n">
        <v>671720</v>
      </c>
      <c r="H4429" s="26" t="n">
        <v>924572</v>
      </c>
      <c r="I4429" s="26" t="n">
        <v>6082</v>
      </c>
      <c r="J4429" s="19" t="n">
        <v>6898.356449999999</v>
      </c>
      <c r="K4429" s="37" t="n">
        <v>0.065</v>
      </c>
    </row>
    <row r="4430">
      <c r="A4430" s="34" t="inlineStr">
        <is>
          <t>Midlertidige stillinger</t>
        </is>
      </c>
      <c r="B4430" s="34" t="inlineStr">
        <is>
          <t>Region Øst</t>
        </is>
      </c>
      <c r="C4430" s="34" t="inlineStr">
        <is>
          <t>Bufetats behandlingssenter Akershus/Østfold, Avdeling Ressursteam</t>
        </is>
      </c>
      <c r="D4430" s="18" t="n"/>
      <c r="E4430" s="18" t="n"/>
      <c r="F4430" s="18" t="n"/>
      <c r="G4430" s="18" t="n">
        <v>697038</v>
      </c>
      <c r="H4430" s="18" t="n">
        <v>769689</v>
      </c>
      <c r="I4430" s="18" t="n">
        <v>5864</v>
      </c>
      <c r="J4430" s="19" t="n">
        <v>6651.095399999999</v>
      </c>
      <c r="K4430" s="35" t="n">
        <v>0.065</v>
      </c>
    </row>
    <row r="4431">
      <c r="A4431" s="36" t="inlineStr">
        <is>
          <t>Midlertidige stillinger</t>
        </is>
      </c>
      <c r="B4431" s="36" t="inlineStr">
        <is>
          <t>Region Øst</t>
        </is>
      </c>
      <c r="C4431" s="36" t="inlineStr">
        <is>
          <t>Bufetats behandlingssenter Akershus/Østfold, Avdeling Ås</t>
        </is>
      </c>
      <c r="D4431" s="26" t="n"/>
      <c r="E4431" s="26" t="n"/>
      <c r="F4431" s="26" t="n"/>
      <c r="G4431" s="26" t="n">
        <v>712895</v>
      </c>
      <c r="H4431" s="26" t="n">
        <v>1625873</v>
      </c>
      <c r="I4431" s="26" t="n">
        <v>4377</v>
      </c>
      <c r="J4431" s="19" t="n">
        <v>4964.502825</v>
      </c>
      <c r="K4431" s="37" t="n">
        <v>0.065</v>
      </c>
    </row>
    <row r="4432">
      <c r="A4432" s="34" t="inlineStr">
        <is>
          <t>Midlertidige stillinger</t>
        </is>
      </c>
      <c r="B4432" s="34" t="inlineStr">
        <is>
          <t>Region Øst</t>
        </is>
      </c>
      <c r="C4432" s="34" t="inlineStr">
        <is>
          <t>Bufetats behandlingssenter Akershus/Østfold, Avdeling Østheim</t>
        </is>
      </c>
      <c r="D4432" s="18" t="n"/>
      <c r="E4432" s="18" t="n"/>
      <c r="F4432" s="18" t="n"/>
      <c r="G4432" s="18" t="n"/>
      <c r="H4432" s="18" t="n">
        <v>159161</v>
      </c>
      <c r="I4432" s="18" t="n">
        <v>34279</v>
      </c>
      <c r="J4432" s="19" t="n">
        <v>38880.09877499999</v>
      </c>
      <c r="K4432" s="35" t="n">
        <v>0.065</v>
      </c>
    </row>
    <row r="4433">
      <c r="A4433" s="36" t="inlineStr">
        <is>
          <t>Midlertidige stillinger</t>
        </is>
      </c>
      <c r="B4433" s="36" t="inlineStr">
        <is>
          <t>Region Øst</t>
        </is>
      </c>
      <c r="C4433" s="36" t="inlineStr">
        <is>
          <t>Bufetats behandlingssenter Akershus/Østfold, Avdeling Østlund</t>
        </is>
      </c>
      <c r="D4433" s="26" t="n"/>
      <c r="E4433" s="26" t="n"/>
      <c r="F4433" s="26" t="n"/>
      <c r="G4433" s="26" t="n">
        <v>159425</v>
      </c>
      <c r="H4433" s="26" t="n">
        <v>349641</v>
      </c>
      <c r="I4433" s="26" t="n">
        <v>6352</v>
      </c>
      <c r="J4433" s="19" t="n">
        <v>7204.597199999999</v>
      </c>
      <c r="K4433" s="37" t="n">
        <v>0.065</v>
      </c>
    </row>
    <row r="4434">
      <c r="A4434" s="34" t="inlineStr">
        <is>
          <t>Midlertidige stillinger</t>
        </is>
      </c>
      <c r="B4434" s="34" t="inlineStr">
        <is>
          <t>Region Øst</t>
        </is>
      </c>
      <c r="C4434" s="34" t="inlineStr">
        <is>
          <t>Bufetats behandlingssenter Akershus_Østfold, avd Kroerveien</t>
        </is>
      </c>
      <c r="D4434" s="18" t="n"/>
      <c r="E4434" s="18" t="n"/>
      <c r="F4434" s="18" t="n"/>
      <c r="G4434" s="18" t="n"/>
      <c r="H4434" s="18" t="n"/>
      <c r="I4434" s="18" t="n">
        <v>791371</v>
      </c>
      <c r="J4434" s="19" t="n">
        <v>897592.7724749999</v>
      </c>
      <c r="K4434" s="35" t="n">
        <v>0.065</v>
      </c>
    </row>
    <row r="4435">
      <c r="A4435" s="36" t="inlineStr">
        <is>
          <t>Midlertidige stillinger</t>
        </is>
      </c>
      <c r="B4435" s="36" t="inlineStr">
        <is>
          <t>Region Øst</t>
        </is>
      </c>
      <c r="C4435" s="36" t="inlineStr">
        <is>
          <t>Bufetats behandlingssenter Akershus_Østfold, avd Ressursteam</t>
        </is>
      </c>
      <c r="D4435" s="26" t="n"/>
      <c r="E4435" s="26" t="n"/>
      <c r="F4435" s="26" t="n"/>
      <c r="G4435" s="26" t="n"/>
      <c r="H4435" s="26" t="n"/>
      <c r="I4435" s="26" t="n">
        <v>266317</v>
      </c>
      <c r="J4435" s="19" t="n">
        <v>302063.3993249999</v>
      </c>
      <c r="K4435" s="37" t="n">
        <v>0.065</v>
      </c>
    </row>
    <row r="4436">
      <c r="A4436" s="34" t="inlineStr">
        <is>
          <t>Midlertidige stillinger</t>
        </is>
      </c>
      <c r="B4436" s="34" t="inlineStr">
        <is>
          <t>Region Øst</t>
        </is>
      </c>
      <c r="C4436" s="34" t="inlineStr">
        <is>
          <t>Bufetats behandlingssenter Akershus_Østfold, avd Ås</t>
        </is>
      </c>
      <c r="D4436" s="18" t="n"/>
      <c r="E4436" s="18" t="n"/>
      <c r="F4436" s="18" t="n"/>
      <c r="G4436" s="18" t="n"/>
      <c r="H4436" s="18" t="n"/>
      <c r="I4436" s="18" t="n">
        <v>1257859</v>
      </c>
      <c r="J4436" s="19" t="n">
        <v>1426695.124275</v>
      </c>
      <c r="K4436" s="35" t="n">
        <v>0.065</v>
      </c>
    </row>
    <row r="4437">
      <c r="A4437" s="36" t="inlineStr">
        <is>
          <t>Midlertidige stillinger</t>
        </is>
      </c>
      <c r="B4437" s="36" t="inlineStr">
        <is>
          <t>Region Øst</t>
        </is>
      </c>
      <c r="C4437" s="36" t="inlineStr">
        <is>
          <t>Bufetats behandlingssenter Akershus_Østfold, avd Østheim</t>
        </is>
      </c>
      <c r="D4437" s="26" t="n"/>
      <c r="E4437" s="26" t="n"/>
      <c r="F4437" s="26" t="n"/>
      <c r="G4437" s="26" t="n"/>
      <c r="H4437" s="26" t="n"/>
      <c r="I4437" s="26" t="n">
        <v>331224</v>
      </c>
      <c r="J4437" s="19" t="n">
        <v>375682.5413999999</v>
      </c>
      <c r="K4437" s="37" t="n">
        <v>0.065</v>
      </c>
    </row>
    <row r="4438">
      <c r="A4438" s="34" t="inlineStr">
        <is>
          <t>Midlertidige stillinger</t>
        </is>
      </c>
      <c r="B4438" s="34" t="inlineStr">
        <is>
          <t>Region Øst</t>
        </is>
      </c>
      <c r="C4438" s="34" t="inlineStr">
        <is>
          <t>Bufetats behandlingssenter Akershus_Østfold, avd Østlund</t>
        </is>
      </c>
      <c r="D4438" s="18" t="n"/>
      <c r="E4438" s="18" t="n"/>
      <c r="F4438" s="18" t="n"/>
      <c r="G4438" s="18" t="n"/>
      <c r="H4438" s="18" t="n"/>
      <c r="I4438" s="18" t="n">
        <v>48858</v>
      </c>
      <c r="J4438" s="19" t="n">
        <v>55415.96504999999</v>
      </c>
      <c r="K4438" s="35" t="n">
        <v>0.065</v>
      </c>
    </row>
    <row r="4439">
      <c r="A4439" s="36" t="inlineStr">
        <is>
          <t>Midlertidige stillinger</t>
        </is>
      </c>
      <c r="B4439" s="36" t="inlineStr">
        <is>
          <t>Region Øst</t>
        </is>
      </c>
      <c r="C4439" s="36" t="inlineStr">
        <is>
          <t>Enhet for psykologressurser EMA</t>
        </is>
      </c>
      <c r="D4439" s="26" t="n"/>
      <c r="E4439" s="26" t="n"/>
      <c r="F4439" s="26" t="n">
        <v>209055</v>
      </c>
      <c r="G4439" s="26" t="n">
        <v>665459</v>
      </c>
      <c r="H4439" s="26" t="n">
        <v>494042</v>
      </c>
      <c r="I4439" s="26" t="n">
        <v>7144</v>
      </c>
      <c r="J4439" s="19" t="n">
        <v>8102.903399999998</v>
      </c>
      <c r="K4439" s="37" t="n">
        <v>0.065</v>
      </c>
    </row>
    <row r="4440">
      <c r="A4440" s="34" t="inlineStr">
        <is>
          <t>Midlertidige stillinger</t>
        </is>
      </c>
      <c r="B4440" s="34" t="inlineStr">
        <is>
          <t>Region Øst</t>
        </is>
      </c>
      <c r="C4440" s="34" t="inlineStr">
        <is>
          <t>Enhet for tjenestestøtte</t>
        </is>
      </c>
      <c r="D4440" s="18" t="n"/>
      <c r="E4440" s="18" t="n"/>
      <c r="F4440" s="18" t="n"/>
      <c r="G4440" s="18" t="n"/>
      <c r="H4440" s="18" t="n"/>
      <c r="I4440" s="18" t="n">
        <v>846022</v>
      </c>
      <c r="J4440" s="19" t="n">
        <v>959579.3029499998</v>
      </c>
      <c r="K4440" s="35" t="n">
        <v>0.065</v>
      </c>
    </row>
    <row r="4441">
      <c r="A4441" s="36" t="inlineStr">
        <is>
          <t>Midlertidige stillinger</t>
        </is>
      </c>
      <c r="B4441" s="36" t="inlineStr">
        <is>
          <t>Region Øst</t>
        </is>
      </c>
      <c r="C4441" s="36" t="inlineStr">
        <is>
          <t>Follo ungdoms- og familiesenter - akutt  Avdeling Follo</t>
        </is>
      </c>
      <c r="D4441" s="26" t="n">
        <v>193402</v>
      </c>
      <c r="E4441" s="26" t="n"/>
      <c r="F4441" s="26" t="n"/>
      <c r="G4441" s="26" t="n"/>
      <c r="H4441" s="26" t="n"/>
      <c r="I4441" s="26" t="n"/>
      <c r="J4441" s="19" t="n">
        <v>0</v>
      </c>
      <c r="K4441" s="37" t="n">
        <v>0.065</v>
      </c>
    </row>
    <row r="4442">
      <c r="A4442" s="34" t="inlineStr">
        <is>
          <t>Midlertidige stillinger</t>
        </is>
      </c>
      <c r="B4442" s="34" t="inlineStr">
        <is>
          <t>Region Øst</t>
        </is>
      </c>
      <c r="C4442" s="34" t="inlineStr">
        <is>
          <t>Follo ungdoms- og familiesenter - akutt  Avdeling Jibbe</t>
        </is>
      </c>
      <c r="D4442" s="18" t="n">
        <v>273208</v>
      </c>
      <c r="E4442" s="18" t="n"/>
      <c r="F4442" s="18" t="n"/>
      <c r="G4442" s="18" t="n"/>
      <c r="H4442" s="18" t="n"/>
      <c r="I4442" s="18" t="n"/>
      <c r="J4442" s="19" t="n">
        <v>0</v>
      </c>
      <c r="K4442" s="35" t="n">
        <v>0.065</v>
      </c>
    </row>
    <row r="4443">
      <c r="A4443" s="36" t="inlineStr">
        <is>
          <t>Midlertidige stillinger</t>
        </is>
      </c>
      <c r="B4443" s="36" t="inlineStr">
        <is>
          <t>Region Øst</t>
        </is>
      </c>
      <c r="C4443" s="36" t="inlineStr">
        <is>
          <t>Gullhella barne- og familiesenter Foreldre- og barn avdeling</t>
        </is>
      </c>
      <c r="D4443" s="26" t="n"/>
      <c r="E4443" s="26" t="n"/>
      <c r="F4443" s="26" t="n">
        <v>20948</v>
      </c>
      <c r="G4443" s="26" t="n"/>
      <c r="H4443" s="26" t="n"/>
      <c r="I4443" s="26" t="n"/>
      <c r="J4443" s="19" t="n">
        <v>0</v>
      </c>
      <c r="K4443" s="37" t="n">
        <v>0.065</v>
      </c>
    </row>
    <row r="4444">
      <c r="A4444" s="34" t="inlineStr">
        <is>
          <t>Midlertidige stillinger</t>
        </is>
      </c>
      <c r="B4444" s="34" t="inlineStr">
        <is>
          <t>Region Øst</t>
        </is>
      </c>
      <c r="C4444" s="34" t="inlineStr">
        <is>
          <t>Hedmark ungdoms- og  familiesenter - akutt  Avdeling  Stange 1</t>
        </is>
      </c>
      <c r="D4444" s="18" t="n">
        <v>564726</v>
      </c>
      <c r="E4444" s="18" t="n">
        <v>-58874</v>
      </c>
      <c r="F4444" s="18" t="n">
        <v>172987</v>
      </c>
      <c r="G4444" s="18" t="n">
        <v>178174</v>
      </c>
      <c r="H4444" s="18" t="n">
        <v>297745</v>
      </c>
      <c r="I4444" s="18" t="n">
        <v>1655</v>
      </c>
      <c r="J4444" s="19" t="n">
        <v>930.9375</v>
      </c>
      <c r="K4444" s="35" t="n">
        <v>-0.25</v>
      </c>
    </row>
    <row r="4445">
      <c r="A4445" s="36" t="inlineStr">
        <is>
          <t>Midlertidige stillinger</t>
        </is>
      </c>
      <c r="B4445" s="36" t="inlineStr">
        <is>
          <t>Region Øst</t>
        </is>
      </c>
      <c r="C4445" s="36" t="inlineStr">
        <is>
          <t>Hedmark ungdoms- og  familiesenter - akutt  Avdeling  Vien 1</t>
        </is>
      </c>
      <c r="D4445" s="26" t="n">
        <v>746386</v>
      </c>
      <c r="E4445" s="26" t="n">
        <v>674152</v>
      </c>
      <c r="F4445" s="26" t="n">
        <v>326828</v>
      </c>
      <c r="G4445" s="26" t="n">
        <v>306552</v>
      </c>
      <c r="H4445" s="26" t="n">
        <v>215977</v>
      </c>
      <c r="I4445" s="26" t="n">
        <v>-21321</v>
      </c>
      <c r="J4445" s="19" t="n">
        <v>-24182.811225</v>
      </c>
      <c r="K4445" s="37" t="n">
        <v>0.065</v>
      </c>
    </row>
    <row r="4446">
      <c r="A4446" s="34" t="inlineStr">
        <is>
          <t>Midlertidige stillinger</t>
        </is>
      </c>
      <c r="B4446" s="34" t="inlineStr">
        <is>
          <t>Region Øst</t>
        </is>
      </c>
      <c r="C4446" s="34" t="inlineStr">
        <is>
          <t>Hedmark ungdoms- og  familiesenter - akutt  Avdeling  Vien 2</t>
        </is>
      </c>
      <c r="D4446" s="18" t="n">
        <v>768990</v>
      </c>
      <c r="E4446" s="18" t="n">
        <v>758842</v>
      </c>
      <c r="F4446" s="18" t="n">
        <v>451202</v>
      </c>
      <c r="G4446" s="18" t="n">
        <v>82218</v>
      </c>
      <c r="H4446" s="18" t="n">
        <v>714377</v>
      </c>
      <c r="I4446" s="18" t="n">
        <v>10651</v>
      </c>
      <c r="J4446" s="19" t="n">
        <v>5991.1875</v>
      </c>
      <c r="K4446" s="35" t="n">
        <v>-0.25</v>
      </c>
    </row>
    <row r="4447">
      <c r="A4447" s="36" t="inlineStr">
        <is>
          <t>Midlertidige stillinger</t>
        </is>
      </c>
      <c r="B4447" s="36" t="inlineStr">
        <is>
          <t>Region Øst</t>
        </is>
      </c>
      <c r="C4447" s="36" t="inlineStr">
        <is>
          <t>Hedmark ungdoms- og familiesenter - akutt Avdeling Disen</t>
        </is>
      </c>
      <c r="D4447" s="26" t="n"/>
      <c r="E4447" s="26" t="n"/>
      <c r="F4447" s="26" t="n">
        <v>678235</v>
      </c>
      <c r="G4447" s="26" t="n">
        <v>846179</v>
      </c>
      <c r="H4447" s="26" t="n"/>
      <c r="I4447" s="26" t="n"/>
      <c r="J4447" s="19" t="n">
        <v>0</v>
      </c>
      <c r="K4447" s="37" t="n">
        <v>0.065</v>
      </c>
    </row>
    <row r="4448">
      <c r="A4448" s="34" t="inlineStr">
        <is>
          <t>Midlertidige stillinger</t>
        </is>
      </c>
      <c r="B4448" s="34" t="inlineStr">
        <is>
          <t>Region Øst</t>
        </is>
      </c>
      <c r="C4448" s="34" t="inlineStr">
        <is>
          <t>Hedmark ungdoms- og familiesenter - akutt Avdeling Irstad</t>
        </is>
      </c>
      <c r="D4448" s="18" t="n">
        <v>424992</v>
      </c>
      <c r="E4448" s="18" t="n">
        <v>666827</v>
      </c>
      <c r="F4448" s="18" t="n">
        <v>9689</v>
      </c>
      <c r="G4448" s="18" t="n"/>
      <c r="H4448" s="18" t="n"/>
      <c r="I4448" s="18" t="n"/>
      <c r="J4448" s="19" t="n">
        <v>0</v>
      </c>
      <c r="K4448" s="35" t="n">
        <v>0.065</v>
      </c>
    </row>
    <row r="4449">
      <c r="A4449" s="36" t="inlineStr">
        <is>
          <t>Midlertidige stillinger</t>
        </is>
      </c>
      <c r="B4449" s="36" t="inlineStr">
        <is>
          <t>Region Øst</t>
        </is>
      </c>
      <c r="C4449" s="36" t="inlineStr">
        <is>
          <t>Hedmark ungdoms- og familiesenter - akutt, avd Disen</t>
        </is>
      </c>
      <c r="D4449" s="26" t="n"/>
      <c r="E4449" s="26" t="n"/>
      <c r="F4449" s="26" t="n"/>
      <c r="G4449" s="26" t="n"/>
      <c r="H4449" s="26" t="n"/>
      <c r="I4449" s="26" t="n">
        <v>500287</v>
      </c>
      <c r="J4449" s="19" t="n">
        <v>567438.022575</v>
      </c>
      <c r="K4449" s="37" t="n">
        <v>0.065</v>
      </c>
    </row>
    <row r="4450">
      <c r="A4450" s="34" t="inlineStr">
        <is>
          <t>Midlertidige stillinger</t>
        </is>
      </c>
      <c r="B4450" s="34" t="inlineStr">
        <is>
          <t>Region Øst</t>
        </is>
      </c>
      <c r="C4450" s="34" t="inlineStr">
        <is>
          <t>Hedmark ungdoms- og familiesenter - akutt, avd Stange 1</t>
        </is>
      </c>
      <c r="D4450" s="18" t="n"/>
      <c r="E4450" s="18" t="n"/>
      <c r="F4450" s="18" t="n"/>
      <c r="G4450" s="18" t="n"/>
      <c r="H4450" s="18" t="n"/>
      <c r="I4450" s="18" t="n">
        <v>350680</v>
      </c>
      <c r="J4450" s="19" t="n">
        <v>397750.0229999999</v>
      </c>
      <c r="K4450" s="35" t="n">
        <v>0.065</v>
      </c>
    </row>
    <row r="4451">
      <c r="A4451" s="36" t="inlineStr">
        <is>
          <t>Midlertidige stillinger</t>
        </is>
      </c>
      <c r="B4451" s="36" t="inlineStr">
        <is>
          <t>Region Øst</t>
        </is>
      </c>
      <c r="C4451" s="36" t="inlineStr">
        <is>
          <t>Hedmark ungdoms- og familiesenter - akutt, avd Vien 1</t>
        </is>
      </c>
      <c r="D4451" s="26" t="n"/>
      <c r="E4451" s="26" t="n"/>
      <c r="F4451" s="26" t="n"/>
      <c r="G4451" s="26" t="n"/>
      <c r="H4451" s="26" t="n"/>
      <c r="I4451" s="26" t="n">
        <v>686231</v>
      </c>
      <c r="J4451" s="19" t="n">
        <v>778340.3559749998</v>
      </c>
      <c r="K4451" s="37" t="n">
        <v>0.065</v>
      </c>
    </row>
    <row r="4452">
      <c r="A4452" s="34" t="inlineStr">
        <is>
          <t>Midlertidige stillinger</t>
        </is>
      </c>
      <c r="B4452" s="34" t="inlineStr">
        <is>
          <t>Region Øst</t>
        </is>
      </c>
      <c r="C4452" s="34" t="inlineStr">
        <is>
          <t>Hedmark ungdoms- og familiesenter - akutt, avd Vien 2</t>
        </is>
      </c>
      <c r="D4452" s="18" t="n"/>
      <c r="E4452" s="18" t="n"/>
      <c r="F4452" s="18" t="n"/>
      <c r="G4452" s="18" t="n"/>
      <c r="H4452" s="18" t="n"/>
      <c r="I4452" s="18" t="n">
        <v>607754</v>
      </c>
      <c r="J4452" s="19" t="n">
        <v>689329.7806499999</v>
      </c>
      <c r="K4452" s="35" t="n">
        <v>0.065</v>
      </c>
    </row>
    <row r="4453">
      <c r="A4453" s="36" t="inlineStr">
        <is>
          <t>Midlertidige stillinger</t>
        </is>
      </c>
      <c r="B4453" s="36" t="inlineStr">
        <is>
          <t>Region Øst</t>
        </is>
      </c>
      <c r="C4453" s="36" t="inlineStr">
        <is>
          <t>Innlandet Barnevernsenter avdeling Sandvig</t>
        </is>
      </c>
      <c r="D4453" s="26" t="n">
        <v>787</v>
      </c>
      <c r="E4453" s="26" t="n">
        <v>505534</v>
      </c>
      <c r="F4453" s="26" t="n">
        <v>643190</v>
      </c>
      <c r="G4453" s="26" t="n">
        <v>162872</v>
      </c>
      <c r="H4453" s="26" t="n">
        <v>1437968</v>
      </c>
      <c r="I4453" s="26" t="n">
        <v>977630</v>
      </c>
      <c r="J4453" s="19" t="n">
        <v>1527546.875</v>
      </c>
      <c r="K4453" s="37" t="n">
        <v>0.25</v>
      </c>
    </row>
    <row r="4454">
      <c r="A4454" s="34" t="inlineStr">
        <is>
          <t>Midlertidige stillinger</t>
        </is>
      </c>
      <c r="B4454" s="34" t="inlineStr">
        <is>
          <t>Region Øst</t>
        </is>
      </c>
      <c r="C4454" s="34" t="inlineStr">
        <is>
          <t>Innlandet barnevernsenter avdeling Aukrust</t>
        </is>
      </c>
      <c r="D4454" s="18" t="n">
        <v>512443</v>
      </c>
      <c r="E4454" s="18" t="n">
        <v>170339</v>
      </c>
      <c r="F4454" s="18" t="n">
        <v>597339</v>
      </c>
      <c r="G4454" s="18" t="n">
        <v>212940</v>
      </c>
      <c r="H4454" s="18" t="n">
        <v>773472</v>
      </c>
      <c r="I4454" s="18" t="n">
        <v>1009560</v>
      </c>
      <c r="J4454" s="19" t="n">
        <v>1324118.224268899</v>
      </c>
      <c r="K4454" s="35" t="n">
        <v>0.1452421246266113</v>
      </c>
    </row>
    <row r="4455">
      <c r="A4455" s="36" t="inlineStr">
        <is>
          <t>Midlertidige stillinger</t>
        </is>
      </c>
      <c r="B4455" s="36" t="inlineStr">
        <is>
          <t>Region Øst</t>
        </is>
      </c>
      <c r="C4455" s="36" t="inlineStr">
        <is>
          <t>Innlandet barnevernsenter avdeling Kauffeldt</t>
        </is>
      </c>
      <c r="D4455" s="26" t="n"/>
      <c r="E4455" s="26" t="n"/>
      <c r="F4455" s="26" t="n"/>
      <c r="G4455" s="26" t="n">
        <v>547093</v>
      </c>
      <c r="H4455" s="26" t="n">
        <v>1289570</v>
      </c>
      <c r="I4455" s="26" t="n">
        <v>1283905</v>
      </c>
      <c r="J4455" s="19" t="n">
        <v>1456237.148625</v>
      </c>
      <c r="K4455" s="37" t="n">
        <v>0.065</v>
      </c>
    </row>
    <row r="4456">
      <c r="A4456" s="34" t="inlineStr">
        <is>
          <t>Midlertidige stillinger</t>
        </is>
      </c>
      <c r="B4456" s="34" t="inlineStr">
        <is>
          <t>Region Øst</t>
        </is>
      </c>
      <c r="C4456" s="34" t="inlineStr">
        <is>
          <t>Innlandet barnevernsenter avdeling Prøysen</t>
        </is>
      </c>
      <c r="D4456" s="18" t="n">
        <v>425524</v>
      </c>
      <c r="E4456" s="18" t="n">
        <v>1114707</v>
      </c>
      <c r="F4456" s="18" t="n">
        <v>537736</v>
      </c>
      <c r="G4456" s="18" t="n">
        <v>483736</v>
      </c>
      <c r="H4456" s="18" t="n">
        <v>1098487</v>
      </c>
      <c r="I4456" s="18" t="n">
        <v>1254075</v>
      </c>
      <c r="J4456" s="19" t="n">
        <v>1932338.871970375</v>
      </c>
      <c r="K4456" s="35" t="n">
        <v>0.2413089596525504</v>
      </c>
    </row>
    <row r="4457">
      <c r="A4457" s="36" t="inlineStr">
        <is>
          <t>Midlertidige stillinger</t>
        </is>
      </c>
      <c r="B4457" s="36" t="inlineStr">
        <is>
          <t>Region Øst</t>
        </is>
      </c>
      <c r="C4457" s="36" t="inlineStr">
        <is>
          <t>Innlandet barnevernsenter avdeling Vestly</t>
        </is>
      </c>
      <c r="D4457" s="26" t="n">
        <v>885146</v>
      </c>
      <c r="E4457" s="26" t="n">
        <v>399824</v>
      </c>
      <c r="F4457" s="26" t="n">
        <v>241486</v>
      </c>
      <c r="G4457" s="26" t="n">
        <v>315395</v>
      </c>
      <c r="H4457" s="26" t="n">
        <v>609662</v>
      </c>
      <c r="I4457" s="26" t="n">
        <v>931555</v>
      </c>
      <c r="J4457" s="19" t="n">
        <v>950792.9158469152</v>
      </c>
      <c r="K4457" s="37" t="n">
        <v>0.01027293390821127</v>
      </c>
    </row>
    <row r="4458">
      <c r="A4458" s="34" t="inlineStr">
        <is>
          <t>Midlertidige stillinger</t>
        </is>
      </c>
      <c r="B4458" s="34" t="inlineStr">
        <is>
          <t>Region Øst</t>
        </is>
      </c>
      <c r="C4458" s="34" t="inlineStr">
        <is>
          <t>Jong ungdoms- og familiesenter, avd Åsen</t>
        </is>
      </c>
      <c r="D4458" s="18" t="n"/>
      <c r="E4458" s="18" t="n"/>
      <c r="F4458" s="18" t="n"/>
      <c r="G4458" s="18" t="n"/>
      <c r="H4458" s="18" t="n"/>
      <c r="I4458" s="18" t="n">
        <v>188978</v>
      </c>
      <c r="J4458" s="19" t="n">
        <v>214343.57205</v>
      </c>
      <c r="K4458" s="35" t="n">
        <v>0.065</v>
      </c>
    </row>
    <row r="4459">
      <c r="A4459" s="36" t="inlineStr">
        <is>
          <t>Midlertidige stillinger</t>
        </is>
      </c>
      <c r="B4459" s="36" t="inlineStr">
        <is>
          <t>Region Øst</t>
        </is>
      </c>
      <c r="C4459" s="36" t="inlineStr">
        <is>
          <t>Jong ungdoms- og familiesenter, avd. Kollen</t>
        </is>
      </c>
      <c r="D4459" s="26" t="n"/>
      <c r="E4459" s="26" t="n"/>
      <c r="F4459" s="26" t="n"/>
      <c r="G4459" s="26" t="n"/>
      <c r="H4459" s="26" t="n"/>
      <c r="I4459" s="26" t="n">
        <v>446324</v>
      </c>
      <c r="J4459" s="19" t="n">
        <v>506231.8388999999</v>
      </c>
      <c r="K4459" s="37" t="n">
        <v>0.065</v>
      </c>
    </row>
    <row r="4460">
      <c r="A4460" s="34" t="inlineStr">
        <is>
          <t>Midlertidige stillinger</t>
        </is>
      </c>
      <c r="B4460" s="34" t="inlineStr">
        <is>
          <t>Region Øst</t>
        </is>
      </c>
      <c r="C4460" s="34" t="inlineStr">
        <is>
          <t>Jong ungdoms- og familiesenter, avdeling Kollen</t>
        </is>
      </c>
      <c r="D4460" s="18" t="n"/>
      <c r="E4460" s="18" t="n"/>
      <c r="F4460" s="18" t="n"/>
      <c r="G4460" s="18" t="n"/>
      <c r="H4460" s="18" t="n">
        <v>60137</v>
      </c>
      <c r="I4460" s="18" t="n"/>
      <c r="J4460" s="19" t="n">
        <v>0</v>
      </c>
      <c r="K4460" s="35" t="n">
        <v>0.065</v>
      </c>
    </row>
    <row r="4461">
      <c r="A4461" s="36" t="inlineStr">
        <is>
          <t>Midlertidige stillinger</t>
        </is>
      </c>
      <c r="B4461" s="36" t="inlineStr">
        <is>
          <t>Region Øst</t>
        </is>
      </c>
      <c r="C4461" s="36" t="inlineStr">
        <is>
          <t>Jong ungdoms- og familiesenter, avdeling Åsen</t>
        </is>
      </c>
      <c r="D4461" s="26" t="n">
        <v>858819</v>
      </c>
      <c r="E4461" s="26" t="n">
        <v>153411</v>
      </c>
      <c r="F4461" s="26" t="n">
        <v>430789</v>
      </c>
      <c r="G4461" s="26" t="n">
        <v>996032</v>
      </c>
      <c r="H4461" s="26" t="n">
        <v>676308</v>
      </c>
      <c r="I4461" s="26" t="n"/>
      <c r="J4461" s="19" t="n">
        <v>0</v>
      </c>
      <c r="K4461" s="37" t="n">
        <v>0.065</v>
      </c>
    </row>
    <row r="4462">
      <c r="A4462" s="34" t="inlineStr">
        <is>
          <t>Midlertidige stillinger</t>
        </is>
      </c>
      <c r="B4462" s="34" t="inlineStr">
        <is>
          <t>Region Øst</t>
        </is>
      </c>
      <c r="C4462" s="34" t="inlineStr">
        <is>
          <t>Kirkenær barnever- og omsorgssenter Avdeling Frigg</t>
        </is>
      </c>
      <c r="D4462" s="18" t="n"/>
      <c r="E4462" s="18" t="n">
        <v>285677</v>
      </c>
      <c r="F4462" s="18" t="n">
        <v>63177</v>
      </c>
      <c r="G4462" s="18" t="n">
        <v>376653</v>
      </c>
      <c r="H4462" s="18" t="n">
        <v>107660</v>
      </c>
      <c r="I4462" s="18" t="n">
        <v>984573</v>
      </c>
      <c r="J4462" s="19" t="n">
        <v>1538395.3125</v>
      </c>
      <c r="K4462" s="35" t="n">
        <v>0.25</v>
      </c>
    </row>
    <row r="4463">
      <c r="A4463" s="36" t="inlineStr">
        <is>
          <t>Midlertidige stillinger</t>
        </is>
      </c>
      <c r="B4463" s="36" t="inlineStr">
        <is>
          <t>Region Øst</t>
        </is>
      </c>
      <c r="C4463" s="36" t="inlineStr">
        <is>
          <t>Kirkenær barnevern- og omsorgssenter  Avdeling Frydenlund</t>
        </is>
      </c>
      <c r="D4463" s="26" t="n"/>
      <c r="E4463" s="26" t="n">
        <v>5815</v>
      </c>
      <c r="F4463" s="26" t="n"/>
      <c r="G4463" s="26" t="n"/>
      <c r="H4463" s="26" t="n"/>
      <c r="I4463" s="26" t="n"/>
      <c r="J4463" s="19" t="n">
        <v>0</v>
      </c>
      <c r="K4463" s="37" t="n">
        <v>0.065</v>
      </c>
    </row>
    <row r="4464">
      <c r="A4464" s="34" t="inlineStr">
        <is>
          <t>Midlertidige stillinger</t>
        </is>
      </c>
      <c r="B4464" s="34" t="inlineStr">
        <is>
          <t>Region Øst</t>
        </is>
      </c>
      <c r="C4464" s="34" t="inlineStr">
        <is>
          <t>Kirkenær barnevern- og omsorgssenter  Avdeling Furubo</t>
        </is>
      </c>
      <c r="D4464" s="18" t="n">
        <v>1531</v>
      </c>
      <c r="E4464" s="18" t="n">
        <v>397</v>
      </c>
      <c r="F4464" s="18" t="n"/>
      <c r="G4464" s="18" t="n"/>
      <c r="H4464" s="18" t="n"/>
      <c r="I4464" s="18" t="n"/>
      <c r="J4464" s="19" t="n">
        <v>0</v>
      </c>
      <c r="K4464" s="35" t="n">
        <v>0.065</v>
      </c>
    </row>
    <row r="4465">
      <c r="A4465" s="36" t="inlineStr">
        <is>
          <t>Midlertidige stillinger</t>
        </is>
      </c>
      <c r="B4465" s="36" t="inlineStr">
        <is>
          <t>Region Øst</t>
        </is>
      </c>
      <c r="C4465" s="36" t="inlineStr">
        <is>
          <t>Kirkenær barnevern- og omsorgssenter  Avdeling Kirkenærtunet</t>
        </is>
      </c>
      <c r="D4465" s="26" t="n"/>
      <c r="E4465" s="26" t="n"/>
      <c r="F4465" s="26" t="n"/>
      <c r="G4465" s="26" t="n">
        <v>114557</v>
      </c>
      <c r="H4465" s="26" t="n">
        <v>119877</v>
      </c>
      <c r="I4465" s="26" t="n"/>
      <c r="J4465" s="19" t="n">
        <v>0</v>
      </c>
      <c r="K4465" s="37" t="n">
        <v>0.065</v>
      </c>
    </row>
    <row r="4466">
      <c r="A4466" s="34" t="inlineStr">
        <is>
          <t>Midlertidige stillinger</t>
        </is>
      </c>
      <c r="B4466" s="34" t="inlineStr">
        <is>
          <t>Region Øst</t>
        </is>
      </c>
      <c r="C4466" s="34" t="inlineStr">
        <is>
          <t>Kirkenær barnevern- og omsorgssenter  Edda ungdomshjem</t>
        </is>
      </c>
      <c r="D4466" s="18" t="n">
        <v>300413</v>
      </c>
      <c r="E4466" s="18" t="n">
        <v>195539</v>
      </c>
      <c r="F4466" s="18" t="n">
        <v>112666</v>
      </c>
      <c r="G4466" s="18" t="n"/>
      <c r="H4466" s="18" t="n">
        <v>1484883</v>
      </c>
      <c r="I4466" s="18" t="n">
        <v>1314822</v>
      </c>
      <c r="J4466" s="19" t="n">
        <v>2054409.375</v>
      </c>
      <c r="K4466" s="35" t="n">
        <v>0.25</v>
      </c>
    </row>
    <row r="4467">
      <c r="A4467" s="36" t="inlineStr">
        <is>
          <t>Midlertidige stillinger</t>
        </is>
      </c>
      <c r="B4467" s="36" t="inlineStr">
        <is>
          <t>Region Øst</t>
        </is>
      </c>
      <c r="C4467" s="36" t="inlineStr">
        <is>
          <t>Kirkenær barnevern- og omsorgssenter  Snorre ungdomshjem</t>
        </is>
      </c>
      <c r="D4467" s="26" t="n">
        <v>44447</v>
      </c>
      <c r="E4467" s="26" t="n">
        <v>118850</v>
      </c>
      <c r="F4467" s="26" t="n">
        <v>643973</v>
      </c>
      <c r="G4467" s="26" t="n">
        <v>588807</v>
      </c>
      <c r="H4467" s="26" t="n">
        <v>1137995</v>
      </c>
      <c r="I4467" s="26" t="n">
        <v>239618</v>
      </c>
      <c r="J4467" s="19" t="n">
        <v>374403.125</v>
      </c>
      <c r="K4467" s="37" t="n">
        <v>0.25</v>
      </c>
    </row>
    <row r="4468">
      <c r="A4468" s="34" t="inlineStr">
        <is>
          <t>Midlertidige stillinger</t>
        </is>
      </c>
      <c r="B4468" s="34" t="inlineStr">
        <is>
          <t>Region Øst</t>
        </is>
      </c>
      <c r="C4468" s="34" t="inlineStr">
        <is>
          <t>Kirkenær barnevern- og omsorgssenter Avdeling Balder</t>
        </is>
      </c>
      <c r="D4468" s="18" t="n">
        <v>637435</v>
      </c>
      <c r="E4468" s="18" t="n">
        <v>801184</v>
      </c>
      <c r="F4468" s="18" t="n">
        <v>650418</v>
      </c>
      <c r="G4468" s="18" t="n">
        <v>972531</v>
      </c>
      <c r="H4468" s="18" t="n">
        <v>689907</v>
      </c>
      <c r="I4468" s="18" t="n">
        <v>258601</v>
      </c>
      <c r="J4468" s="19" t="n">
        <v>180263.5491886086</v>
      </c>
      <c r="K4468" s="35" t="n">
        <v>-0.165091545564878</v>
      </c>
    </row>
    <row r="4469">
      <c r="A4469" s="36" t="inlineStr">
        <is>
          <t>Midlertidige stillinger</t>
        </is>
      </c>
      <c r="B4469" s="36" t="inlineStr">
        <is>
          <t>Region Øst</t>
        </is>
      </c>
      <c r="C4469" s="36" t="inlineStr">
        <is>
          <t>Lierfoss ungdoms- og familiesenter - avdeling Skogtun</t>
        </is>
      </c>
      <c r="D4469" s="26" t="n"/>
      <c r="E4469" s="26" t="n"/>
      <c r="F4469" s="26" t="n"/>
      <c r="G4469" s="26" t="n">
        <v>143499</v>
      </c>
      <c r="H4469" s="26" t="n">
        <v>475228</v>
      </c>
      <c r="I4469" s="26" t="n">
        <v>426729</v>
      </c>
      <c r="J4469" s="19" t="n">
        <v>484006.7000249999</v>
      </c>
      <c r="K4469" s="37" t="n">
        <v>0.065</v>
      </c>
    </row>
    <row r="4470">
      <c r="A4470" s="34" t="inlineStr">
        <is>
          <t>Midlertidige stillinger</t>
        </is>
      </c>
      <c r="B4470" s="34" t="inlineStr">
        <is>
          <t>Region Øst</t>
        </is>
      </c>
      <c r="C4470" s="34" t="inlineStr">
        <is>
          <t>Lierfoss ungdoms- og familiesenter - omsorg  Autentoppen ungdomshjem</t>
        </is>
      </c>
      <c r="D4470" s="18" t="n"/>
      <c r="E4470" s="18" t="n">
        <v>153730</v>
      </c>
      <c r="F4470" s="18" t="n"/>
      <c r="G4470" s="18" t="n"/>
      <c r="H4470" s="18" t="n"/>
      <c r="I4470" s="18" t="n"/>
      <c r="J4470" s="19" t="n">
        <v>0</v>
      </c>
      <c r="K4470" s="35" t="n">
        <v>0.065</v>
      </c>
    </row>
    <row r="4471">
      <c r="A4471" s="36" t="inlineStr">
        <is>
          <t>Midlertidige stillinger</t>
        </is>
      </c>
      <c r="B4471" s="36" t="inlineStr">
        <is>
          <t>Region Øst</t>
        </is>
      </c>
      <c r="C4471" s="36" t="inlineStr">
        <is>
          <t>Lierfoss ungdoms- og familiesenter - omsorg  Berglia ungdomshjem</t>
        </is>
      </c>
      <c r="D4471" s="26" t="n"/>
      <c r="E4471" s="26" t="n">
        <v>57569</v>
      </c>
      <c r="F4471" s="26" t="n">
        <v>336300</v>
      </c>
      <c r="G4471" s="26" t="n">
        <v>774728</v>
      </c>
      <c r="H4471" s="26" t="n">
        <v>320333</v>
      </c>
      <c r="I4471" s="26" t="n">
        <v>187893</v>
      </c>
      <c r="J4471" s="19" t="n">
        <v>293582.8125</v>
      </c>
      <c r="K4471" s="37" t="n">
        <v>0.25</v>
      </c>
    </row>
    <row r="4472">
      <c r="A4472" s="34" t="inlineStr">
        <is>
          <t>Midlertidige stillinger</t>
        </is>
      </c>
      <c r="B4472" s="34" t="inlineStr">
        <is>
          <t>Region Øst</t>
        </is>
      </c>
      <c r="C4472" s="34" t="inlineStr">
        <is>
          <t>Lierfoss ungdoms- og familiesenter - omsorg  Furulia ungdomshjem</t>
        </is>
      </c>
      <c r="D4472" s="18" t="n"/>
      <c r="E4472" s="18" t="n"/>
      <c r="F4472" s="18" t="n">
        <v>567014</v>
      </c>
      <c r="G4472" s="18" t="n">
        <v>681233</v>
      </c>
      <c r="H4472" s="18" t="n">
        <v>148718</v>
      </c>
      <c r="I4472" s="18" t="n">
        <v>279657</v>
      </c>
      <c r="J4472" s="19" t="n">
        <v>317193.960825</v>
      </c>
      <c r="K4472" s="35" t="n">
        <v>0.065</v>
      </c>
    </row>
    <row r="4473">
      <c r="A4473" s="36" t="inlineStr">
        <is>
          <t>Midlertidige stillinger</t>
        </is>
      </c>
      <c r="B4473" s="36" t="inlineStr">
        <is>
          <t>Region Øst</t>
        </is>
      </c>
      <c r="C4473" s="36" t="inlineStr">
        <is>
          <t>Lierfoss ungdoms- og familiesenter, avdeling Riserhagen</t>
        </is>
      </c>
      <c r="D4473" s="26" t="n"/>
      <c r="E4473" s="26" t="n"/>
      <c r="F4473" s="26" t="n">
        <v>43100</v>
      </c>
      <c r="G4473" s="26" t="n">
        <v>853215</v>
      </c>
      <c r="H4473" s="26" t="n">
        <v>326550</v>
      </c>
      <c r="I4473" s="26" t="n">
        <v>708016</v>
      </c>
      <c r="J4473" s="19" t="n">
        <v>803049.4475999998</v>
      </c>
      <c r="K4473" s="37" t="n">
        <v>0.065</v>
      </c>
    </row>
    <row r="4474">
      <c r="A4474" s="34" t="inlineStr">
        <is>
          <t>Midlertidige stillinger</t>
        </is>
      </c>
      <c r="B4474" s="34" t="inlineStr">
        <is>
          <t>Region Øst</t>
        </is>
      </c>
      <c r="C4474" s="34" t="inlineStr">
        <is>
          <t>Sarpsborg ungdoms og familiesenter - behandling  Avdeling Østheim</t>
        </is>
      </c>
      <c r="D4474" s="18" t="n">
        <v>244117</v>
      </c>
      <c r="E4474" s="18" t="n">
        <v>907216</v>
      </c>
      <c r="F4474" s="18" t="n">
        <v>1005337</v>
      </c>
      <c r="G4474" s="18" t="n">
        <v>699160</v>
      </c>
      <c r="H4474" s="18" t="n"/>
      <c r="I4474" s="18" t="n"/>
      <c r="J4474" s="19" t="n">
        <v>0</v>
      </c>
      <c r="K4474" s="35" t="n">
        <v>0.065</v>
      </c>
    </row>
    <row r="4475">
      <c r="A4475" s="36" t="inlineStr">
        <is>
          <t>Midlertidige stillinger</t>
        </is>
      </c>
      <c r="B4475" s="36" t="inlineStr">
        <is>
          <t>Region Øst</t>
        </is>
      </c>
      <c r="C4475" s="36" t="inlineStr">
        <is>
          <t>Sarpsborg ungdoms og familiesenter - behandling  Avdeling Østlund</t>
        </is>
      </c>
      <c r="D4475" s="26" t="n">
        <v>390239</v>
      </c>
      <c r="E4475" s="26" t="n">
        <v>557723</v>
      </c>
      <c r="F4475" s="26" t="n">
        <v>177742</v>
      </c>
      <c r="G4475" s="26" t="n">
        <v>186386</v>
      </c>
      <c r="H4475" s="26" t="n"/>
      <c r="I4475" s="26" t="n"/>
      <c r="J4475" s="19" t="n">
        <v>0</v>
      </c>
      <c r="K4475" s="37" t="n">
        <v>0.065</v>
      </c>
    </row>
    <row r="4476">
      <c r="A4476" s="34" t="inlineStr">
        <is>
          <t>Midlertidige stillinger</t>
        </is>
      </c>
      <c r="B4476" s="34" t="inlineStr">
        <is>
          <t>Region Øst</t>
        </is>
      </c>
      <c r="C4476" s="34" t="inlineStr">
        <is>
          <t>Spisskompetansemiljø for trygghet og sikkerhet i institusjon for barn og ansatte</t>
        </is>
      </c>
      <c r="D4476" s="18" t="n"/>
      <c r="E4476" s="18" t="n"/>
      <c r="F4476" s="18" t="n"/>
      <c r="G4476" s="18" t="n"/>
      <c r="H4476" s="18" t="n">
        <v>188105</v>
      </c>
      <c r="I4476" s="18" t="n"/>
      <c r="J4476" s="19" t="n">
        <v>0</v>
      </c>
      <c r="K4476" s="35" t="n">
        <v>0.065</v>
      </c>
    </row>
    <row r="4477">
      <c r="A4477" s="36" t="inlineStr">
        <is>
          <t>Midlertidige stillinger</t>
        </is>
      </c>
      <c r="B4477" s="36" t="inlineStr">
        <is>
          <t>Region Øst</t>
        </is>
      </c>
      <c r="C4477" s="36" t="inlineStr">
        <is>
          <t>Støttespillerne - Ambulant team</t>
        </is>
      </c>
      <c r="D4477" s="26" t="n"/>
      <c r="E4477" s="26" t="n">
        <v>2262099</v>
      </c>
      <c r="F4477" s="26" t="n">
        <v>1778294</v>
      </c>
      <c r="G4477" s="26" t="n"/>
      <c r="H4477" s="26" t="n"/>
      <c r="I4477" s="26" t="n"/>
      <c r="J4477" s="19" t="n">
        <v>0</v>
      </c>
      <c r="K4477" s="37" t="n">
        <v>0.065</v>
      </c>
    </row>
    <row r="4478">
      <c r="A4478" s="34" t="inlineStr">
        <is>
          <t>Midlertidige stillinger</t>
        </is>
      </c>
      <c r="B4478" s="34" t="inlineStr">
        <is>
          <t>Region Øst</t>
        </is>
      </c>
      <c r="C4478" s="34" t="inlineStr">
        <is>
          <t>Støttespillerne - Huset</t>
        </is>
      </c>
      <c r="D4478" s="18" t="n"/>
      <c r="E4478" s="18" t="n">
        <v>6014696</v>
      </c>
      <c r="F4478" s="18" t="n">
        <v>8947245</v>
      </c>
      <c r="G4478" s="18" t="n">
        <v>4068940</v>
      </c>
      <c r="H4478" s="18" t="n">
        <v>-51041</v>
      </c>
      <c r="I4478" s="18" t="n"/>
      <c r="J4478" s="19" t="n">
        <v>0</v>
      </c>
      <c r="K4478" s="35" t="n">
        <v>0.065</v>
      </c>
    </row>
    <row r="4479">
      <c r="A4479" s="36" t="inlineStr">
        <is>
          <t>Midlertidige stillinger</t>
        </is>
      </c>
      <c r="B4479" s="36" t="inlineStr">
        <is>
          <t>Region Øst</t>
        </is>
      </c>
      <c r="C4479" s="36" t="inlineStr">
        <is>
          <t>TFCO Sandvika</t>
        </is>
      </c>
      <c r="D4479" s="26" t="n"/>
      <c r="E4479" s="26" t="n"/>
      <c r="F4479" s="26" t="n">
        <v>315267</v>
      </c>
      <c r="G4479" s="26" t="n"/>
      <c r="H4479" s="26" t="n"/>
      <c r="I4479" s="26" t="n"/>
      <c r="J4479" s="19" t="n">
        <v>0</v>
      </c>
      <c r="K4479" s="37" t="n">
        <v>0.065</v>
      </c>
    </row>
    <row r="4480">
      <c r="A4480" s="34" t="inlineStr">
        <is>
          <t>Midlertidige stillinger</t>
        </is>
      </c>
      <c r="B4480" s="34" t="inlineStr">
        <is>
          <t>Region Øst</t>
        </is>
      </c>
      <c r="C4480" s="34" t="inlineStr">
        <is>
          <t>Ås ungdomssenter  - MulitifunC-behandling  Avdeling Institusjon</t>
        </is>
      </c>
      <c r="D4480" s="18" t="n">
        <v>1012550</v>
      </c>
      <c r="E4480" s="18" t="n">
        <v>1768042</v>
      </c>
      <c r="F4480" s="18" t="n">
        <v>892852</v>
      </c>
      <c r="G4480" s="18" t="n">
        <v>902450</v>
      </c>
      <c r="H4480" s="18" t="n"/>
      <c r="I4480" s="18" t="n"/>
      <c r="J4480" s="19" t="n">
        <v>0</v>
      </c>
      <c r="K4480" s="35" t="n">
        <v>0.065</v>
      </c>
    </row>
    <row r="4481">
      <c r="A4481" s="36" t="inlineStr">
        <is>
          <t>Midlertidige stillinger</t>
        </is>
      </c>
      <c r="B4481" s="36" t="inlineStr">
        <is>
          <t>Region Øst</t>
        </is>
      </c>
      <c r="C4481" s="36" t="inlineStr">
        <is>
          <t>Østfold ungdoms - og familiesenter - omsorg  avdeling Eika</t>
        </is>
      </c>
      <c r="D4481" s="26" t="n">
        <v>1359</v>
      </c>
      <c r="E4481" s="26" t="n"/>
      <c r="F4481" s="26" t="n"/>
      <c r="G4481" s="26" t="n"/>
      <c r="H4481" s="26" t="n"/>
      <c r="I4481" s="26" t="n"/>
      <c r="J4481" s="19" t="n">
        <v>0</v>
      </c>
      <c r="K4481" s="37" t="n">
        <v>0.065</v>
      </c>
    </row>
    <row r="4482">
      <c r="A4482" s="34" t="inlineStr">
        <is>
          <t>Midlertidige stillinger</t>
        </is>
      </c>
      <c r="B4482" s="34" t="inlineStr">
        <is>
          <t>Region Øst</t>
        </is>
      </c>
      <c r="C4482" s="34" t="inlineStr">
        <is>
          <t>Østfold ungdoms - og familiesenter - omsorg, avdeling Kurland ungdomshjem</t>
        </is>
      </c>
      <c r="D4482" s="18" t="n">
        <v>52641</v>
      </c>
      <c r="E4482" s="18" t="n"/>
      <c r="F4482" s="18" t="n">
        <v>150430</v>
      </c>
      <c r="G4482" s="18" t="n">
        <v>738260</v>
      </c>
      <c r="H4482" s="18" t="n">
        <v>-33960</v>
      </c>
      <c r="I4482" s="18" t="n">
        <v>373396</v>
      </c>
      <c r="J4482" s="19" t="n">
        <v>583431.25</v>
      </c>
      <c r="K4482" s="35" t="n">
        <v>0.25</v>
      </c>
    </row>
    <row r="4483">
      <c r="A4483" s="36" t="inlineStr">
        <is>
          <t>Midlertidige stillinger</t>
        </is>
      </c>
      <c r="B4483" s="36" t="inlineStr">
        <is>
          <t>Region Øst</t>
        </is>
      </c>
      <c r="C4483" s="36" t="inlineStr">
        <is>
          <t>Østfold ungdoms- og familiesenter - avdeling Fossen</t>
        </is>
      </c>
      <c r="D4483" s="26" t="n"/>
      <c r="E4483" s="26" t="n"/>
      <c r="F4483" s="26" t="n"/>
      <c r="G4483" s="26" t="n"/>
      <c r="H4483" s="26" t="n">
        <v>2462</v>
      </c>
      <c r="I4483" s="26" t="n">
        <v>278094</v>
      </c>
      <c r="J4483" s="19" t="n">
        <v>315421.1671499999</v>
      </c>
      <c r="K4483" s="37" t="n">
        <v>0.065</v>
      </c>
    </row>
    <row r="4484">
      <c r="A4484" s="34" t="inlineStr">
        <is>
          <t>Midlertidige stillinger</t>
        </is>
      </c>
      <c r="B4484" s="34" t="inlineStr">
        <is>
          <t>Region Øst</t>
        </is>
      </c>
      <c r="C4484" s="34" t="inlineStr">
        <is>
          <t>Østfold ungdoms- og familiesenter - omsorg, avdeling Alfheim ungdomshjem</t>
        </is>
      </c>
      <c r="D4484" s="18" t="n">
        <v>592354</v>
      </c>
      <c r="E4484" s="18" t="n">
        <v>779509</v>
      </c>
      <c r="F4484" s="18" t="n">
        <v>1027365</v>
      </c>
      <c r="G4484" s="18" t="n">
        <v>848287</v>
      </c>
      <c r="H4484" s="18" t="n">
        <v>607814</v>
      </c>
      <c r="I4484" s="18" t="n">
        <v>110630</v>
      </c>
      <c r="J4484" s="19" t="n">
        <v>62229.375</v>
      </c>
      <c r="K4484" s="35" t="n">
        <v>-0.25</v>
      </c>
    </row>
    <row r="4485">
      <c r="A4485" s="36" t="inlineStr">
        <is>
          <t>Midlertidige stillinger</t>
        </is>
      </c>
      <c r="B4485" s="36" t="inlineStr">
        <is>
          <t>Region Øst</t>
        </is>
      </c>
      <c r="C4485" s="36" t="inlineStr">
        <is>
          <t>Østfold ungdoms- og familiesenter - omsorg, avdeling Dal</t>
        </is>
      </c>
      <c r="D4485" s="26" t="n"/>
      <c r="E4485" s="26" t="n"/>
      <c r="F4485" s="26" t="n">
        <v>254336</v>
      </c>
      <c r="G4485" s="26" t="n">
        <v>697012</v>
      </c>
      <c r="H4485" s="26" t="n">
        <v>1042820</v>
      </c>
      <c r="I4485" s="26" t="n">
        <v>434838</v>
      </c>
      <c r="J4485" s="19" t="n">
        <v>493204.1305499999</v>
      </c>
      <c r="K4485" s="37" t="n">
        <v>0.065</v>
      </c>
    </row>
    <row r="4486">
      <c r="A4486" s="34" t="inlineStr">
        <is>
          <t>Midlertidige stillinger</t>
        </is>
      </c>
      <c r="B4486" s="34" t="inlineStr">
        <is>
          <t>Region Øst</t>
        </is>
      </c>
      <c r="C4486" s="34" t="inlineStr">
        <is>
          <t>Østfold ungdoms- og familiesenter - omsorg, avdeling Rokkeveien ungdomshjem</t>
        </is>
      </c>
      <c r="D4486" s="18" t="n">
        <v>363798</v>
      </c>
      <c r="E4486" s="18" t="n">
        <v>35786</v>
      </c>
      <c r="F4486" s="18" t="n">
        <v>329719</v>
      </c>
      <c r="G4486" s="18" t="n">
        <v>614094</v>
      </c>
      <c r="H4486" s="18" t="n">
        <v>521303</v>
      </c>
      <c r="I4486" s="18" t="n">
        <v>978621</v>
      </c>
      <c r="J4486" s="19" t="n">
        <v>1453838.683989016</v>
      </c>
      <c r="K4486" s="35" t="n">
        <v>0.218851636448538</v>
      </c>
    </row>
    <row r="4487">
      <c r="A4487" s="36" t="inlineStr">
        <is>
          <t>Midlertidige stillinger</t>
        </is>
      </c>
      <c r="B4487" s="36" t="inlineStr">
        <is>
          <t>Region Øst</t>
        </is>
      </c>
      <c r="C4487" s="36" t="inlineStr">
        <is>
          <t>Østfold ungdoms- og familiesenter - omsorg, avdeling Tune ungdomshjem</t>
        </is>
      </c>
      <c r="D4487" s="26" t="n">
        <v>25625</v>
      </c>
      <c r="E4487" s="26" t="n">
        <v>64858</v>
      </c>
      <c r="F4487" s="26" t="n">
        <v>287686</v>
      </c>
      <c r="G4487" s="26" t="n">
        <v>183486</v>
      </c>
      <c r="H4487" s="26" t="n">
        <v>509545</v>
      </c>
      <c r="I4487" s="26" t="n">
        <v>1175448</v>
      </c>
      <c r="J4487" s="19" t="n">
        <v>1836637.5</v>
      </c>
      <c r="K4487" s="37" t="n">
        <v>0.25</v>
      </c>
    </row>
    <row r="4488">
      <c r="A4488" s="34" t="inlineStr">
        <is>
          <t>Overtid faste</t>
        </is>
      </c>
      <c r="B4488" s="34" t="inlineStr">
        <is>
          <t>Region Midt-Norge</t>
        </is>
      </c>
      <c r="C4488" s="34" t="inlineStr">
        <is>
          <t>Avdeling for tjenestestøtte barnevern</t>
        </is>
      </c>
      <c r="D4488" s="18" t="n"/>
      <c r="E4488" s="18" t="n"/>
      <c r="F4488" s="18" t="n"/>
      <c r="G4488" s="18" t="n">
        <v>24200</v>
      </c>
      <c r="H4488" s="18" t="n">
        <v>6730</v>
      </c>
      <c r="I4488" s="18" t="n">
        <v>9344</v>
      </c>
      <c r="J4488" s="19" t="n">
        <v>10598.1984</v>
      </c>
      <c r="K4488" s="35" t="n">
        <v>0.065</v>
      </c>
    </row>
    <row r="4489">
      <c r="A4489" s="36" t="inlineStr">
        <is>
          <t>Overtid faste</t>
        </is>
      </c>
      <c r="B4489" s="36" t="inlineStr">
        <is>
          <t>Region Midt-Norge</t>
        </is>
      </c>
      <c r="C4489" s="36" t="inlineStr">
        <is>
          <t>Buvika ungdomssenter</t>
        </is>
      </c>
      <c r="D4489" s="26" t="n">
        <v>38868</v>
      </c>
      <c r="E4489" s="26" t="n">
        <v>309620</v>
      </c>
      <c r="F4489" s="26" t="n">
        <v>374153</v>
      </c>
      <c r="G4489" s="26" t="n">
        <v>309557</v>
      </c>
      <c r="H4489" s="26" t="n">
        <v>514456</v>
      </c>
      <c r="I4489" s="26" t="n">
        <v>353860</v>
      </c>
      <c r="J4489" s="19" t="n">
        <v>552906.25</v>
      </c>
      <c r="K4489" s="37" t="n">
        <v>0.25</v>
      </c>
    </row>
    <row r="4490">
      <c r="A4490" s="34" t="inlineStr">
        <is>
          <t>Overtid faste</t>
        </is>
      </c>
      <c r="B4490" s="34" t="inlineStr">
        <is>
          <t>Region Midt-Norge</t>
        </is>
      </c>
      <c r="C4490" s="34" t="inlineStr">
        <is>
          <t>Clausenengen ungdomshjem</t>
        </is>
      </c>
      <c r="D4490" s="18" t="n">
        <v>206928</v>
      </c>
      <c r="E4490" s="18" t="n">
        <v>284128</v>
      </c>
      <c r="F4490" s="18" t="n">
        <v>699985</v>
      </c>
      <c r="G4490" s="18" t="n">
        <v>426150</v>
      </c>
      <c r="H4490" s="18" t="n">
        <v>924066</v>
      </c>
      <c r="I4490" s="18" t="n">
        <v>657295</v>
      </c>
      <c r="J4490" s="19" t="n">
        <v>1027023.4375</v>
      </c>
      <c r="K4490" s="35" t="n">
        <v>0.25</v>
      </c>
    </row>
    <row r="4491">
      <c r="A4491" s="36" t="inlineStr">
        <is>
          <t>Overtid faste</t>
        </is>
      </c>
      <c r="B4491" s="36" t="inlineStr">
        <is>
          <t>Region Midt-Norge</t>
        </is>
      </c>
      <c r="C4491" s="36" t="inlineStr">
        <is>
          <t>Gilantunet ungdomshjem</t>
        </is>
      </c>
      <c r="D4491" s="26" t="n">
        <v>761396</v>
      </c>
      <c r="E4491" s="26" t="n">
        <v>1050948</v>
      </c>
      <c r="F4491" s="26" t="n">
        <v>1415644</v>
      </c>
      <c r="G4491" s="26" t="n">
        <v>1234301</v>
      </c>
      <c r="H4491" s="26" t="n">
        <v>673548</v>
      </c>
      <c r="I4491" s="26" t="n">
        <v>326938</v>
      </c>
      <c r="J4491" s="19" t="n">
        <v>233134.9183005143</v>
      </c>
      <c r="K4491" s="37" t="n">
        <v>-0.1555557902706368</v>
      </c>
    </row>
    <row r="4492">
      <c r="A4492" s="34" t="inlineStr">
        <is>
          <t>Overtid faste</t>
        </is>
      </c>
      <c r="B4492" s="34" t="inlineStr">
        <is>
          <t>Region Midt-Norge</t>
        </is>
      </c>
      <c r="C4492" s="34" t="inlineStr">
        <is>
          <t>Humla Akuttsenter</t>
        </is>
      </c>
      <c r="D4492" s="18" t="n">
        <v>262653</v>
      </c>
      <c r="E4492" s="18" t="n">
        <v>545838</v>
      </c>
      <c r="F4492" s="18" t="n">
        <v>538200</v>
      </c>
      <c r="G4492" s="18" t="n">
        <v>855313</v>
      </c>
      <c r="H4492" s="18" t="n">
        <v>1008554</v>
      </c>
      <c r="I4492" s="18" t="n">
        <v>254615</v>
      </c>
      <c r="J4492" s="19" t="n">
        <v>251469.1034068999</v>
      </c>
      <c r="K4492" s="35" t="n">
        <v>-0.006196952999617311</v>
      </c>
    </row>
    <row r="4493">
      <c r="A4493" s="36" t="inlineStr">
        <is>
          <t>Overtid faste</t>
        </is>
      </c>
      <c r="B4493" s="36" t="inlineStr">
        <is>
          <t>Region Midt-Norge</t>
        </is>
      </c>
      <c r="C4493" s="36" t="inlineStr">
        <is>
          <t>Humla avd. beredskapshjem</t>
        </is>
      </c>
      <c r="D4493" s="26" t="n"/>
      <c r="E4493" s="26" t="n"/>
      <c r="F4493" s="26" t="n">
        <v>75</v>
      </c>
      <c r="G4493" s="26" t="n"/>
      <c r="H4493" s="26" t="n"/>
      <c r="I4493" s="26" t="n"/>
      <c r="J4493" s="19" t="n">
        <v>0</v>
      </c>
      <c r="K4493" s="37" t="n">
        <v>0.065</v>
      </c>
    </row>
    <row r="4494">
      <c r="A4494" s="34" t="inlineStr">
        <is>
          <t>Overtid faste</t>
        </is>
      </c>
      <c r="B4494" s="34" t="inlineStr">
        <is>
          <t>Region Midt-Norge</t>
        </is>
      </c>
      <c r="C4494" s="34" t="inlineStr">
        <is>
          <t>Husafjellheimen ungdomsheim</t>
        </is>
      </c>
      <c r="D4494" s="18" t="n">
        <v>315581</v>
      </c>
      <c r="E4494" s="18" t="n">
        <v>635281</v>
      </c>
      <c r="F4494" s="18" t="n">
        <v>449274</v>
      </c>
      <c r="G4494" s="18" t="n">
        <v>271096</v>
      </c>
      <c r="H4494" s="18" t="n">
        <v>418172</v>
      </c>
      <c r="I4494" s="18" t="n">
        <v>214441</v>
      </c>
      <c r="J4494" s="19" t="n">
        <v>183732.7664031034</v>
      </c>
      <c r="K4494" s="35" t="n">
        <v>-0.07436579411620281</v>
      </c>
    </row>
    <row r="4495">
      <c r="A4495" s="36" t="inlineStr">
        <is>
          <t>Overtid faste</t>
        </is>
      </c>
      <c r="B4495" s="36" t="inlineStr">
        <is>
          <t>Region Midt-Norge</t>
        </is>
      </c>
      <c r="C4495" s="36" t="inlineStr">
        <is>
          <t>Karienborg ungdomsheim</t>
        </is>
      </c>
      <c r="D4495" s="26" t="n">
        <v>125063</v>
      </c>
      <c r="E4495" s="26" t="n">
        <v>220019</v>
      </c>
      <c r="F4495" s="26" t="n">
        <v>246526</v>
      </c>
      <c r="G4495" s="26" t="n">
        <v>72982</v>
      </c>
      <c r="H4495" s="26" t="n">
        <v>78286</v>
      </c>
      <c r="I4495" s="26" t="n">
        <v>89311</v>
      </c>
      <c r="J4495" s="19" t="n">
        <v>78057.63629587743</v>
      </c>
      <c r="K4495" s="37" t="n">
        <v>-0.06512139275876216</v>
      </c>
    </row>
    <row r="4496">
      <c r="A4496" s="34" t="inlineStr">
        <is>
          <t>Overtid faste</t>
        </is>
      </c>
      <c r="B4496" s="34" t="inlineStr">
        <is>
          <t>Region Midt-Norge</t>
        </is>
      </c>
      <c r="C4496" s="34" t="inlineStr">
        <is>
          <t>Kollen ungdomsbase</t>
        </is>
      </c>
      <c r="D4496" s="18" t="n">
        <v>234851</v>
      </c>
      <c r="E4496" s="18" t="n">
        <v>502395</v>
      </c>
      <c r="F4496" s="18" t="n">
        <v>782040</v>
      </c>
      <c r="G4496" s="18" t="n">
        <v>322619</v>
      </c>
      <c r="H4496" s="18" t="n">
        <v>479463</v>
      </c>
      <c r="I4496" s="18" t="n">
        <v>350005</v>
      </c>
      <c r="J4496" s="19" t="n">
        <v>410569.7823269745</v>
      </c>
      <c r="K4496" s="35" t="n">
        <v>0.08306960220629844</v>
      </c>
    </row>
    <row r="4497">
      <c r="A4497" s="36" t="inlineStr">
        <is>
          <t>Overtid faste</t>
        </is>
      </c>
      <c r="B4497" s="36" t="inlineStr">
        <is>
          <t>Region Midt-Norge</t>
        </is>
      </c>
      <c r="C4497" s="36" t="inlineStr">
        <is>
          <t>Kvammen akuttsenter</t>
        </is>
      </c>
      <c r="D4497" s="26" t="n">
        <v>379151</v>
      </c>
      <c r="E4497" s="26" t="n">
        <v>535625</v>
      </c>
      <c r="F4497" s="26" t="n">
        <v>528439</v>
      </c>
      <c r="G4497" s="26" t="n">
        <v>734199</v>
      </c>
      <c r="H4497" s="26" t="n">
        <v>32</v>
      </c>
      <c r="I4497" s="26" t="n">
        <v>7656</v>
      </c>
      <c r="J4497" s="19" t="n">
        <v>4306.5</v>
      </c>
      <c r="K4497" s="37" t="n">
        <v>-0.25</v>
      </c>
    </row>
    <row r="4498">
      <c r="A4498" s="34" t="inlineStr">
        <is>
          <t>Overtid faste</t>
        </is>
      </c>
      <c r="B4498" s="34" t="inlineStr">
        <is>
          <t>Region Midt-Norge</t>
        </is>
      </c>
      <c r="C4498" s="34" t="inlineStr">
        <is>
          <t>Kvammen akuttsenter, avdeling Fannrem</t>
        </is>
      </c>
      <c r="D4498" s="18" t="n"/>
      <c r="E4498" s="18" t="n"/>
      <c r="F4498" s="18" t="n"/>
      <c r="G4498" s="18" t="n"/>
      <c r="H4498" s="18" t="n">
        <v>130268</v>
      </c>
      <c r="I4498" s="18" t="n">
        <v>279866</v>
      </c>
      <c r="J4498" s="19" t="n">
        <v>317431.0138499999</v>
      </c>
      <c r="K4498" s="35" t="n">
        <v>0.065</v>
      </c>
    </row>
    <row r="4499">
      <c r="A4499" s="36" t="inlineStr">
        <is>
          <t>Overtid faste</t>
        </is>
      </c>
      <c r="B4499" s="36" t="inlineStr">
        <is>
          <t>Region Midt-Norge</t>
        </is>
      </c>
      <c r="C4499" s="36" t="inlineStr">
        <is>
          <t>Kvammen akuttsenter, avdeling Melhus</t>
        </is>
      </c>
      <c r="D4499" s="26" t="n"/>
      <c r="E4499" s="26" t="n"/>
      <c r="F4499" s="26" t="n"/>
      <c r="G4499" s="26" t="n"/>
      <c r="H4499" s="26" t="n">
        <v>774190</v>
      </c>
      <c r="I4499" s="26" t="n">
        <v>822202</v>
      </c>
      <c r="J4499" s="19" t="n">
        <v>932562.0634499999</v>
      </c>
      <c r="K4499" s="37" t="n">
        <v>0.065</v>
      </c>
    </row>
    <row r="4500">
      <c r="A4500" s="34" t="inlineStr">
        <is>
          <t>Overtid faste</t>
        </is>
      </c>
      <c r="B4500" s="34" t="inlineStr">
        <is>
          <t>Region Midt-Norge</t>
        </is>
      </c>
      <c r="C4500" s="34" t="inlineStr">
        <is>
          <t>Kvammen, avdelig enetiltak</t>
        </is>
      </c>
      <c r="D4500" s="18" t="n"/>
      <c r="E4500" s="18" t="n"/>
      <c r="F4500" s="18" t="n"/>
      <c r="G4500" s="18" t="n"/>
      <c r="H4500" s="18" t="n"/>
      <c r="I4500" s="18" t="n">
        <v>520936</v>
      </c>
      <c r="J4500" s="19" t="n">
        <v>590858.6345999999</v>
      </c>
      <c r="K4500" s="35" t="n">
        <v>0.065</v>
      </c>
    </row>
    <row r="4501">
      <c r="A4501" s="36" t="inlineStr">
        <is>
          <t>Overtid faste</t>
        </is>
      </c>
      <c r="B4501" s="36" t="inlineStr">
        <is>
          <t>Region Midt-Norge</t>
        </is>
      </c>
      <c r="C4501" s="36" t="inlineStr">
        <is>
          <t>Moholt ungdomssenter</t>
        </is>
      </c>
      <c r="D4501" s="26" t="n"/>
      <c r="E4501" s="26" t="n"/>
      <c r="F4501" s="26" t="n">
        <v>69681</v>
      </c>
      <c r="G4501" s="26" t="n">
        <v>647779</v>
      </c>
      <c r="H4501" s="26" t="n">
        <v>775246</v>
      </c>
      <c r="I4501" s="26" t="n">
        <v>310934</v>
      </c>
      <c r="J4501" s="19" t="n">
        <v>352669.11615</v>
      </c>
      <c r="K4501" s="37" t="n">
        <v>0.065</v>
      </c>
    </row>
    <row r="4502">
      <c r="A4502" s="34" t="inlineStr">
        <is>
          <t>Overtid faste</t>
        </is>
      </c>
      <c r="B4502" s="34" t="inlineStr">
        <is>
          <t>Region Midt-Norge</t>
        </is>
      </c>
      <c r="C4502" s="34" t="inlineStr">
        <is>
          <t>Orkdal barnevernsenter</t>
        </is>
      </c>
      <c r="D4502" s="18" t="n">
        <v>333469</v>
      </c>
      <c r="E4502" s="18" t="n">
        <v>323328</v>
      </c>
      <c r="F4502" s="18" t="n">
        <v>673840</v>
      </c>
      <c r="G4502" s="18" t="n">
        <v>1039865</v>
      </c>
      <c r="H4502" s="18" t="n"/>
      <c r="I4502" s="18" t="n"/>
      <c r="J4502" s="19" t="n">
        <v>0</v>
      </c>
      <c r="K4502" s="35" t="n">
        <v>0.065</v>
      </c>
    </row>
    <row r="4503">
      <c r="A4503" s="36" t="inlineStr">
        <is>
          <t>Overtid faste</t>
        </is>
      </c>
      <c r="B4503" s="36" t="inlineStr">
        <is>
          <t>Region Midt-Norge</t>
        </is>
      </c>
      <c r="C4503" s="36" t="inlineStr">
        <is>
          <t>Ranheim Vestre</t>
        </is>
      </c>
      <c r="D4503" s="26" t="n">
        <v>226844</v>
      </c>
      <c r="E4503" s="26" t="n">
        <v>406298</v>
      </c>
      <c r="F4503" s="26" t="n">
        <v>476807</v>
      </c>
      <c r="G4503" s="26" t="n">
        <v>718486</v>
      </c>
      <c r="H4503" s="26" t="n">
        <v>596079</v>
      </c>
      <c r="I4503" s="26" t="n">
        <v>448643</v>
      </c>
      <c r="J4503" s="19" t="n">
        <v>589345.9938864433</v>
      </c>
      <c r="K4503" s="37" t="n">
        <v>0.1461322155111904</v>
      </c>
    </row>
    <row r="4504">
      <c r="A4504" s="34" t="inlineStr">
        <is>
          <t>Overtid faste</t>
        </is>
      </c>
      <c r="B4504" s="34" t="inlineStr">
        <is>
          <t>Region Midt-Norge</t>
        </is>
      </c>
      <c r="C4504" s="34" t="inlineStr">
        <is>
          <t>Seksjon fagstøtte inkl adopsjon</t>
        </is>
      </c>
      <c r="D4504" s="18" t="n"/>
      <c r="E4504" s="18" t="n"/>
      <c r="F4504" s="18" t="n"/>
      <c r="G4504" s="18" t="n">
        <v>455</v>
      </c>
      <c r="H4504" s="18" t="n"/>
      <c r="I4504" s="18" t="n"/>
      <c r="J4504" s="19" t="n">
        <v>0</v>
      </c>
      <c r="K4504" s="35" t="n">
        <v>0.065</v>
      </c>
    </row>
    <row r="4505">
      <c r="A4505" s="36" t="inlineStr">
        <is>
          <t>Overtid faste</t>
        </is>
      </c>
      <c r="B4505" s="36" t="inlineStr">
        <is>
          <t>Region Midt-Norge</t>
        </is>
      </c>
      <c r="C4505" s="36" t="inlineStr">
        <is>
          <t>Skatval ungdomssenter</t>
        </is>
      </c>
      <c r="D4505" s="26" t="n"/>
      <c r="E4505" s="26" t="n"/>
      <c r="F4505" s="26" t="n"/>
      <c r="G4505" s="26" t="n"/>
      <c r="H4505" s="26" t="n">
        <v>106259</v>
      </c>
      <c r="I4505" s="26" t="n">
        <v>891437</v>
      </c>
      <c r="J4505" s="19" t="n">
        <v>1011090.131325</v>
      </c>
      <c r="K4505" s="37" t="n">
        <v>0.065</v>
      </c>
    </row>
    <row r="4506">
      <c r="A4506" s="34" t="inlineStr">
        <is>
          <t>Overtid faste</t>
        </is>
      </c>
      <c r="B4506" s="34" t="inlineStr">
        <is>
          <t>Region Midt-Norge</t>
        </is>
      </c>
      <c r="C4506" s="34" t="inlineStr">
        <is>
          <t>Spillumheimen ungdomsheim</t>
        </is>
      </c>
      <c r="D4506" s="18" t="n">
        <v>431041</v>
      </c>
      <c r="E4506" s="18" t="n">
        <v>819961</v>
      </c>
      <c r="F4506" s="18" t="n">
        <v>487152</v>
      </c>
      <c r="G4506" s="18" t="n">
        <v>575897</v>
      </c>
      <c r="H4506" s="18" t="n">
        <v>244664</v>
      </c>
      <c r="I4506" s="18" t="n">
        <v>105864</v>
      </c>
      <c r="J4506" s="19" t="n">
        <v>60372.64269270292</v>
      </c>
      <c r="K4506" s="35" t="n">
        <v>-0.2448278876563748</v>
      </c>
    </row>
    <row r="4507">
      <c r="A4507" s="36" t="inlineStr">
        <is>
          <t>Overtid faste</t>
        </is>
      </c>
      <c r="B4507" s="36" t="inlineStr">
        <is>
          <t>Region Midt-Norge</t>
        </is>
      </c>
      <c r="C4507" s="36" t="inlineStr">
        <is>
          <t>SpisskompetansemiljøF4 behandling ungdom</t>
        </is>
      </c>
      <c r="D4507" s="26" t="n"/>
      <c r="E4507" s="26" t="n"/>
      <c r="F4507" s="26" t="n"/>
      <c r="G4507" s="26" t="n"/>
      <c r="H4507" s="26" t="n"/>
      <c r="I4507" s="26" t="n">
        <v>1947</v>
      </c>
      <c r="J4507" s="19" t="n">
        <v>2208.336075</v>
      </c>
      <c r="K4507" s="37" t="n">
        <v>0.065</v>
      </c>
    </row>
    <row r="4508">
      <c r="A4508" s="34" t="inlineStr">
        <is>
          <t>Overtid faste</t>
        </is>
      </c>
      <c r="B4508" s="34" t="inlineStr">
        <is>
          <t>Region Midt-Norge</t>
        </is>
      </c>
      <c r="C4508" s="34" t="inlineStr">
        <is>
          <t>Stjørdal ungdomssenter</t>
        </is>
      </c>
      <c r="D4508" s="18" t="n">
        <v>650987</v>
      </c>
      <c r="E4508" s="18" t="n">
        <v>737548</v>
      </c>
      <c r="F4508" s="18" t="n">
        <v>191977</v>
      </c>
      <c r="G4508" s="18" t="n"/>
      <c r="H4508" s="18" t="n"/>
      <c r="I4508" s="18" t="n"/>
      <c r="J4508" s="19" t="n">
        <v>0</v>
      </c>
      <c r="K4508" s="35" t="n">
        <v>0.065</v>
      </c>
    </row>
    <row r="4509">
      <c r="A4509" s="36" t="inlineStr">
        <is>
          <t>Overtid faste</t>
        </is>
      </c>
      <c r="B4509" s="36" t="inlineStr">
        <is>
          <t>Region Midt-Norge</t>
        </is>
      </c>
      <c r="C4509" s="36" t="inlineStr">
        <is>
          <t>Sunnmørsheimen akuttinsitusjon</t>
        </is>
      </c>
      <c r="D4509" s="26" t="n"/>
      <c r="E4509" s="26" t="n"/>
      <c r="F4509" s="26" t="n"/>
      <c r="G4509" s="26" t="n"/>
      <c r="H4509" s="26" t="n"/>
      <c r="I4509" s="26" t="n">
        <v>730</v>
      </c>
      <c r="J4509" s="19" t="n">
        <v>827.9842499999999</v>
      </c>
      <c r="K4509" s="37" t="n">
        <v>0.065</v>
      </c>
    </row>
    <row r="4510">
      <c r="A4510" s="34" t="inlineStr">
        <is>
          <t>Overtid faste</t>
        </is>
      </c>
      <c r="B4510" s="34" t="inlineStr">
        <is>
          <t>Region Midt-Norge</t>
        </is>
      </c>
      <c r="C4510" s="34" t="inlineStr">
        <is>
          <t>Sunnmørsheimen akuttinstitusjon, avd. Klatrevegen</t>
        </is>
      </c>
      <c r="D4510" s="18" t="n"/>
      <c r="E4510" s="18" t="n"/>
      <c r="F4510" s="18" t="n">
        <v>139188</v>
      </c>
      <c r="G4510" s="18" t="n">
        <v>380373</v>
      </c>
      <c r="H4510" s="18" t="n">
        <v>325235</v>
      </c>
      <c r="I4510" s="18" t="n">
        <v>432469</v>
      </c>
      <c r="J4510" s="19" t="n">
        <v>490517.1515249999</v>
      </c>
      <c r="K4510" s="35" t="n">
        <v>0.065</v>
      </c>
    </row>
    <row r="4511">
      <c r="A4511" s="36" t="inlineStr">
        <is>
          <t>Overtid faste</t>
        </is>
      </c>
      <c r="B4511" s="36" t="inlineStr">
        <is>
          <t>Region Midt-Norge</t>
        </is>
      </c>
      <c r="C4511" s="36" t="inlineStr">
        <is>
          <t>Sunnmørsheimen ungdomsheim</t>
        </is>
      </c>
      <c r="D4511" s="26" t="n">
        <v>3059</v>
      </c>
      <c r="E4511" s="26" t="n">
        <v>807</v>
      </c>
      <c r="F4511" s="26" t="n"/>
      <c r="G4511" s="26" t="n"/>
      <c r="H4511" s="26" t="n"/>
      <c r="I4511" s="26" t="n"/>
      <c r="J4511" s="19" t="n">
        <v>0</v>
      </c>
      <c r="K4511" s="37" t="n">
        <v>0.065</v>
      </c>
    </row>
    <row r="4512">
      <c r="A4512" s="34" t="inlineStr">
        <is>
          <t>Overtid faste</t>
        </is>
      </c>
      <c r="B4512" s="34" t="inlineStr">
        <is>
          <t>Region Midt-Norge</t>
        </is>
      </c>
      <c r="C4512" s="34" t="inlineStr">
        <is>
          <t>Sunnmørsheimen ungdomsheim, avd. Klatrevegen</t>
        </is>
      </c>
      <c r="D4512" s="18" t="n">
        <v>256711</v>
      </c>
      <c r="E4512" s="18" t="n">
        <v>357440</v>
      </c>
      <c r="F4512" s="18" t="n">
        <v>167974</v>
      </c>
      <c r="G4512" s="18" t="n"/>
      <c r="H4512" s="18" t="n"/>
      <c r="I4512" s="18" t="n"/>
      <c r="J4512" s="19" t="n">
        <v>0</v>
      </c>
      <c r="K4512" s="35" t="n">
        <v>0.065</v>
      </c>
    </row>
    <row r="4513">
      <c r="A4513" s="36" t="inlineStr">
        <is>
          <t>Overtid faste</t>
        </is>
      </c>
      <c r="B4513" s="36" t="inlineStr">
        <is>
          <t>Region Midt-Norge</t>
        </is>
      </c>
      <c r="C4513" s="36" t="inlineStr">
        <is>
          <t>Sunnmørsheimen ungdomsheim, avd. Nygardsvegen</t>
        </is>
      </c>
      <c r="D4513" s="26" t="n">
        <v>367769</v>
      </c>
      <c r="E4513" s="26" t="n">
        <v>535044</v>
      </c>
      <c r="F4513" s="26" t="n">
        <v>455798</v>
      </c>
      <c r="G4513" s="26" t="n">
        <v>408704</v>
      </c>
      <c r="H4513" s="26" t="n">
        <v>494808</v>
      </c>
      <c r="I4513" s="26" t="n">
        <v>166992</v>
      </c>
      <c r="J4513" s="19" t="n">
        <v>121771.0035006742</v>
      </c>
      <c r="K4513" s="37" t="n">
        <v>-0.1460663857800797</v>
      </c>
    </row>
    <row r="4514">
      <c r="A4514" s="34" t="inlineStr">
        <is>
          <t>Overtid faste</t>
        </is>
      </c>
      <c r="B4514" s="34" t="inlineStr">
        <is>
          <t>Region Midt-Norge</t>
        </is>
      </c>
      <c r="C4514" s="34" t="inlineStr">
        <is>
          <t>TFCO Trondheim</t>
        </is>
      </c>
      <c r="D4514" s="18" t="n"/>
      <c r="E4514" s="18" t="n">
        <v>6455</v>
      </c>
      <c r="F4514" s="18" t="n">
        <v>28643</v>
      </c>
      <c r="G4514" s="18" t="n">
        <v>30313</v>
      </c>
      <c r="H4514" s="18" t="n"/>
      <c r="I4514" s="18" t="n"/>
      <c r="J4514" s="19" t="n">
        <v>0</v>
      </c>
      <c r="K4514" s="35" t="n">
        <v>0.065</v>
      </c>
    </row>
    <row r="4515">
      <c r="A4515" s="36" t="inlineStr">
        <is>
          <t>Overtid faste</t>
        </is>
      </c>
      <c r="B4515" s="36" t="inlineStr">
        <is>
          <t>Region Midt-Norge</t>
        </is>
      </c>
      <c r="C4515" s="36" t="inlineStr">
        <is>
          <t>Trøndelag behandlingssenter for ungdom</t>
        </is>
      </c>
      <c r="D4515" s="26" t="n">
        <v>3739</v>
      </c>
      <c r="E4515" s="26" t="n">
        <v>4328</v>
      </c>
      <c r="F4515" s="26" t="n">
        <v>17189</v>
      </c>
      <c r="G4515" s="26" t="n">
        <v>222447</v>
      </c>
      <c r="H4515" s="26" t="n">
        <v>174529</v>
      </c>
      <c r="I4515" s="26" t="n">
        <v>12472</v>
      </c>
      <c r="J4515" s="19" t="n">
        <v>19487.5</v>
      </c>
      <c r="K4515" s="37" t="n">
        <v>0.25</v>
      </c>
    </row>
    <row r="4516">
      <c r="A4516" s="34" t="inlineStr">
        <is>
          <t>Overtid faste</t>
        </is>
      </c>
      <c r="B4516" s="34" t="inlineStr">
        <is>
          <t>Region Midt-Norge</t>
        </is>
      </c>
      <c r="C4516" s="34" t="inlineStr">
        <is>
          <t>Vikhovlia akuttsenter</t>
        </is>
      </c>
      <c r="D4516" s="18" t="n">
        <v>150943</v>
      </c>
      <c r="E4516" s="18" t="n">
        <v>194899</v>
      </c>
      <c r="F4516" s="18" t="n">
        <v>180321</v>
      </c>
      <c r="G4516" s="18" t="n">
        <v>408260</v>
      </c>
      <c r="H4516" s="18" t="n">
        <v>373816</v>
      </c>
      <c r="I4516" s="18" t="n">
        <v>308455</v>
      </c>
      <c r="J4516" s="19" t="n">
        <v>410528.5348937911</v>
      </c>
      <c r="K4516" s="35" t="n">
        <v>0.1536545079089542</v>
      </c>
    </row>
    <row r="4517">
      <c r="A4517" s="36" t="inlineStr">
        <is>
          <t>Overtid faste</t>
        </is>
      </c>
      <c r="B4517" s="36" t="inlineStr">
        <is>
          <t>Region Nord</t>
        </is>
      </c>
      <c r="C4517" s="36" t="inlineStr">
        <is>
          <t>Alta Ungdomssenter administrasjon</t>
        </is>
      </c>
      <c r="D4517" s="26" t="n"/>
      <c r="E4517" s="26" t="n"/>
      <c r="F4517" s="26" t="n"/>
      <c r="G4517" s="26" t="n"/>
      <c r="H4517" s="26" t="n">
        <v>17073</v>
      </c>
      <c r="I4517" s="26" t="n">
        <v>183</v>
      </c>
      <c r="J4517" s="19" t="n">
        <v>207.563175</v>
      </c>
      <c r="K4517" s="37" t="n">
        <v>0.065</v>
      </c>
    </row>
    <row r="4518">
      <c r="A4518" s="34" t="inlineStr">
        <is>
          <t>Overtid faste</t>
        </is>
      </c>
      <c r="B4518" s="34" t="inlineStr">
        <is>
          <t>Region Nord</t>
        </is>
      </c>
      <c r="C4518" s="34" t="inlineStr">
        <is>
          <t>Alta Ungdomssenter sjøtun</t>
        </is>
      </c>
      <c r="D4518" s="18" t="n">
        <v>673397</v>
      </c>
      <c r="E4518" s="18" t="n">
        <v>821607</v>
      </c>
      <c r="F4518" s="18" t="n">
        <v>701864</v>
      </c>
      <c r="G4518" s="18" t="n">
        <v>801365</v>
      </c>
      <c r="H4518" s="18" t="n">
        <v>831449</v>
      </c>
      <c r="I4518" s="18" t="n">
        <v>603863</v>
      </c>
      <c r="J4518" s="19" t="n">
        <v>578103.1255913428</v>
      </c>
      <c r="K4518" s="35" t="n">
        <v>-0.02156169051691115</v>
      </c>
    </row>
    <row r="4519">
      <c r="A4519" s="36" t="inlineStr">
        <is>
          <t>Overtid faste</t>
        </is>
      </c>
      <c r="B4519" s="36" t="inlineStr">
        <is>
          <t>Region Nord</t>
        </is>
      </c>
      <c r="C4519" s="36" t="inlineStr">
        <is>
          <t>Alta Ungdomssenter utsikten</t>
        </is>
      </c>
      <c r="D4519" s="26" t="n">
        <v>22257</v>
      </c>
      <c r="E4519" s="26" t="n"/>
      <c r="F4519" s="26" t="n"/>
      <c r="G4519" s="26" t="n"/>
      <c r="H4519" s="26" t="n"/>
      <c r="I4519" s="26" t="n"/>
      <c r="J4519" s="19" t="n">
        <v>0</v>
      </c>
      <c r="K4519" s="37" t="n">
        <v>0.065</v>
      </c>
    </row>
    <row r="4520">
      <c r="A4520" s="34" t="inlineStr">
        <is>
          <t>Overtid faste</t>
        </is>
      </c>
      <c r="B4520" s="34" t="inlineStr">
        <is>
          <t>Region Nord</t>
        </is>
      </c>
      <c r="C4520" s="34" t="inlineStr">
        <is>
          <t>Alta ungdomssenter Utsikten akutt</t>
        </is>
      </c>
      <c r="D4520" s="18" t="n"/>
      <c r="E4520" s="18" t="n"/>
      <c r="F4520" s="18" t="n"/>
      <c r="G4520" s="18" t="n"/>
      <c r="H4520" s="18" t="n">
        <v>94638</v>
      </c>
      <c r="I4520" s="18" t="n">
        <v>642873</v>
      </c>
      <c r="J4520" s="19" t="n">
        <v>729162.6284249999</v>
      </c>
      <c r="K4520" s="35" t="n">
        <v>0.065</v>
      </c>
    </row>
    <row r="4521">
      <c r="A4521" s="36" t="inlineStr">
        <is>
          <t>Overtid faste</t>
        </is>
      </c>
      <c r="B4521" s="36" t="inlineStr">
        <is>
          <t>Region Nord</t>
        </is>
      </c>
      <c r="C4521" s="36" t="inlineStr">
        <is>
          <t>Alta ungdomssenter Utsikten omsorg</t>
        </is>
      </c>
      <c r="D4521" s="26" t="n">
        <v>53416</v>
      </c>
      <c r="E4521" s="26" t="n">
        <v>349904</v>
      </c>
      <c r="F4521" s="26" t="n">
        <v>397851</v>
      </c>
      <c r="G4521" s="26" t="n">
        <v>400698</v>
      </c>
      <c r="H4521" s="26" t="n">
        <v>134128</v>
      </c>
      <c r="I4521" s="26" t="n">
        <v>3650</v>
      </c>
      <c r="J4521" s="19" t="n">
        <v>2053.125</v>
      </c>
      <c r="K4521" s="37" t="n">
        <v>-0.25</v>
      </c>
    </row>
    <row r="4522">
      <c r="A4522" s="34" t="inlineStr">
        <is>
          <t>Overtid faste</t>
        </is>
      </c>
      <c r="B4522" s="34" t="inlineStr">
        <is>
          <t>Region Nord</t>
        </is>
      </c>
      <c r="C4522" s="34" t="inlineStr">
        <is>
          <t>Bodø behandlingssenter Landegode</t>
        </is>
      </c>
      <c r="D4522" s="18" t="n"/>
      <c r="E4522" s="18" t="n"/>
      <c r="F4522" s="18" t="n"/>
      <c r="G4522" s="18" t="n"/>
      <c r="H4522" s="18" t="n">
        <v>41164</v>
      </c>
      <c r="I4522" s="18" t="n">
        <v>578</v>
      </c>
      <c r="J4522" s="19" t="n">
        <v>655.5820499999999</v>
      </c>
      <c r="K4522" s="35" t="n">
        <v>0.065</v>
      </c>
    </row>
    <row r="4523">
      <c r="A4523" s="36" t="inlineStr">
        <is>
          <t>Overtid faste</t>
        </is>
      </c>
      <c r="B4523" s="36" t="inlineStr">
        <is>
          <t>Region Nord</t>
        </is>
      </c>
      <c r="C4523" s="36" t="inlineStr">
        <is>
          <t>Bodø behandlingssenter Sandhornet</t>
        </is>
      </c>
      <c r="D4523" s="26" t="n">
        <v>345423</v>
      </c>
      <c r="E4523" s="26" t="n">
        <v>301006</v>
      </c>
      <c r="F4523" s="26" t="n">
        <v>444805</v>
      </c>
      <c r="G4523" s="26" t="n">
        <v>466980</v>
      </c>
      <c r="H4523" s="26" t="n">
        <v>1034392</v>
      </c>
      <c r="I4523" s="26" t="n">
        <v>372629</v>
      </c>
      <c r="J4523" s="19" t="n">
        <v>384102.2142261514</v>
      </c>
      <c r="K4523" s="37" t="n">
        <v>0.0152782437777832</v>
      </c>
    </row>
    <row r="4524">
      <c r="A4524" s="34" t="inlineStr">
        <is>
          <t>Overtid faste</t>
        </is>
      </c>
      <c r="B4524" s="34" t="inlineStr">
        <is>
          <t>Region Nord</t>
        </is>
      </c>
      <c r="C4524" s="34" t="inlineStr">
        <is>
          <t>Bodø behandlingssenter adm</t>
        </is>
      </c>
      <c r="D4524" s="18" t="n">
        <v>2059</v>
      </c>
      <c r="E4524" s="18" t="n">
        <v>28733</v>
      </c>
      <c r="F4524" s="18" t="n">
        <v>37710</v>
      </c>
      <c r="G4524" s="18" t="n">
        <v>42344</v>
      </c>
      <c r="H4524" s="18" t="n">
        <v>31513</v>
      </c>
      <c r="I4524" s="18" t="n">
        <v>6576</v>
      </c>
      <c r="J4524" s="19" t="n">
        <v>10275</v>
      </c>
      <c r="K4524" s="35" t="n">
        <v>0.25</v>
      </c>
    </row>
    <row r="4525">
      <c r="A4525" s="36" t="inlineStr">
        <is>
          <t>Overtid faste</t>
        </is>
      </c>
      <c r="B4525" s="36" t="inlineStr">
        <is>
          <t>Region Nord</t>
        </is>
      </c>
      <c r="C4525" s="36" t="inlineStr">
        <is>
          <t>Enhet for inntak avd. akutt</t>
        </is>
      </c>
      <c r="D4525" s="26" t="n"/>
      <c r="E4525" s="26" t="n"/>
      <c r="F4525" s="26" t="n"/>
      <c r="G4525" s="26" t="n"/>
      <c r="H4525" s="26" t="n">
        <v>2001</v>
      </c>
      <c r="I4525" s="26" t="n">
        <v>43152</v>
      </c>
      <c r="J4525" s="19" t="n">
        <v>48944.07719999999</v>
      </c>
      <c r="K4525" s="37" t="n">
        <v>0.065</v>
      </c>
    </row>
    <row r="4526">
      <c r="A4526" s="34" t="inlineStr">
        <is>
          <t>Overtid faste</t>
        </is>
      </c>
      <c r="B4526" s="34" t="inlineStr">
        <is>
          <t>Region Nord</t>
        </is>
      </c>
      <c r="C4526" s="34" t="inlineStr">
        <is>
          <t>KUS SKM Omsorg for ungdom</t>
        </is>
      </c>
      <c r="D4526" s="18" t="n"/>
      <c r="E4526" s="18" t="n">
        <v>49713</v>
      </c>
      <c r="F4526" s="18" t="n"/>
      <c r="G4526" s="18" t="n"/>
      <c r="H4526" s="18" t="n"/>
      <c r="I4526" s="18" t="n"/>
      <c r="J4526" s="19" t="n">
        <v>0</v>
      </c>
      <c r="K4526" s="35" t="n">
        <v>0.065</v>
      </c>
    </row>
    <row r="4527">
      <c r="A4527" s="36" t="inlineStr">
        <is>
          <t>Overtid faste</t>
        </is>
      </c>
      <c r="B4527" s="36" t="inlineStr">
        <is>
          <t>Region Nord</t>
        </is>
      </c>
      <c r="C4527" s="36" t="inlineStr">
        <is>
          <t>Lamo ungdomssenter Tunet</t>
        </is>
      </c>
      <c r="D4527" s="26" t="n">
        <v>248427</v>
      </c>
      <c r="E4527" s="26" t="n">
        <v>341815</v>
      </c>
      <c r="F4527" s="26" t="n">
        <v>567212</v>
      </c>
      <c r="G4527" s="26" t="n">
        <v>618538</v>
      </c>
      <c r="H4527" s="26" t="n">
        <v>571720</v>
      </c>
      <c r="I4527" s="26" t="n">
        <v>431179</v>
      </c>
      <c r="J4527" s="19" t="n">
        <v>537577.5496602578</v>
      </c>
      <c r="K4527" s="37" t="n">
        <v>0.1165849277514319</v>
      </c>
    </row>
    <row r="4528">
      <c r="A4528" s="34" t="inlineStr">
        <is>
          <t>Overtid faste</t>
        </is>
      </c>
      <c r="B4528" s="34" t="inlineStr">
        <is>
          <t>Region Nord</t>
        </is>
      </c>
      <c r="C4528" s="34" t="inlineStr">
        <is>
          <t>Lamo ungdomssenter adm</t>
        </is>
      </c>
      <c r="D4528" s="18" t="n">
        <v>2346</v>
      </c>
      <c r="E4528" s="18" t="n"/>
      <c r="F4528" s="18" t="n">
        <v>1871</v>
      </c>
      <c r="G4528" s="18" t="n">
        <v>13181</v>
      </c>
      <c r="H4528" s="18" t="n">
        <v>1959</v>
      </c>
      <c r="I4528" s="18" t="n">
        <v>4094</v>
      </c>
      <c r="J4528" s="19" t="n">
        <v>5115.354904508575</v>
      </c>
      <c r="K4528" s="35" t="n">
        <v>0.117799641798926</v>
      </c>
    </row>
    <row r="4529">
      <c r="A4529" s="36" t="inlineStr">
        <is>
          <t>Overtid faste</t>
        </is>
      </c>
      <c r="B4529" s="36" t="inlineStr">
        <is>
          <t>Region Nord</t>
        </is>
      </c>
      <c r="C4529" s="36" t="inlineStr">
        <is>
          <t>Nye Kvæfjord ungdomssenter Lilleheimen</t>
        </is>
      </c>
      <c r="D4529" s="26" t="n">
        <v>476972</v>
      </c>
      <c r="E4529" s="26" t="n">
        <v>576729</v>
      </c>
      <c r="F4529" s="26" t="n">
        <v>259557</v>
      </c>
      <c r="G4529" s="26" t="n">
        <v>245905</v>
      </c>
      <c r="H4529" s="26" t="n">
        <v>766080</v>
      </c>
      <c r="I4529" s="26" t="n">
        <v>200205</v>
      </c>
      <c r="J4529" s="19" t="n">
        <v>141471.1009491133</v>
      </c>
      <c r="K4529" s="37" t="n">
        <v>-0.1593864099613811</v>
      </c>
    </row>
    <row r="4530">
      <c r="A4530" s="34" t="inlineStr">
        <is>
          <t>Overtid faste</t>
        </is>
      </c>
      <c r="B4530" s="34" t="inlineStr">
        <is>
          <t>Region Nord</t>
        </is>
      </c>
      <c r="C4530" s="34" t="inlineStr">
        <is>
          <t>Nye Kvæfjord ungdomssenter Storheimen</t>
        </is>
      </c>
      <c r="D4530" s="18" t="n">
        <v>370676</v>
      </c>
      <c r="E4530" s="18" t="n">
        <v>483014</v>
      </c>
      <c r="F4530" s="18" t="n">
        <v>230234</v>
      </c>
      <c r="G4530" s="18" t="n">
        <v>226531</v>
      </c>
      <c r="H4530" s="18" t="n">
        <v>966696</v>
      </c>
      <c r="I4530" s="18" t="n">
        <v>407648</v>
      </c>
      <c r="J4530" s="19" t="n">
        <v>423449.5299953669</v>
      </c>
      <c r="K4530" s="35" t="n">
        <v>0.01919707735993614</v>
      </c>
    </row>
    <row r="4531">
      <c r="A4531" s="36" t="inlineStr">
        <is>
          <t>Overtid faste</t>
        </is>
      </c>
      <c r="B4531" s="36" t="inlineStr">
        <is>
          <t>Region Nord</t>
        </is>
      </c>
      <c r="C4531" s="36" t="inlineStr">
        <is>
          <t>Nye Kvæfjord ungdomssenter adm</t>
        </is>
      </c>
      <c r="D4531" s="26" t="n"/>
      <c r="E4531" s="26" t="n"/>
      <c r="F4531" s="26" t="n">
        <v>31075</v>
      </c>
      <c r="G4531" s="26" t="n">
        <v>19970</v>
      </c>
      <c r="H4531" s="26" t="n">
        <v>99999</v>
      </c>
      <c r="I4531" s="26" t="n">
        <v>66074</v>
      </c>
      <c r="J4531" s="19" t="n">
        <v>74942.78264999999</v>
      </c>
      <c r="K4531" s="37" t="n">
        <v>0.065</v>
      </c>
    </row>
    <row r="4532">
      <c r="A4532" s="34" t="inlineStr">
        <is>
          <t>Overtid faste</t>
        </is>
      </c>
      <c r="B4532" s="34" t="inlineStr">
        <is>
          <t>Region Nord</t>
        </is>
      </c>
      <c r="C4532" s="34" t="inlineStr">
        <is>
          <t>Røvika ungdomssenter Administrasjon</t>
        </is>
      </c>
      <c r="D4532" s="18" t="n">
        <v>2500</v>
      </c>
      <c r="E4532" s="18" t="n">
        <v>7941</v>
      </c>
      <c r="F4532" s="18" t="n">
        <v>3447</v>
      </c>
      <c r="G4532" s="18" t="n">
        <v>71009</v>
      </c>
      <c r="H4532" s="18" t="n">
        <v>17143</v>
      </c>
      <c r="I4532" s="18" t="n">
        <v>6328</v>
      </c>
      <c r="J4532" s="19" t="n">
        <v>9174.809491921857</v>
      </c>
      <c r="K4532" s="35" t="n">
        <v>0.2041075856157268</v>
      </c>
    </row>
    <row r="4533">
      <c r="A4533" s="36" t="inlineStr">
        <is>
          <t>Overtid faste</t>
        </is>
      </c>
      <c r="B4533" s="36" t="inlineStr">
        <is>
          <t>Region Nord</t>
        </is>
      </c>
      <c r="C4533" s="36" t="inlineStr">
        <is>
          <t>Røvika ungdomssenter Skogly</t>
        </is>
      </c>
      <c r="D4533" s="26" t="n">
        <v>639269</v>
      </c>
      <c r="E4533" s="26" t="n">
        <v>748599</v>
      </c>
      <c r="F4533" s="26" t="n">
        <v>636509</v>
      </c>
      <c r="G4533" s="26" t="n">
        <v>1230495</v>
      </c>
      <c r="H4533" s="26" t="n">
        <v>792310</v>
      </c>
      <c r="I4533" s="26" t="n">
        <v>860418</v>
      </c>
      <c r="J4533" s="19" t="n">
        <v>968991.1806213474</v>
      </c>
      <c r="K4533" s="37" t="n">
        <v>0.06121937030477209</v>
      </c>
    </row>
    <row r="4534">
      <c r="A4534" s="34" t="inlineStr">
        <is>
          <t>Overtid faste</t>
        </is>
      </c>
      <c r="B4534" s="34" t="inlineStr">
        <is>
          <t>Region Nord</t>
        </is>
      </c>
      <c r="C4534" s="34" t="inlineStr">
        <is>
          <t>Røvika ungdomssenter Åsheim akutt</t>
        </is>
      </c>
      <c r="D4534" s="18" t="n"/>
      <c r="E4534" s="18" t="n"/>
      <c r="F4534" s="18" t="n"/>
      <c r="G4534" s="18" t="n"/>
      <c r="H4534" s="18" t="n">
        <v>54897</v>
      </c>
      <c r="I4534" s="18" t="n">
        <v>357987</v>
      </c>
      <c r="J4534" s="19" t="n">
        <v>406037.8050749999</v>
      </c>
      <c r="K4534" s="35" t="n">
        <v>0.065</v>
      </c>
    </row>
    <row r="4535">
      <c r="A4535" s="36" t="inlineStr">
        <is>
          <t>Overtid faste</t>
        </is>
      </c>
      <c r="B4535" s="36" t="inlineStr">
        <is>
          <t>Region Nord</t>
        </is>
      </c>
      <c r="C4535" s="36" t="inlineStr">
        <is>
          <t>Røvika Åsheim</t>
        </is>
      </c>
      <c r="D4535" s="26" t="n">
        <v>98727</v>
      </c>
      <c r="E4535" s="26" t="n">
        <v>137945</v>
      </c>
      <c r="F4535" s="26" t="n">
        <v>380132</v>
      </c>
      <c r="G4535" s="26" t="n">
        <v>345431</v>
      </c>
      <c r="H4535" s="26" t="n">
        <v>215265</v>
      </c>
      <c r="I4535" s="26" t="n">
        <v>3836</v>
      </c>
      <c r="J4535" s="19" t="n">
        <v>2157.75</v>
      </c>
      <c r="K4535" s="37" t="n">
        <v>-0.25</v>
      </c>
    </row>
    <row r="4536">
      <c r="A4536" s="34" t="inlineStr">
        <is>
          <t>Overtid faste</t>
        </is>
      </c>
      <c r="B4536" s="34" t="inlineStr">
        <is>
          <t>Region Nord</t>
        </is>
      </c>
      <c r="C4536" s="34" t="inlineStr">
        <is>
          <t>Seksjon faglig støtte</t>
        </is>
      </c>
      <c r="D4536" s="18" t="n"/>
      <c r="E4536" s="18" t="n"/>
      <c r="F4536" s="18" t="n"/>
      <c r="G4536" s="18" t="n">
        <v>16761</v>
      </c>
      <c r="H4536" s="18" t="n"/>
      <c r="I4536" s="18" t="n"/>
      <c r="J4536" s="19" t="n">
        <v>0</v>
      </c>
      <c r="K4536" s="35" t="n">
        <v>0.065</v>
      </c>
    </row>
    <row r="4537">
      <c r="A4537" s="36" t="inlineStr">
        <is>
          <t>Overtid faste</t>
        </is>
      </c>
      <c r="B4537" s="36" t="inlineStr">
        <is>
          <t>Region Nord</t>
        </is>
      </c>
      <c r="C4537" s="36" t="inlineStr">
        <is>
          <t>Silsand ungdomssenter Administrasjon F4</t>
        </is>
      </c>
      <c r="D4537" s="26" t="n"/>
      <c r="E4537" s="26" t="n"/>
      <c r="F4537" s="26" t="n"/>
      <c r="G4537" s="26" t="n"/>
      <c r="H4537" s="26" t="n">
        <v>11544</v>
      </c>
      <c r="I4537" s="26" t="n">
        <v>385</v>
      </c>
      <c r="J4537" s="19" t="n">
        <v>436.6766249999999</v>
      </c>
      <c r="K4537" s="37" t="n">
        <v>0.065</v>
      </c>
    </row>
    <row r="4538">
      <c r="A4538" s="34" t="inlineStr">
        <is>
          <t>Overtid faste</t>
        </is>
      </c>
      <c r="B4538" s="34" t="inlineStr">
        <is>
          <t>Region Nord</t>
        </is>
      </c>
      <c r="C4538" s="34" t="inlineStr">
        <is>
          <t>Silsand ungdomssenter administrasjon</t>
        </is>
      </c>
      <c r="D4538" s="18" t="n">
        <v>20147</v>
      </c>
      <c r="E4538" s="18" t="n">
        <v>2885</v>
      </c>
      <c r="F4538" s="18" t="n">
        <v>8308</v>
      </c>
      <c r="G4538" s="18" t="n">
        <v>4892</v>
      </c>
      <c r="H4538" s="18" t="n"/>
      <c r="I4538" s="18" t="n"/>
      <c r="J4538" s="19" t="n">
        <v>0</v>
      </c>
      <c r="K4538" s="35" t="n">
        <v>0.065</v>
      </c>
    </row>
    <row r="4539">
      <c r="A4539" s="36" t="inlineStr">
        <is>
          <t>Overtid faste</t>
        </is>
      </c>
      <c r="B4539" s="36" t="inlineStr">
        <is>
          <t>Region Nord</t>
        </is>
      </c>
      <c r="C4539" s="36" t="inlineStr">
        <is>
          <t>Silsand ungdomssenter avdeling 1</t>
        </is>
      </c>
      <c r="D4539" s="26" t="n">
        <v>290892</v>
      </c>
      <c r="E4539" s="26" t="n">
        <v>470699</v>
      </c>
      <c r="F4539" s="26" t="n">
        <v>375075</v>
      </c>
      <c r="G4539" s="26" t="n">
        <v>836724</v>
      </c>
      <c r="H4539" s="26" t="n">
        <v>384954</v>
      </c>
      <c r="I4539" s="26" t="n">
        <v>4406</v>
      </c>
      <c r="J4539" s="19" t="n">
        <v>2478.375</v>
      </c>
      <c r="K4539" s="37" t="n">
        <v>-0.25</v>
      </c>
    </row>
    <row r="4540">
      <c r="A4540" s="34" t="inlineStr">
        <is>
          <t>Overtid faste</t>
        </is>
      </c>
      <c r="B4540" s="34" t="inlineStr">
        <is>
          <t>Region Nord</t>
        </is>
      </c>
      <c r="C4540" s="34" t="inlineStr">
        <is>
          <t>Silsand ungdomssenter miljøavdeling</t>
        </is>
      </c>
      <c r="D4540" s="18" t="n"/>
      <c r="E4540" s="18" t="n"/>
      <c r="F4540" s="18" t="n"/>
      <c r="G4540" s="18" t="n"/>
      <c r="H4540" s="18" t="n">
        <v>734080</v>
      </c>
      <c r="I4540" s="18" t="n">
        <v>1395230</v>
      </c>
      <c r="J4540" s="19" t="n">
        <v>1582504.74675</v>
      </c>
      <c r="K4540" s="35" t="n">
        <v>0.065</v>
      </c>
    </row>
    <row r="4541">
      <c r="A4541" s="36" t="inlineStr">
        <is>
          <t>Overtid faste</t>
        </is>
      </c>
      <c r="B4541" s="36" t="inlineStr">
        <is>
          <t>Region Nord</t>
        </is>
      </c>
      <c r="C4541" s="36" t="inlineStr">
        <is>
          <t>Sollia barne- og ungdomssenter adm</t>
        </is>
      </c>
      <c r="D4541" s="26" t="n">
        <v>15692</v>
      </c>
      <c r="E4541" s="26" t="n">
        <v>13933</v>
      </c>
      <c r="F4541" s="26" t="n">
        <v>16034</v>
      </c>
      <c r="G4541" s="26" t="n"/>
      <c r="H4541" s="26" t="n"/>
      <c r="I4541" s="26" t="n"/>
      <c r="J4541" s="19" t="n">
        <v>0</v>
      </c>
      <c r="K4541" s="37" t="n">
        <v>0.065</v>
      </c>
    </row>
    <row r="4542">
      <c r="A4542" s="34" t="inlineStr">
        <is>
          <t>Overtid faste</t>
        </is>
      </c>
      <c r="B4542" s="34" t="inlineStr">
        <is>
          <t>Region Nord</t>
        </is>
      </c>
      <c r="C4542" s="34" t="inlineStr">
        <is>
          <t>Sollia barne- og ungdomssenter miljøavdeling</t>
        </is>
      </c>
      <c r="D4542" s="18" t="n">
        <v>395691</v>
      </c>
      <c r="E4542" s="18" t="n">
        <v>328164</v>
      </c>
      <c r="F4542" s="18" t="n">
        <v>917835</v>
      </c>
      <c r="G4542" s="18" t="n">
        <v>390583</v>
      </c>
      <c r="H4542" s="18" t="n">
        <v>453247</v>
      </c>
      <c r="I4542" s="18" t="n">
        <v>354300</v>
      </c>
      <c r="J4542" s="19" t="n">
        <v>338982.3954371982</v>
      </c>
      <c r="K4542" s="35" t="n">
        <v>-0.02185554793051925</v>
      </c>
    </row>
    <row r="4543">
      <c r="A4543" s="36" t="inlineStr">
        <is>
          <t>Overtid faste</t>
        </is>
      </c>
      <c r="B4543" s="36" t="inlineStr">
        <is>
          <t>Region Nord</t>
        </is>
      </c>
      <c r="C4543" s="36" t="inlineStr">
        <is>
          <t>Tromsø ungdomssenter</t>
        </is>
      </c>
      <c r="D4543" s="26" t="n"/>
      <c r="E4543" s="26" t="n"/>
      <c r="F4543" s="26" t="n">
        <v>7278</v>
      </c>
      <c r="G4543" s="26" t="n">
        <v>33381</v>
      </c>
      <c r="H4543" s="26" t="n">
        <v>24340</v>
      </c>
      <c r="I4543" s="26" t="n">
        <v>11524</v>
      </c>
      <c r="J4543" s="19" t="n">
        <v>13070.8089</v>
      </c>
      <c r="K4543" s="37" t="n">
        <v>0.065</v>
      </c>
    </row>
    <row r="4544">
      <c r="A4544" s="34" t="inlineStr">
        <is>
          <t>Overtid faste</t>
        </is>
      </c>
      <c r="B4544" s="34" t="inlineStr">
        <is>
          <t>Region Nord</t>
        </is>
      </c>
      <c r="C4544" s="34" t="inlineStr">
        <is>
          <t>Tromsø ungdomssenter Fjære</t>
        </is>
      </c>
      <c r="D4544" s="18" t="n">
        <v>429993</v>
      </c>
      <c r="E4544" s="18" t="n">
        <v>551028</v>
      </c>
      <c r="F4544" s="18" t="n">
        <v>320164</v>
      </c>
      <c r="G4544" s="18" t="n">
        <v>582535</v>
      </c>
      <c r="H4544" s="18" t="n">
        <v>566691</v>
      </c>
      <c r="I4544" s="18" t="n">
        <v>593514</v>
      </c>
      <c r="J4544" s="19" t="n">
        <v>675178.8048834115</v>
      </c>
      <c r="K4544" s="35" t="n">
        <v>0.06658118048769568</v>
      </c>
    </row>
    <row r="4545">
      <c r="A4545" s="36" t="inlineStr">
        <is>
          <t>Overtid faste</t>
        </is>
      </c>
      <c r="B4545" s="36" t="inlineStr">
        <is>
          <t>Region Nord</t>
        </is>
      </c>
      <c r="C4545" s="36" t="inlineStr">
        <is>
          <t>Tromsø ungdomssenter Flo</t>
        </is>
      </c>
      <c r="D4545" s="26" t="n">
        <v>428235</v>
      </c>
      <c r="E4545" s="26" t="n">
        <v>358200</v>
      </c>
      <c r="F4545" s="26" t="n">
        <v>476450</v>
      </c>
      <c r="G4545" s="26" t="n">
        <v>532443</v>
      </c>
      <c r="H4545" s="26" t="n">
        <v>518735</v>
      </c>
      <c r="I4545" s="26" t="n">
        <v>950158</v>
      </c>
      <c r="J4545" s="19" t="n">
        <v>1306896.807829742</v>
      </c>
      <c r="K4545" s="37" t="n">
        <v>0.1727966963402938</v>
      </c>
    </row>
    <row r="4546">
      <c r="A4546" s="34" t="inlineStr">
        <is>
          <t>Overtid faste</t>
        </is>
      </c>
      <c r="B4546" s="34" t="inlineStr">
        <is>
          <t>Region Nord</t>
        </is>
      </c>
      <c r="C4546" s="34" t="inlineStr">
        <is>
          <t>Vadsø ungdomssenter administrasjon</t>
        </is>
      </c>
      <c r="D4546" s="18" t="n">
        <v>4328</v>
      </c>
      <c r="E4546" s="18" t="n"/>
      <c r="F4546" s="18" t="n"/>
      <c r="G4546" s="18" t="n"/>
      <c r="H4546" s="18" t="n"/>
      <c r="I4546" s="18" t="n"/>
      <c r="J4546" s="19" t="n">
        <v>0</v>
      </c>
      <c r="K4546" s="35" t="n">
        <v>0.065</v>
      </c>
    </row>
    <row r="4547">
      <c r="A4547" s="36" t="inlineStr">
        <is>
          <t>Overtid faste</t>
        </is>
      </c>
      <c r="B4547" s="36" t="inlineStr">
        <is>
          <t>Region Nord</t>
        </is>
      </c>
      <c r="C4547" s="36" t="inlineStr">
        <is>
          <t>Vadsø ungdomssenter avdeling 1</t>
        </is>
      </c>
      <c r="D4547" s="26" t="n">
        <v>110371</v>
      </c>
      <c r="E4547" s="26" t="n">
        <v>36472</v>
      </c>
      <c r="F4547" s="26" t="n">
        <v>319</v>
      </c>
      <c r="G4547" s="26" t="n"/>
      <c r="H4547" s="26" t="n"/>
      <c r="I4547" s="26" t="n"/>
      <c r="J4547" s="19" t="n">
        <v>0</v>
      </c>
      <c r="K4547" s="37" t="n">
        <v>0.065</v>
      </c>
    </row>
    <row r="4548">
      <c r="A4548" s="34" t="inlineStr">
        <is>
          <t>Overtid faste</t>
        </is>
      </c>
      <c r="B4548" s="34" t="inlineStr">
        <is>
          <t>Region Nord</t>
        </is>
      </c>
      <c r="C4548" s="34" t="inlineStr">
        <is>
          <t>Yttrabekken ungdomssenter administrasjon</t>
        </is>
      </c>
      <c r="D4548" s="18" t="n">
        <v>7016</v>
      </c>
      <c r="E4548" s="18" t="n"/>
      <c r="F4548" s="18" t="n"/>
      <c r="G4548" s="18" t="n"/>
      <c r="H4548" s="18" t="n"/>
      <c r="I4548" s="18" t="n"/>
      <c r="J4548" s="19" t="n">
        <v>0</v>
      </c>
      <c r="K4548" s="35" t="n">
        <v>0.065</v>
      </c>
    </row>
    <row r="4549">
      <c r="A4549" s="36" t="inlineStr">
        <is>
          <t>Overtid faste</t>
        </is>
      </c>
      <c r="B4549" s="36" t="inlineStr">
        <is>
          <t>Region Nord</t>
        </is>
      </c>
      <c r="C4549" s="36" t="inlineStr">
        <is>
          <t>Yttrabekken ungdomssenter avdeling 1</t>
        </is>
      </c>
      <c r="D4549" s="26" t="n">
        <v>581647</v>
      </c>
      <c r="E4549" s="26" t="n">
        <v>643038</v>
      </c>
      <c r="F4549" s="26" t="n">
        <v>571210</v>
      </c>
      <c r="G4549" s="26" t="n">
        <v>689583</v>
      </c>
      <c r="H4549" s="26" t="n">
        <v>489909</v>
      </c>
      <c r="I4549" s="26" t="n">
        <v>759034</v>
      </c>
      <c r="J4549" s="19" t="n">
        <v>844309.9843859937</v>
      </c>
      <c r="K4549" s="37" t="n">
        <v>0.05467911844727258</v>
      </c>
    </row>
    <row r="4550">
      <c r="A4550" s="34" t="inlineStr">
        <is>
          <t>Overtid faste</t>
        </is>
      </c>
      <c r="B4550" s="34" t="inlineStr">
        <is>
          <t>Region Sør</t>
        </is>
      </c>
      <c r="C4550" s="34" t="inlineStr">
        <is>
          <t>Agder ungdomshjem</t>
        </is>
      </c>
      <c r="D4550" s="18" t="n">
        <v>28479</v>
      </c>
      <c r="E4550" s="18" t="n">
        <v>9255</v>
      </c>
      <c r="F4550" s="18" t="n">
        <v>15629</v>
      </c>
      <c r="G4550" s="18" t="n">
        <v>43237</v>
      </c>
      <c r="H4550" s="18" t="n">
        <v>37277</v>
      </c>
      <c r="I4550" s="18" t="n">
        <v>4802</v>
      </c>
      <c r="J4550" s="19" t="n">
        <v>2701.125</v>
      </c>
      <c r="K4550" s="35" t="n">
        <v>-0.25</v>
      </c>
    </row>
    <row r="4551">
      <c r="A4551" s="36" t="inlineStr">
        <is>
          <t>Overtid faste</t>
        </is>
      </c>
      <c r="B4551" s="36" t="inlineStr">
        <is>
          <t>Region Sør</t>
        </is>
      </c>
      <c r="C4551" s="36" t="inlineStr">
        <is>
          <t>Agder ungdomssenter</t>
        </is>
      </c>
      <c r="D4551" s="26" t="n">
        <v>6107</v>
      </c>
      <c r="E4551" s="26" t="n"/>
      <c r="F4551" s="26" t="n"/>
      <c r="G4551" s="26" t="n">
        <v>30032</v>
      </c>
      <c r="H4551" s="26" t="n">
        <v>27045</v>
      </c>
      <c r="I4551" s="26" t="n">
        <v>1185</v>
      </c>
      <c r="J4551" s="19" t="n">
        <v>666.5625</v>
      </c>
      <c r="K4551" s="37" t="n">
        <v>-0.25</v>
      </c>
    </row>
    <row r="4552">
      <c r="A4552" s="34" t="inlineStr">
        <is>
          <t>Overtid faste</t>
        </is>
      </c>
      <c r="B4552" s="34" t="inlineStr">
        <is>
          <t>Region Sør</t>
        </is>
      </c>
      <c r="C4552" s="34" t="inlineStr">
        <is>
          <t>Avdeling Barkåker</t>
        </is>
      </c>
      <c r="D4552" s="18" t="n">
        <v>551472</v>
      </c>
      <c r="E4552" s="18" t="n"/>
      <c r="F4552" s="18" t="n"/>
      <c r="G4552" s="18" t="n"/>
      <c r="H4552" s="18" t="n"/>
      <c r="I4552" s="18" t="n"/>
      <c r="J4552" s="19" t="n">
        <v>0</v>
      </c>
      <c r="K4552" s="35" t="n">
        <v>0.065</v>
      </c>
    </row>
    <row r="4553">
      <c r="A4553" s="36" t="inlineStr">
        <is>
          <t>Overtid faste</t>
        </is>
      </c>
      <c r="B4553" s="36" t="inlineStr">
        <is>
          <t>Region Sør</t>
        </is>
      </c>
      <c r="C4553" s="36" t="inlineStr">
        <is>
          <t>Avdeling Forvaltning og Økonomioppfølging</t>
        </is>
      </c>
      <c r="D4553" s="26" t="n">
        <v>655</v>
      </c>
      <c r="E4553" s="26" t="n">
        <v>1674</v>
      </c>
      <c r="F4553" s="26" t="n"/>
      <c r="G4553" s="26" t="n"/>
      <c r="H4553" s="26" t="n"/>
      <c r="I4553" s="26" t="n">
        <v>26820</v>
      </c>
      <c r="J4553" s="19" t="n">
        <v>41906.25</v>
      </c>
      <c r="K4553" s="37" t="n">
        <v>0.25</v>
      </c>
    </row>
    <row r="4554">
      <c r="A4554" s="34" t="inlineStr">
        <is>
          <t>Overtid faste</t>
        </is>
      </c>
      <c r="B4554" s="34" t="inlineStr">
        <is>
          <t>Region Sør</t>
        </is>
      </c>
      <c r="C4554" s="34" t="inlineStr">
        <is>
          <t>Avdeling Furuly</t>
        </is>
      </c>
      <c r="D4554" s="18" t="n">
        <v>707428</v>
      </c>
      <c r="E4554" s="18" t="n">
        <v>248983</v>
      </c>
      <c r="F4554" s="18" t="n">
        <v>13707</v>
      </c>
      <c r="G4554" s="18" t="n"/>
      <c r="H4554" s="18" t="n"/>
      <c r="I4554" s="18" t="n"/>
      <c r="J4554" s="19" t="n">
        <v>0</v>
      </c>
      <c r="K4554" s="35" t="n">
        <v>0.065</v>
      </c>
    </row>
    <row r="4555">
      <c r="A4555" s="36" t="inlineStr">
        <is>
          <t>Overtid faste</t>
        </is>
      </c>
      <c r="B4555" s="36" t="inlineStr">
        <is>
          <t>Region Sør</t>
        </is>
      </c>
      <c r="C4555" s="36" t="inlineStr">
        <is>
          <t>Avdeling Geithus</t>
        </is>
      </c>
      <c r="D4555" s="26" t="n">
        <v>260173</v>
      </c>
      <c r="E4555" s="26" t="n">
        <v>697591</v>
      </c>
      <c r="F4555" s="26" t="n">
        <v>1245032</v>
      </c>
      <c r="G4555" s="26" t="n">
        <v>108618</v>
      </c>
      <c r="H4555" s="26" t="n"/>
      <c r="I4555" s="26" t="n"/>
      <c r="J4555" s="19" t="n">
        <v>0</v>
      </c>
      <c r="K4555" s="37" t="n">
        <v>0.065</v>
      </c>
    </row>
    <row r="4556">
      <c r="A4556" s="34" t="inlineStr">
        <is>
          <t>Overtid faste</t>
        </is>
      </c>
      <c r="B4556" s="34" t="inlineStr">
        <is>
          <t>Region Sør</t>
        </is>
      </c>
      <c r="C4556" s="34" t="inlineStr">
        <is>
          <t>Avdeling Gemini</t>
        </is>
      </c>
      <c r="D4556" s="18" t="n">
        <v>214726</v>
      </c>
      <c r="E4556" s="18" t="n">
        <v>435093</v>
      </c>
      <c r="F4556" s="18" t="n">
        <v>19262</v>
      </c>
      <c r="G4556" s="18" t="n"/>
      <c r="H4556" s="18" t="n"/>
      <c r="I4556" s="18" t="n"/>
      <c r="J4556" s="19" t="n">
        <v>0</v>
      </c>
      <c r="K4556" s="35" t="n">
        <v>0.065</v>
      </c>
    </row>
    <row r="4557">
      <c r="A4557" s="36" t="inlineStr">
        <is>
          <t>Overtid faste</t>
        </is>
      </c>
      <c r="B4557" s="36" t="inlineStr">
        <is>
          <t>Region Sør</t>
        </is>
      </c>
      <c r="C4557" s="36" t="inlineStr">
        <is>
          <t>Avdeling Kjørbekk</t>
        </is>
      </c>
      <c r="D4557" s="26" t="n">
        <v>173255</v>
      </c>
      <c r="E4557" s="26" t="n">
        <v>191797</v>
      </c>
      <c r="F4557" s="26" t="n">
        <v>430956</v>
      </c>
      <c r="G4557" s="26" t="n">
        <v>726049</v>
      </c>
      <c r="H4557" s="26" t="n">
        <v>997116</v>
      </c>
      <c r="I4557" s="26" t="n">
        <v>830504</v>
      </c>
      <c r="J4557" s="19" t="n">
        <v>1297662.5</v>
      </c>
      <c r="K4557" s="37" t="n">
        <v>0.25</v>
      </c>
    </row>
    <row r="4558">
      <c r="A4558" s="34" t="inlineStr">
        <is>
          <t>Overtid faste</t>
        </is>
      </c>
      <c r="B4558" s="34" t="inlineStr">
        <is>
          <t>Region Sør</t>
        </is>
      </c>
      <c r="C4558" s="34" t="inlineStr">
        <is>
          <t>Avdeling Larønningen</t>
        </is>
      </c>
      <c r="D4558" s="18" t="n">
        <v>332806</v>
      </c>
      <c r="E4558" s="18" t="n">
        <v>437570</v>
      </c>
      <c r="F4558" s="18" t="n"/>
      <c r="G4558" s="18" t="n"/>
      <c r="H4558" s="18" t="n"/>
      <c r="I4558" s="18" t="n"/>
      <c r="J4558" s="19" t="n">
        <v>0</v>
      </c>
      <c r="K4558" s="35" t="n">
        <v>0.065</v>
      </c>
    </row>
    <row r="4559">
      <c r="A4559" s="36" t="inlineStr">
        <is>
          <t>Overtid faste</t>
        </is>
      </c>
      <c r="B4559" s="36" t="inlineStr">
        <is>
          <t>Region Sør</t>
        </is>
      </c>
      <c r="C4559" s="36" t="inlineStr">
        <is>
          <t>Avdeling Miljøheimen</t>
        </is>
      </c>
      <c r="D4559" s="26" t="n">
        <v>393151</v>
      </c>
      <c r="E4559" s="26" t="n">
        <v>458338</v>
      </c>
      <c r="F4559" s="26" t="n">
        <v>744321</v>
      </c>
      <c r="G4559" s="26" t="n">
        <v>677103</v>
      </c>
      <c r="H4559" s="26" t="n">
        <v>877195</v>
      </c>
      <c r="I4559" s="26" t="n">
        <v>687477</v>
      </c>
      <c r="J4559" s="19" t="n">
        <v>859681.7128559196</v>
      </c>
      <c r="K4559" s="37" t="n">
        <v>0.1182521908303169</v>
      </c>
    </row>
    <row r="4560">
      <c r="A4560" s="34" t="inlineStr">
        <is>
          <t>Overtid faste</t>
        </is>
      </c>
      <c r="B4560" s="34" t="inlineStr">
        <is>
          <t>Region Sør</t>
        </is>
      </c>
      <c r="C4560" s="34" t="inlineStr">
        <is>
          <t>Avdeling Nes</t>
        </is>
      </c>
      <c r="D4560" s="18" t="n">
        <v>142331</v>
      </c>
      <c r="E4560" s="18" t="n">
        <v>183244</v>
      </c>
      <c r="F4560" s="18" t="n">
        <v>440766</v>
      </c>
      <c r="G4560" s="18" t="n">
        <v>191491</v>
      </c>
      <c r="H4560" s="18" t="n">
        <v>507921</v>
      </c>
      <c r="I4560" s="18" t="n">
        <v>264255</v>
      </c>
      <c r="J4560" s="19" t="n">
        <v>338464.1681919585</v>
      </c>
      <c r="K4560" s="35" t="n">
        <v>0.1317349882040519</v>
      </c>
    </row>
    <row r="4561">
      <c r="A4561" s="36" t="inlineStr">
        <is>
          <t>Overtid faste</t>
        </is>
      </c>
      <c r="B4561" s="36" t="inlineStr">
        <is>
          <t>Region Sør</t>
        </is>
      </c>
      <c r="C4561" s="36" t="inlineStr">
        <is>
          <t>Avdeling Nyli</t>
        </is>
      </c>
      <c r="D4561" s="26" t="n">
        <v>97234</v>
      </c>
      <c r="E4561" s="26" t="n">
        <v>62359</v>
      </c>
      <c r="F4561" s="26" t="n">
        <v>4919</v>
      </c>
      <c r="G4561" s="26" t="n"/>
      <c r="H4561" s="26" t="n"/>
      <c r="I4561" s="26" t="n"/>
      <c r="J4561" s="19" t="n">
        <v>0</v>
      </c>
      <c r="K4561" s="37" t="n">
        <v>0.065</v>
      </c>
    </row>
    <row r="4562">
      <c r="A4562" s="34" t="inlineStr">
        <is>
          <t>Overtid faste</t>
        </is>
      </c>
      <c r="B4562" s="34" t="inlineStr">
        <is>
          <t>Region Sør</t>
        </is>
      </c>
      <c r="C4562" s="34" t="inlineStr">
        <is>
          <t>Avdeling Orion</t>
        </is>
      </c>
      <c r="D4562" s="18" t="n">
        <v>290884</v>
      </c>
      <c r="E4562" s="18" t="n">
        <v>325748</v>
      </c>
      <c r="F4562" s="18" t="n">
        <v>24628</v>
      </c>
      <c r="G4562" s="18" t="n"/>
      <c r="H4562" s="18" t="n"/>
      <c r="I4562" s="18" t="n"/>
      <c r="J4562" s="19" t="n">
        <v>0</v>
      </c>
      <c r="K4562" s="35" t="n">
        <v>0.065</v>
      </c>
    </row>
    <row r="4563">
      <c r="A4563" s="36" t="inlineStr">
        <is>
          <t>Overtid faste</t>
        </is>
      </c>
      <c r="B4563" s="36" t="inlineStr">
        <is>
          <t>Region Sør</t>
        </is>
      </c>
      <c r="C4563" s="36" t="inlineStr">
        <is>
          <t>Avdeling Skomrak</t>
        </is>
      </c>
      <c r="D4563" s="26" t="n">
        <v>630289</v>
      </c>
      <c r="E4563" s="26" t="n">
        <v>445218</v>
      </c>
      <c r="F4563" s="26" t="n">
        <v>371597</v>
      </c>
      <c r="G4563" s="26" t="n">
        <v>512710</v>
      </c>
      <c r="H4563" s="26" t="n">
        <v>593939</v>
      </c>
      <c r="I4563" s="26" t="n">
        <v>478851</v>
      </c>
      <c r="J4563" s="19" t="n">
        <v>429007.2850614285</v>
      </c>
      <c r="K4563" s="37" t="n">
        <v>-0.05347490196921501</v>
      </c>
    </row>
    <row r="4564">
      <c r="A4564" s="34" t="inlineStr">
        <is>
          <t>Overtid faste</t>
        </is>
      </c>
      <c r="B4564" s="34" t="inlineStr">
        <is>
          <t>Region Sør</t>
        </is>
      </c>
      <c r="C4564" s="34" t="inlineStr">
        <is>
          <t>Avdeling Vestre Kjenner</t>
        </is>
      </c>
      <c r="D4564" s="18" t="n">
        <v>292177</v>
      </c>
      <c r="E4564" s="18" t="n">
        <v>419165</v>
      </c>
      <c r="F4564" s="18" t="n">
        <v>129678</v>
      </c>
      <c r="G4564" s="18" t="n"/>
      <c r="H4564" s="18" t="n"/>
      <c r="I4564" s="18" t="n"/>
      <c r="J4564" s="19" t="n">
        <v>0</v>
      </c>
      <c r="K4564" s="35" t="n">
        <v>0.065</v>
      </c>
    </row>
    <row r="4565">
      <c r="A4565" s="36" t="inlineStr">
        <is>
          <t>Overtid faste</t>
        </is>
      </c>
      <c r="B4565" s="36" t="inlineStr">
        <is>
          <t>Region Sør</t>
        </is>
      </c>
      <c r="C4565" s="36" t="inlineStr">
        <is>
          <t>BVT behandling ungdom Adm</t>
        </is>
      </c>
      <c r="D4565" s="26" t="n">
        <v>3308</v>
      </c>
      <c r="E4565" s="26" t="n">
        <v>4548</v>
      </c>
      <c r="F4565" s="26" t="n">
        <v>441</v>
      </c>
      <c r="G4565" s="26" t="n"/>
      <c r="H4565" s="26" t="n"/>
      <c r="I4565" s="26" t="n"/>
      <c r="J4565" s="19" t="n">
        <v>0</v>
      </c>
      <c r="K4565" s="37" t="n">
        <v>0.065</v>
      </c>
    </row>
    <row r="4566">
      <c r="A4566" s="34" t="inlineStr">
        <is>
          <t>Overtid faste</t>
        </is>
      </c>
      <c r="B4566" s="34" t="inlineStr">
        <is>
          <t>Region Sør</t>
        </is>
      </c>
      <c r="C4566" s="34" t="inlineStr">
        <is>
          <t>Barkåker ungdomssenter akutt.</t>
        </is>
      </c>
      <c r="D4566" s="18" t="n"/>
      <c r="E4566" s="18" t="n">
        <v>17402</v>
      </c>
      <c r="F4566" s="18" t="n">
        <v>89790</v>
      </c>
      <c r="G4566" s="18" t="n">
        <v>92965</v>
      </c>
      <c r="H4566" s="18" t="n">
        <v>68701</v>
      </c>
      <c r="I4566" s="18" t="n">
        <v>18110</v>
      </c>
      <c r="J4566" s="19" t="n">
        <v>18474.72971155958</v>
      </c>
      <c r="K4566" s="35" t="n">
        <v>0.01001964629162644</v>
      </c>
    </row>
    <row r="4567">
      <c r="A4567" s="36" t="inlineStr">
        <is>
          <t>Overtid faste</t>
        </is>
      </c>
      <c r="B4567" s="36" t="inlineStr">
        <is>
          <t>Region Sør</t>
        </is>
      </c>
      <c r="C4567" s="36" t="inlineStr">
        <is>
          <t>Barkåker.</t>
        </is>
      </c>
      <c r="D4567" s="26" t="n"/>
      <c r="E4567" s="26" t="n">
        <v>946642</v>
      </c>
      <c r="F4567" s="26" t="n">
        <v>2379868</v>
      </c>
      <c r="G4567" s="26" t="n">
        <v>1009518</v>
      </c>
      <c r="H4567" s="26" t="n">
        <v>1519435</v>
      </c>
      <c r="I4567" s="26" t="n">
        <v>563270</v>
      </c>
      <c r="J4567" s="19" t="n">
        <v>434492.2628098882</v>
      </c>
      <c r="K4567" s="37" t="n">
        <v>-0.121720566620493</v>
      </c>
    </row>
    <row r="4568">
      <c r="A4568" s="34" t="inlineStr">
        <is>
          <t>Overtid faste</t>
        </is>
      </c>
      <c r="B4568" s="34" t="inlineStr">
        <is>
          <t>Region Sør</t>
        </is>
      </c>
      <c r="C4568" s="34" t="inlineStr">
        <is>
          <t>Buskerud ungdomshjem Adm</t>
        </is>
      </c>
      <c r="D4568" s="18" t="n">
        <v>513</v>
      </c>
      <c r="E4568" s="18" t="n">
        <v>5127</v>
      </c>
      <c r="F4568" s="18" t="n"/>
      <c r="G4568" s="18" t="n"/>
      <c r="H4568" s="18" t="n"/>
      <c r="I4568" s="18" t="n"/>
      <c r="J4568" s="19" t="n">
        <v>0</v>
      </c>
      <c r="K4568" s="35" t="n">
        <v>0.065</v>
      </c>
    </row>
    <row r="4569">
      <c r="A4569" s="36" t="inlineStr">
        <is>
          <t>Overtid faste</t>
        </is>
      </c>
      <c r="B4569" s="36" t="inlineStr">
        <is>
          <t>Region Sør</t>
        </is>
      </c>
      <c r="C4569" s="36" t="inlineStr">
        <is>
          <t>Furuly</t>
        </is>
      </c>
      <c r="D4569" s="26" t="n"/>
      <c r="E4569" s="26" t="n"/>
      <c r="F4569" s="26" t="n">
        <v>162780</v>
      </c>
      <c r="G4569" s="26" t="n">
        <v>340384</v>
      </c>
      <c r="H4569" s="26" t="n">
        <v>675098</v>
      </c>
      <c r="I4569" s="26" t="n">
        <v>151345</v>
      </c>
      <c r="J4569" s="19" t="n">
        <v>171659.282625</v>
      </c>
      <c r="K4569" s="37" t="n">
        <v>0.065</v>
      </c>
    </row>
    <row r="4570">
      <c r="A4570" s="34" t="inlineStr">
        <is>
          <t>Overtid faste</t>
        </is>
      </c>
      <c r="B4570" s="34" t="inlineStr">
        <is>
          <t>Region Sør</t>
        </is>
      </c>
      <c r="C4570" s="34" t="inlineStr">
        <is>
          <t>Grøterød ungdomshjem</t>
        </is>
      </c>
      <c r="D4570" s="18" t="n"/>
      <c r="E4570" s="18" t="n">
        <v>70877</v>
      </c>
      <c r="F4570" s="18" t="n"/>
      <c r="G4570" s="18" t="n"/>
      <c r="H4570" s="18" t="n"/>
      <c r="I4570" s="18" t="n">
        <v>12238</v>
      </c>
      <c r="J4570" s="19" t="n">
        <v>6883.875</v>
      </c>
      <c r="K4570" s="35" t="n">
        <v>-0.25</v>
      </c>
    </row>
    <row r="4571">
      <c r="A4571" s="36" t="inlineStr">
        <is>
          <t>Overtid faste</t>
        </is>
      </c>
      <c r="B4571" s="36" t="inlineStr">
        <is>
          <t>Region Sør</t>
        </is>
      </c>
      <c r="C4571" s="36" t="inlineStr">
        <is>
          <t>Ilaug</t>
        </is>
      </c>
      <c r="D4571" s="26" t="n">
        <v>258162</v>
      </c>
      <c r="E4571" s="26" t="n">
        <v>302071</v>
      </c>
      <c r="F4571" s="26" t="n"/>
      <c r="G4571" s="26" t="n"/>
      <c r="H4571" s="26" t="n"/>
      <c r="I4571" s="26" t="n"/>
      <c r="J4571" s="19" t="n">
        <v>0</v>
      </c>
      <c r="K4571" s="37" t="n">
        <v>0.065</v>
      </c>
    </row>
    <row r="4572">
      <c r="A4572" s="34" t="inlineStr">
        <is>
          <t>Overtid faste</t>
        </is>
      </c>
      <c r="B4572" s="34" t="inlineStr">
        <is>
          <t>Region Sør</t>
        </is>
      </c>
      <c r="C4572" s="34" t="inlineStr">
        <is>
          <t>Justøya</t>
        </is>
      </c>
      <c r="D4572" s="18" t="n"/>
      <c r="E4572" s="18" t="n"/>
      <c r="F4572" s="18" t="n"/>
      <c r="G4572" s="18" t="n"/>
      <c r="H4572" s="18" t="n"/>
      <c r="I4572" s="18" t="n">
        <v>235185</v>
      </c>
      <c r="J4572" s="19" t="n">
        <v>266752.7066249999</v>
      </c>
      <c r="K4572" s="35" t="n">
        <v>0.065</v>
      </c>
    </row>
    <row r="4573">
      <c r="A4573" s="36" t="inlineStr">
        <is>
          <t>Overtid faste</t>
        </is>
      </c>
      <c r="B4573" s="36" t="inlineStr">
        <is>
          <t>Region Sør</t>
        </is>
      </c>
      <c r="C4573" s="36" t="inlineStr">
        <is>
          <t>Justøya behandling ungdom</t>
        </is>
      </c>
      <c r="D4573" s="26" t="n"/>
      <c r="E4573" s="26" t="n"/>
      <c r="F4573" s="26" t="n"/>
      <c r="G4573" s="26" t="n"/>
      <c r="H4573" s="26" t="n"/>
      <c r="I4573" s="26" t="n">
        <v>55016</v>
      </c>
      <c r="J4573" s="19" t="n">
        <v>62400.52259999999</v>
      </c>
      <c r="K4573" s="37" t="n">
        <v>0.065</v>
      </c>
    </row>
    <row r="4574">
      <c r="A4574" s="34" t="inlineStr">
        <is>
          <t>Overtid faste</t>
        </is>
      </c>
      <c r="B4574" s="34" t="inlineStr">
        <is>
          <t>Region Sør</t>
        </is>
      </c>
      <c r="C4574" s="34" t="inlineStr">
        <is>
          <t>Kantum</t>
        </is>
      </c>
      <c r="D4574" s="18" t="n">
        <v>148506</v>
      </c>
      <c r="E4574" s="18" t="n">
        <v>253986</v>
      </c>
      <c r="F4574" s="18" t="n">
        <v>247577</v>
      </c>
      <c r="G4574" s="18" t="n">
        <v>241438</v>
      </c>
      <c r="H4574" s="18" t="n">
        <v>316462</v>
      </c>
      <c r="I4574" s="18" t="n">
        <v>186243</v>
      </c>
      <c r="J4574" s="19" t="n">
        <v>203898.646018347</v>
      </c>
      <c r="K4574" s="35" t="n">
        <v>0.04632642028107514</v>
      </c>
    </row>
    <row r="4575">
      <c r="A4575" s="36" t="inlineStr">
        <is>
          <t>Overtid faste</t>
        </is>
      </c>
      <c r="B4575" s="36" t="inlineStr">
        <is>
          <t>Region Sør</t>
        </is>
      </c>
      <c r="C4575" s="36" t="inlineStr">
        <is>
          <t>Katfoss</t>
        </is>
      </c>
      <c r="D4575" s="26" t="n"/>
      <c r="E4575" s="26" t="n"/>
      <c r="F4575" s="26" t="n"/>
      <c r="G4575" s="26" t="n"/>
      <c r="H4575" s="26" t="n">
        <v>468813</v>
      </c>
      <c r="I4575" s="26" t="n">
        <v>641785</v>
      </c>
      <c r="J4575" s="19" t="n">
        <v>727928.5916249999</v>
      </c>
      <c r="K4575" s="37" t="n">
        <v>0.065</v>
      </c>
    </row>
    <row r="4576">
      <c r="A4576" s="34" t="inlineStr">
        <is>
          <t>Overtid faste</t>
        </is>
      </c>
      <c r="B4576" s="34" t="inlineStr">
        <is>
          <t>Region Sør</t>
        </is>
      </c>
      <c r="C4576" s="34" t="inlineStr">
        <is>
          <t>Katfoss behandling ungdom</t>
        </is>
      </c>
      <c r="D4576" s="18" t="n"/>
      <c r="E4576" s="18" t="n"/>
      <c r="F4576" s="18" t="n"/>
      <c r="G4576" s="18" t="n"/>
      <c r="H4576" s="18" t="n">
        <v>62223</v>
      </c>
      <c r="I4576" s="18" t="n">
        <v>3456</v>
      </c>
      <c r="J4576" s="19" t="n">
        <v>3919.881599999999</v>
      </c>
      <c r="K4576" s="35" t="n">
        <v>0.065</v>
      </c>
    </row>
    <row r="4577">
      <c r="A4577" s="36" t="inlineStr">
        <is>
          <t>Overtid faste</t>
        </is>
      </c>
      <c r="B4577" s="36" t="inlineStr">
        <is>
          <t>Region Sør</t>
        </is>
      </c>
      <c r="C4577" s="36" t="inlineStr">
        <is>
          <t>Klokkerhuset</t>
        </is>
      </c>
      <c r="D4577" s="26" t="n">
        <v>1491050</v>
      </c>
      <c r="E4577" s="26" t="n">
        <v>1161212</v>
      </c>
      <c r="F4577" s="26" t="n">
        <v>2071891</v>
      </c>
      <c r="G4577" s="26" t="n">
        <v>1086101</v>
      </c>
      <c r="H4577" s="26" t="n">
        <v>1231071</v>
      </c>
      <c r="I4577" s="26" t="n">
        <v>1453637</v>
      </c>
      <c r="J4577" s="19" t="n">
        <v>1438935.984256544</v>
      </c>
      <c r="K4577" s="37" t="n">
        <v>-0.005069482169485218</v>
      </c>
    </row>
    <row r="4578">
      <c r="A4578" s="34" t="inlineStr">
        <is>
          <t>Overtid faste</t>
        </is>
      </c>
      <c r="B4578" s="34" t="inlineStr">
        <is>
          <t>Region Sør</t>
        </is>
      </c>
      <c r="C4578" s="34" t="inlineStr">
        <is>
          <t>Klokkerhuset ungdomssenter akutt</t>
        </is>
      </c>
      <c r="D4578" s="18" t="n">
        <v>8028</v>
      </c>
      <c r="E4578" s="18" t="n">
        <v>47986</v>
      </c>
      <c r="F4578" s="18" t="n">
        <v>9169</v>
      </c>
      <c r="G4578" s="18" t="n">
        <v>12956</v>
      </c>
      <c r="H4578" s="18" t="n">
        <v>10778</v>
      </c>
      <c r="I4578" s="18" t="n">
        <v>4319</v>
      </c>
      <c r="J4578" s="19" t="n">
        <v>3370.493858566976</v>
      </c>
      <c r="K4578" s="35" t="n">
        <v>-0.1166045296849568</v>
      </c>
    </row>
    <row r="4579">
      <c r="A4579" s="36" t="inlineStr">
        <is>
          <t>Overtid faste</t>
        </is>
      </c>
      <c r="B4579" s="36" t="inlineStr">
        <is>
          <t>Region Sør</t>
        </is>
      </c>
      <c r="C4579" s="36" t="inlineStr">
        <is>
          <t>Knuten</t>
        </is>
      </c>
      <c r="D4579" s="26" t="n"/>
      <c r="E4579" s="26" t="n"/>
      <c r="F4579" s="26" t="n">
        <v>433378</v>
      </c>
      <c r="G4579" s="26" t="n">
        <v>253142</v>
      </c>
      <c r="H4579" s="26" t="n">
        <v>167739</v>
      </c>
      <c r="I4579" s="26" t="n">
        <v>429268</v>
      </c>
      <c r="J4579" s="19" t="n">
        <v>486886.4972999999</v>
      </c>
      <c r="K4579" s="37" t="n">
        <v>0.065</v>
      </c>
    </row>
    <row r="4580">
      <c r="A4580" s="34" t="inlineStr">
        <is>
          <t>Overtid faste</t>
        </is>
      </c>
      <c r="B4580" s="34" t="inlineStr">
        <is>
          <t>Region Sør</t>
        </is>
      </c>
      <c r="C4580" s="34" t="inlineStr">
        <is>
          <t>Lerketoppen</t>
        </is>
      </c>
      <c r="D4580" s="18" t="n"/>
      <c r="E4580" s="18" t="n"/>
      <c r="F4580" s="18" t="n"/>
      <c r="G4580" s="18" t="n"/>
      <c r="H4580" s="18" t="n">
        <v>27167</v>
      </c>
      <c r="I4580" s="18" t="n">
        <v>666421</v>
      </c>
      <c r="J4580" s="19" t="n">
        <v>755871.3587249998</v>
      </c>
      <c r="K4580" s="35" t="n">
        <v>0.065</v>
      </c>
    </row>
    <row r="4581">
      <c r="A4581" s="36" t="inlineStr">
        <is>
          <t>Overtid faste</t>
        </is>
      </c>
      <c r="B4581" s="36" t="inlineStr">
        <is>
          <t>Region Sør</t>
        </is>
      </c>
      <c r="C4581" s="36" t="inlineStr">
        <is>
          <t>Lunde behandlingssenter</t>
        </is>
      </c>
      <c r="D4581" s="26" t="n">
        <v>1473371</v>
      </c>
      <c r="E4581" s="26" t="n">
        <v>1310046</v>
      </c>
      <c r="F4581" s="26" t="n">
        <v>1299586</v>
      </c>
      <c r="G4581" s="26" t="n">
        <v>982754</v>
      </c>
      <c r="H4581" s="26" t="n">
        <v>679470</v>
      </c>
      <c r="I4581" s="26" t="n">
        <v>1029907</v>
      </c>
      <c r="J4581" s="19" t="n">
        <v>892467.4117698112</v>
      </c>
      <c r="K4581" s="37" t="n">
        <v>-0.06911254314214499</v>
      </c>
    </row>
    <row r="4582">
      <c r="A4582" s="34" t="inlineStr">
        <is>
          <t>Overtid faste</t>
        </is>
      </c>
      <c r="B4582" s="34" t="inlineStr">
        <is>
          <t>Region Sør</t>
        </is>
      </c>
      <c r="C4582" s="34" t="inlineStr">
        <is>
          <t>Lunde behandlingssenter adm.</t>
        </is>
      </c>
      <c r="D4582" s="18" t="n">
        <v>3857</v>
      </c>
      <c r="E4582" s="18" t="n">
        <v>5616</v>
      </c>
      <c r="F4582" s="18" t="n">
        <v>7684</v>
      </c>
      <c r="G4582" s="18" t="n"/>
      <c r="H4582" s="18" t="n">
        <v>11527</v>
      </c>
      <c r="I4582" s="18" t="n">
        <v>599</v>
      </c>
      <c r="J4582" s="19" t="n">
        <v>336.9375</v>
      </c>
      <c r="K4582" s="35" t="n">
        <v>-0.25</v>
      </c>
    </row>
    <row r="4583">
      <c r="A4583" s="36" t="inlineStr">
        <is>
          <t>Overtid faste</t>
        </is>
      </c>
      <c r="B4583" s="36" t="inlineStr">
        <is>
          <t>Region Sør</t>
        </is>
      </c>
      <c r="C4583" s="36" t="inlineStr">
        <is>
          <t>Lågen ungdomshjem</t>
        </is>
      </c>
      <c r="D4583" s="26" t="n"/>
      <c r="E4583" s="26" t="n"/>
      <c r="F4583" s="26" t="n">
        <v>25482</v>
      </c>
      <c r="G4583" s="26" t="n"/>
      <c r="H4583" s="26" t="n">
        <v>390</v>
      </c>
      <c r="I4583" s="26" t="n">
        <v>10</v>
      </c>
      <c r="J4583" s="19" t="n">
        <v>11.34225</v>
      </c>
      <c r="K4583" s="37" t="n">
        <v>0.065</v>
      </c>
    </row>
    <row r="4584">
      <c r="A4584" s="34" t="inlineStr">
        <is>
          <t>Overtid faste</t>
        </is>
      </c>
      <c r="B4584" s="34" t="inlineStr">
        <is>
          <t>Region Sør</t>
        </is>
      </c>
      <c r="C4584" s="34" t="inlineStr">
        <is>
          <t>Mynten</t>
        </is>
      </c>
      <c r="D4584" s="18" t="n"/>
      <c r="E4584" s="18" t="n"/>
      <c r="F4584" s="18" t="n">
        <v>463087</v>
      </c>
      <c r="G4584" s="18" t="n">
        <v>238771</v>
      </c>
      <c r="H4584" s="18" t="n">
        <v>205204</v>
      </c>
      <c r="I4584" s="18" t="n">
        <v>460626</v>
      </c>
      <c r="J4584" s="19" t="n">
        <v>522453.5248499999</v>
      </c>
      <c r="K4584" s="35" t="n">
        <v>0.065</v>
      </c>
    </row>
    <row r="4585">
      <c r="A4585" s="36" t="inlineStr">
        <is>
          <t>Overtid faste</t>
        </is>
      </c>
      <c r="B4585" s="36" t="inlineStr">
        <is>
          <t>Region Sør</t>
        </is>
      </c>
      <c r="C4585" s="36" t="inlineStr">
        <is>
          <t>Nye Toppen</t>
        </is>
      </c>
      <c r="D4585" s="26" t="n">
        <v>199530</v>
      </c>
      <c r="E4585" s="26" t="n">
        <v>203456</v>
      </c>
      <c r="F4585" s="26" t="n">
        <v>183153</v>
      </c>
      <c r="G4585" s="26" t="n">
        <v>649227</v>
      </c>
      <c r="H4585" s="26" t="n">
        <v>614824</v>
      </c>
      <c r="I4585" s="26" t="n">
        <v>611034</v>
      </c>
      <c r="J4585" s="19" t="n">
        <v>954740.625</v>
      </c>
      <c r="K4585" s="37" t="n">
        <v>0.25</v>
      </c>
    </row>
    <row r="4586">
      <c r="A4586" s="34" t="inlineStr">
        <is>
          <t>Overtid faste</t>
        </is>
      </c>
      <c r="B4586" s="34" t="inlineStr">
        <is>
          <t>Region Sør</t>
        </is>
      </c>
      <c r="C4586" s="34" t="inlineStr">
        <is>
          <t>Nyhuset</t>
        </is>
      </c>
      <c r="D4586" s="18" t="n"/>
      <c r="E4586" s="18" t="n"/>
      <c r="F4586" s="18" t="n"/>
      <c r="G4586" s="18" t="n">
        <v>692914</v>
      </c>
      <c r="H4586" s="18" t="n">
        <v>734921</v>
      </c>
      <c r="I4586" s="18" t="n">
        <v>867311</v>
      </c>
      <c r="J4586" s="19" t="n">
        <v>983725.8189749998</v>
      </c>
      <c r="K4586" s="35" t="n">
        <v>0.065</v>
      </c>
    </row>
    <row r="4587">
      <c r="A4587" s="36" t="inlineStr">
        <is>
          <t>Overtid faste</t>
        </is>
      </c>
      <c r="B4587" s="36" t="inlineStr">
        <is>
          <t>Region Sør</t>
        </is>
      </c>
      <c r="C4587" s="36" t="inlineStr">
        <is>
          <t>Psykologteam</t>
        </is>
      </c>
      <c r="D4587" s="26" t="n"/>
      <c r="E4587" s="26" t="n"/>
      <c r="F4587" s="26" t="n">
        <v>12309</v>
      </c>
      <c r="G4587" s="26" t="n">
        <v>63577</v>
      </c>
      <c r="H4587" s="26" t="n">
        <v>9</v>
      </c>
      <c r="I4587" s="26" t="n"/>
      <c r="J4587" s="19" t="n">
        <v>0</v>
      </c>
      <c r="K4587" s="37" t="n">
        <v>0.065</v>
      </c>
    </row>
    <row r="4588">
      <c r="A4588" s="34" t="inlineStr">
        <is>
          <t>Overtid faste</t>
        </is>
      </c>
      <c r="B4588" s="34" t="inlineStr">
        <is>
          <t>Region Sør</t>
        </is>
      </c>
      <c r="C4588" s="34" t="inlineStr">
        <is>
          <t>Ressursmiljø for trygghet og sikkerhet</t>
        </is>
      </c>
      <c r="D4588" s="18" t="n">
        <v>25862</v>
      </c>
      <c r="E4588" s="18" t="n">
        <v>12982</v>
      </c>
      <c r="F4588" s="18" t="n">
        <v>34194</v>
      </c>
      <c r="G4588" s="18" t="n">
        <v>28372</v>
      </c>
      <c r="H4588" s="18" t="n">
        <v>16936</v>
      </c>
      <c r="I4588" s="18" t="n">
        <v>73348</v>
      </c>
      <c r="J4588" s="19" t="n">
        <v>111295.7918856232</v>
      </c>
      <c r="K4588" s="35" t="n">
        <v>0.2318142782360471</v>
      </c>
    </row>
    <row r="4589">
      <c r="A4589" s="36" t="inlineStr">
        <is>
          <t>Overtid faste</t>
        </is>
      </c>
      <c r="B4589" s="36" t="inlineStr">
        <is>
          <t>Region Sør</t>
        </is>
      </c>
      <c r="C4589" s="36" t="inlineStr">
        <is>
          <t>Skjerfheimkollektivet</t>
        </is>
      </c>
      <c r="D4589" s="26" t="n">
        <v>53127</v>
      </c>
      <c r="E4589" s="26" t="n">
        <v>84871</v>
      </c>
      <c r="F4589" s="26" t="n">
        <v>322969</v>
      </c>
      <c r="G4589" s="26" t="n">
        <v>124189</v>
      </c>
      <c r="H4589" s="26" t="n"/>
      <c r="I4589" s="26" t="n"/>
      <c r="J4589" s="19" t="n">
        <v>0</v>
      </c>
      <c r="K4589" s="37" t="n">
        <v>0.065</v>
      </c>
    </row>
    <row r="4590">
      <c r="A4590" s="34" t="inlineStr">
        <is>
          <t>Overtid faste</t>
        </is>
      </c>
      <c r="B4590" s="34" t="inlineStr">
        <is>
          <t>Region Sør</t>
        </is>
      </c>
      <c r="C4590" s="34" t="inlineStr">
        <is>
          <t>Skjerven rusbehandling ungdom</t>
        </is>
      </c>
      <c r="D4590" s="18" t="n"/>
      <c r="E4590" s="18" t="n"/>
      <c r="F4590" s="18" t="n"/>
      <c r="G4590" s="18" t="n"/>
      <c r="H4590" s="18" t="n"/>
      <c r="I4590" s="18" t="n">
        <v>3399</v>
      </c>
      <c r="J4590" s="19" t="n">
        <v>3855.230775</v>
      </c>
      <c r="K4590" s="35" t="n">
        <v>0.065</v>
      </c>
    </row>
    <row r="4591">
      <c r="A4591" s="36" t="inlineStr">
        <is>
          <t>Overtid faste</t>
        </is>
      </c>
      <c r="B4591" s="36" t="inlineStr">
        <is>
          <t>Region Sør</t>
        </is>
      </c>
      <c r="C4591" s="36" t="inlineStr">
        <is>
          <t>Spisskompetansemiljø for akuttarbeid</t>
        </is>
      </c>
      <c r="D4591" s="26" t="n"/>
      <c r="E4591" s="26" t="n">
        <v>24030</v>
      </c>
      <c r="F4591" s="26" t="n">
        <v>10661</v>
      </c>
      <c r="G4591" s="26" t="n"/>
      <c r="H4591" s="26" t="n">
        <v>25998</v>
      </c>
      <c r="I4591" s="26" t="n">
        <v>31947</v>
      </c>
      <c r="J4591" s="19" t="n">
        <v>36835.64147027938</v>
      </c>
      <c r="K4591" s="37" t="n">
        <v>0.07378931411304834</v>
      </c>
    </row>
    <row r="4592">
      <c r="A4592" s="34" t="inlineStr">
        <is>
          <t>Overtid faste</t>
        </is>
      </c>
      <c r="B4592" s="34" t="inlineStr">
        <is>
          <t>Region Sør</t>
        </is>
      </c>
      <c r="C4592" s="34" t="inlineStr">
        <is>
          <t>St. Hansgården ungdomssenter akutt</t>
        </is>
      </c>
      <c r="D4592" s="18" t="n">
        <v>199484</v>
      </c>
      <c r="E4592" s="18" t="n">
        <v>160905</v>
      </c>
      <c r="F4592" s="18" t="n">
        <v>214541</v>
      </c>
      <c r="G4592" s="18" t="n">
        <v>177284</v>
      </c>
      <c r="H4592" s="18" t="n">
        <v>219613</v>
      </c>
      <c r="I4592" s="18" t="n">
        <v>177025</v>
      </c>
      <c r="J4592" s="19" t="n">
        <v>168766.1010292961</v>
      </c>
      <c r="K4592" s="35" t="n">
        <v>-0.02360553905421814</v>
      </c>
    </row>
    <row r="4593">
      <c r="A4593" s="36" t="inlineStr">
        <is>
          <t>Overtid faste</t>
        </is>
      </c>
      <c r="B4593" s="36" t="inlineStr">
        <is>
          <t>Region Sør</t>
        </is>
      </c>
      <c r="C4593" s="36" t="inlineStr">
        <is>
          <t>St.Hansgården</t>
        </is>
      </c>
      <c r="D4593" s="26" t="n">
        <v>394381</v>
      </c>
      <c r="E4593" s="26" t="n">
        <v>389368</v>
      </c>
      <c r="F4593" s="26" t="n">
        <v>1019270</v>
      </c>
      <c r="G4593" s="26" t="n">
        <v>916568</v>
      </c>
      <c r="H4593" s="26" t="n">
        <v>849029</v>
      </c>
      <c r="I4593" s="26" t="n">
        <v>972223</v>
      </c>
      <c r="J4593" s="19" t="n">
        <v>1394780.457830279</v>
      </c>
      <c r="K4593" s="37" t="n">
        <v>0.1977604853850612</v>
      </c>
    </row>
    <row r="4594">
      <c r="A4594" s="34" t="inlineStr">
        <is>
          <t>Overtid faste</t>
        </is>
      </c>
      <c r="B4594" s="34" t="inlineStr">
        <is>
          <t>Region Sør</t>
        </is>
      </c>
      <c r="C4594" s="34" t="inlineStr">
        <is>
          <t>Stokke barnesenter</t>
        </is>
      </c>
      <c r="D4594" s="18" t="n"/>
      <c r="E4594" s="18" t="n"/>
      <c r="F4594" s="18" t="n"/>
      <c r="G4594" s="18" t="n"/>
      <c r="H4594" s="18" t="n">
        <v>4420</v>
      </c>
      <c r="I4594" s="18" t="n"/>
      <c r="J4594" s="19" t="n">
        <v>0</v>
      </c>
      <c r="K4594" s="35" t="n">
        <v>0.065</v>
      </c>
    </row>
    <row r="4595">
      <c r="A4595" s="36" t="inlineStr">
        <is>
          <t>Overtid faste</t>
        </is>
      </c>
      <c r="B4595" s="36" t="inlineStr">
        <is>
          <t>Region Sør</t>
        </is>
      </c>
      <c r="C4595" s="36" t="inlineStr">
        <is>
          <t>Sundstedtråkka</t>
        </is>
      </c>
      <c r="D4595" s="26" t="n">
        <v>436731</v>
      </c>
      <c r="E4595" s="26" t="n">
        <v>772485</v>
      </c>
      <c r="F4595" s="26" t="n">
        <v>1260461</v>
      </c>
      <c r="G4595" s="26" t="n">
        <v>731835</v>
      </c>
      <c r="H4595" s="26" t="n">
        <v>1094272</v>
      </c>
      <c r="I4595" s="26" t="n">
        <v>687512</v>
      </c>
      <c r="J4595" s="19" t="n">
        <v>824340.785906043</v>
      </c>
      <c r="K4595" s="37" t="n">
        <v>0.09499781496732806</v>
      </c>
    </row>
    <row r="4596">
      <c r="A4596" s="34" t="inlineStr">
        <is>
          <t>Overtid faste</t>
        </is>
      </c>
      <c r="B4596" s="34" t="inlineStr">
        <is>
          <t>Region Sør</t>
        </is>
      </c>
      <c r="C4596" s="34" t="inlineStr">
        <is>
          <t>Sundstedtråkka ungdomssenter akutt</t>
        </is>
      </c>
      <c r="D4596" s="18" t="n">
        <v>7085</v>
      </c>
      <c r="E4596" s="18" t="n">
        <v>3806</v>
      </c>
      <c r="F4596" s="18" t="n">
        <v>12215</v>
      </c>
      <c r="G4596" s="18" t="n">
        <v>13741</v>
      </c>
      <c r="H4596" s="18" t="n">
        <v>26488</v>
      </c>
      <c r="I4596" s="18" t="n">
        <v>44413</v>
      </c>
      <c r="J4596" s="19" t="n">
        <v>69395.3125</v>
      </c>
      <c r="K4596" s="35" t="n">
        <v>0.25</v>
      </c>
    </row>
    <row r="4597">
      <c r="A4597" s="36" t="inlineStr">
        <is>
          <t>Overtid faste</t>
        </is>
      </c>
      <c r="B4597" s="36" t="inlineStr">
        <is>
          <t>Region Sør</t>
        </is>
      </c>
      <c r="C4597" s="36" t="inlineStr">
        <is>
          <t>Svenner</t>
        </is>
      </c>
      <c r="D4597" s="26" t="n"/>
      <c r="E4597" s="26" t="n">
        <v>136697</v>
      </c>
      <c r="F4597" s="26" t="n">
        <v>863124</v>
      </c>
      <c r="G4597" s="26" t="n">
        <v>1190710</v>
      </c>
      <c r="H4597" s="26" t="n">
        <v>1116603</v>
      </c>
      <c r="I4597" s="26" t="n">
        <v>1359741</v>
      </c>
      <c r="J4597" s="19" t="n">
        <v>2124595.3125</v>
      </c>
      <c r="K4597" s="37" t="n">
        <v>0.25</v>
      </c>
    </row>
    <row r="4598">
      <c r="A4598" s="34" t="inlineStr">
        <is>
          <t>Overtid faste</t>
        </is>
      </c>
      <c r="B4598" s="34" t="inlineStr">
        <is>
          <t>Region Sør</t>
        </is>
      </c>
      <c r="C4598" s="34" t="inlineStr">
        <is>
          <t>Telemark ungdomssenter</t>
        </is>
      </c>
      <c r="D4598" s="18" t="n"/>
      <c r="E4598" s="18" t="n"/>
      <c r="F4598" s="18" t="n"/>
      <c r="G4598" s="18" t="n"/>
      <c r="H4598" s="18" t="n">
        <v>2314</v>
      </c>
      <c r="I4598" s="18" t="n">
        <v>44</v>
      </c>
      <c r="J4598" s="19" t="n">
        <v>49.90589999999999</v>
      </c>
      <c r="K4598" s="35" t="n">
        <v>0.065</v>
      </c>
    </row>
    <row r="4599">
      <c r="A4599" s="36" t="inlineStr">
        <is>
          <t>Overtid faste</t>
        </is>
      </c>
      <c r="B4599" s="36" t="inlineStr">
        <is>
          <t>Region Sør</t>
        </is>
      </c>
      <c r="C4599" s="36" t="inlineStr">
        <is>
          <t>Thorøya</t>
        </is>
      </c>
      <c r="D4599" s="26" t="n">
        <v>500423</v>
      </c>
      <c r="E4599" s="26" t="n">
        <v>461416</v>
      </c>
      <c r="F4599" s="26" t="n">
        <v>777554</v>
      </c>
      <c r="G4599" s="26" t="n">
        <v>1303770</v>
      </c>
      <c r="H4599" s="26" t="n">
        <v>709433</v>
      </c>
      <c r="I4599" s="26" t="n">
        <v>779816</v>
      </c>
      <c r="J4599" s="19" t="n">
        <v>931223.8566288607</v>
      </c>
      <c r="K4599" s="37" t="n">
        <v>0.09277556624468519</v>
      </c>
    </row>
    <row r="4600">
      <c r="A4600" s="34" t="inlineStr">
        <is>
          <t>Overtid faste</t>
        </is>
      </c>
      <c r="B4600" s="34" t="inlineStr">
        <is>
          <t>Region Sør</t>
        </is>
      </c>
      <c r="C4600" s="34" t="inlineStr">
        <is>
          <t>Thorøya ungdomshjem</t>
        </is>
      </c>
      <c r="D4600" s="18" t="n"/>
      <c r="E4600" s="18" t="n"/>
      <c r="F4600" s="18" t="n">
        <v>18463</v>
      </c>
      <c r="G4600" s="18" t="n">
        <v>95366</v>
      </c>
      <c r="H4600" s="18" t="n">
        <v>13</v>
      </c>
      <c r="I4600" s="18" t="n"/>
      <c r="J4600" s="19" t="n">
        <v>0</v>
      </c>
      <c r="K4600" s="35" t="n">
        <v>0.065</v>
      </c>
    </row>
    <row r="4601">
      <c r="A4601" s="36" t="inlineStr">
        <is>
          <t>Overtid faste</t>
        </is>
      </c>
      <c r="B4601" s="36" t="inlineStr">
        <is>
          <t>Region Sør</t>
        </is>
      </c>
      <c r="C4601" s="36" t="inlineStr">
        <is>
          <t>Ulabrand</t>
        </is>
      </c>
      <c r="D4601" s="26" t="n"/>
      <c r="E4601" s="26" t="n">
        <v>112354</v>
      </c>
      <c r="F4601" s="26" t="n">
        <v>485970</v>
      </c>
      <c r="G4601" s="26" t="n">
        <v>674271</v>
      </c>
      <c r="H4601" s="26" t="n">
        <v>540144</v>
      </c>
      <c r="I4601" s="26" t="n">
        <v>800098</v>
      </c>
      <c r="J4601" s="19" t="n">
        <v>1250153.125</v>
      </c>
      <c r="K4601" s="37" t="n">
        <v>0.25</v>
      </c>
    </row>
    <row r="4602">
      <c r="A4602" s="34" t="inlineStr">
        <is>
          <t>Overtid faste</t>
        </is>
      </c>
      <c r="B4602" s="34" t="inlineStr">
        <is>
          <t>Region Vest</t>
        </is>
      </c>
      <c r="C4602" s="34" t="inlineStr">
        <is>
          <t>Bergen Akutts. Administrasjonen</t>
        </is>
      </c>
      <c r="D4602" s="18" t="n">
        <v>16458</v>
      </c>
      <c r="E4602" s="18" t="n">
        <v>13969</v>
      </c>
      <c r="F4602" s="18" t="n">
        <v>27604</v>
      </c>
      <c r="G4602" s="18" t="n">
        <v>32765</v>
      </c>
      <c r="H4602" s="18" t="n">
        <v>24313</v>
      </c>
      <c r="I4602" s="18" t="n">
        <v>12988</v>
      </c>
      <c r="J4602" s="19" t="n">
        <v>11814.31017566082</v>
      </c>
      <c r="K4602" s="35" t="n">
        <v>-0.04625330855788878</v>
      </c>
    </row>
    <row r="4603">
      <c r="A4603" s="36" t="inlineStr">
        <is>
          <t>Overtid faste</t>
        </is>
      </c>
      <c r="B4603" s="36" t="inlineStr">
        <is>
          <t>Region Vest</t>
        </is>
      </c>
      <c r="C4603" s="36" t="inlineStr">
        <is>
          <t>Bergen Akutts. avd. Nattland</t>
        </is>
      </c>
      <c r="D4603" s="26" t="n">
        <v>405501</v>
      </c>
      <c r="E4603" s="26" t="n">
        <v>550941</v>
      </c>
      <c r="F4603" s="26" t="n">
        <v>823377</v>
      </c>
      <c r="G4603" s="26" t="n">
        <v>842884</v>
      </c>
      <c r="H4603" s="26" t="n">
        <v>1033374</v>
      </c>
      <c r="I4603" s="26" t="n">
        <v>911169</v>
      </c>
      <c r="J4603" s="19" t="n">
        <v>1259626.353113007</v>
      </c>
      <c r="K4603" s="37" t="n">
        <v>0.175767363986185</v>
      </c>
    </row>
    <row r="4604">
      <c r="A4604" s="34" t="inlineStr">
        <is>
          <t>Overtid faste</t>
        </is>
      </c>
      <c r="B4604" s="34" t="inlineStr">
        <is>
          <t>Region Vest</t>
        </is>
      </c>
      <c r="C4604" s="34" t="inlineStr">
        <is>
          <t>Bergen Akutts. avd. Toppe</t>
        </is>
      </c>
      <c r="D4604" s="18" t="n">
        <v>937884</v>
      </c>
      <c r="E4604" s="18" t="n">
        <v>761450</v>
      </c>
      <c r="F4604" s="18" t="n">
        <v>853017</v>
      </c>
      <c r="G4604" s="18" t="n">
        <v>1279750</v>
      </c>
      <c r="H4604" s="18" t="n">
        <v>1916375</v>
      </c>
      <c r="I4604" s="18" t="n">
        <v>1883210</v>
      </c>
      <c r="J4604" s="19" t="n">
        <v>2488849.30378392</v>
      </c>
      <c r="K4604" s="35" t="n">
        <v>0.1496083906638692</v>
      </c>
    </row>
    <row r="4605">
      <c r="A4605" s="36" t="inlineStr">
        <is>
          <t>Overtid faste</t>
        </is>
      </c>
      <c r="B4605" s="36" t="inlineStr">
        <is>
          <t>Region Vest</t>
        </is>
      </c>
      <c r="C4605" s="36" t="inlineStr">
        <is>
          <t>Bjørgvin Ungdomssenter avd. trygghet og sikkerhet</t>
        </is>
      </c>
      <c r="D4605" s="26" t="n"/>
      <c r="E4605" s="26" t="n"/>
      <c r="F4605" s="26" t="n"/>
      <c r="G4605" s="26" t="n"/>
      <c r="H4605" s="26" t="n"/>
      <c r="I4605" s="26" t="n">
        <v>443</v>
      </c>
      <c r="J4605" s="19" t="n">
        <v>502.4616749999999</v>
      </c>
      <c r="K4605" s="37" t="n">
        <v>0.065</v>
      </c>
    </row>
    <row r="4606">
      <c r="A4606" s="34" t="inlineStr">
        <is>
          <t>Overtid faste</t>
        </is>
      </c>
      <c r="B4606" s="34" t="inlineStr">
        <is>
          <t>Region Vest</t>
        </is>
      </c>
      <c r="C4606" s="34" t="inlineStr">
        <is>
          <t>Bjørgvin Ungdomssenter, Bønesskogen</t>
        </is>
      </c>
      <c r="D4606" s="18" t="n">
        <v>258905</v>
      </c>
      <c r="E4606" s="18" t="n">
        <v>805603</v>
      </c>
      <c r="F4606" s="18" t="n">
        <v>814884</v>
      </c>
      <c r="G4606" s="18" t="n">
        <v>641565</v>
      </c>
      <c r="H4606" s="18" t="n">
        <v>1101261</v>
      </c>
      <c r="I4606" s="18" t="n">
        <v>1254819</v>
      </c>
      <c r="J4606" s="19" t="n">
        <v>1960654.6875</v>
      </c>
      <c r="K4606" s="35" t="n">
        <v>0.25</v>
      </c>
    </row>
    <row r="4607">
      <c r="A4607" s="36" t="inlineStr">
        <is>
          <t>Overtid faste</t>
        </is>
      </c>
      <c r="B4607" s="36" t="inlineStr">
        <is>
          <t>Region Vest</t>
        </is>
      </c>
      <c r="C4607" s="36" t="inlineStr">
        <is>
          <t>Bjørgvin Ungdomssenter, Bønesstølen</t>
        </is>
      </c>
      <c r="D4607" s="26" t="n">
        <v>571778</v>
      </c>
      <c r="E4607" s="26" t="n">
        <v>501514</v>
      </c>
      <c r="F4607" s="26" t="n">
        <v>484802</v>
      </c>
      <c r="G4607" s="26" t="n">
        <v>578607</v>
      </c>
      <c r="H4607" s="26" t="n">
        <v>586859</v>
      </c>
      <c r="I4607" s="26" t="n">
        <v>636943</v>
      </c>
      <c r="J4607" s="19" t="n">
        <v>665043.1433754931</v>
      </c>
      <c r="K4607" s="37" t="n">
        <v>0.02182053345964374</v>
      </c>
    </row>
    <row r="4608">
      <c r="A4608" s="34" t="inlineStr">
        <is>
          <t>Overtid faste</t>
        </is>
      </c>
      <c r="B4608" s="34" t="inlineStr">
        <is>
          <t>Region Vest</t>
        </is>
      </c>
      <c r="C4608" s="34" t="inlineStr">
        <is>
          <t>Bjørgvin Ungdomssenter, administrasjon</t>
        </is>
      </c>
      <c r="D4608" s="18" t="n">
        <v>16778</v>
      </c>
      <c r="E4608" s="18" t="n">
        <v>38043</v>
      </c>
      <c r="F4608" s="18" t="n">
        <v>28190</v>
      </c>
      <c r="G4608" s="18" t="n">
        <v>50369</v>
      </c>
      <c r="H4608" s="18" t="n">
        <v>114226</v>
      </c>
      <c r="I4608" s="18" t="n">
        <v>117577</v>
      </c>
      <c r="J4608" s="19" t="n">
        <v>183714.0625</v>
      </c>
      <c r="K4608" s="35" t="n">
        <v>0.25</v>
      </c>
    </row>
    <row r="4609">
      <c r="A4609" s="36" t="inlineStr">
        <is>
          <t>Overtid faste</t>
        </is>
      </c>
      <c r="B4609" s="36" t="inlineStr">
        <is>
          <t>Region Vest</t>
        </is>
      </c>
      <c r="C4609" s="36" t="inlineStr">
        <is>
          <t>Driftsavdelingen</t>
        </is>
      </c>
      <c r="D4609" s="26" t="n">
        <v>18338</v>
      </c>
      <c r="E4609" s="26" t="n">
        <v>97388</v>
      </c>
      <c r="F4609" s="26" t="n">
        <v>66652</v>
      </c>
      <c r="G4609" s="26" t="n">
        <v>147076</v>
      </c>
      <c r="H4609" s="26" t="n">
        <v>29166</v>
      </c>
      <c r="I4609" s="26" t="n">
        <v>28997</v>
      </c>
      <c r="J4609" s="19" t="n">
        <v>34830.00274022475</v>
      </c>
      <c r="K4609" s="37" t="n">
        <v>0.09597392079358014</v>
      </c>
    </row>
    <row r="4610">
      <c r="A4610" s="34" t="inlineStr">
        <is>
          <t>Overtid faste</t>
        </is>
      </c>
      <c r="B4610" s="34" t="inlineStr">
        <is>
          <t>Region Vest</t>
        </is>
      </c>
      <c r="C4610" s="34" t="inlineStr">
        <is>
          <t>Eikelund US avd. beh. høy</t>
        </is>
      </c>
      <c r="D4610" s="18" t="n"/>
      <c r="E4610" s="18" t="n"/>
      <c r="F4610" s="18" t="n"/>
      <c r="G4610" s="18" t="n"/>
      <c r="H4610" s="18" t="n"/>
      <c r="I4610" s="18" t="n">
        <v>318320</v>
      </c>
      <c r="J4610" s="19" t="n">
        <v>361046.5019999999</v>
      </c>
      <c r="K4610" s="35" t="n">
        <v>0.065</v>
      </c>
    </row>
    <row r="4611">
      <c r="A4611" s="36" t="inlineStr">
        <is>
          <t>Overtid faste</t>
        </is>
      </c>
      <c r="B4611" s="36" t="inlineStr">
        <is>
          <t>Region Vest</t>
        </is>
      </c>
      <c r="C4611" s="36" t="inlineStr">
        <is>
          <t>Familievernkontoret for Bergen og omland</t>
        </is>
      </c>
      <c r="D4611" s="26" t="n"/>
      <c r="E4611" s="26" t="n"/>
      <c r="F4611" s="26" t="n">
        <v>1052</v>
      </c>
      <c r="G4611" s="26" t="n"/>
      <c r="H4611" s="26" t="n"/>
      <c r="I4611" s="26" t="n"/>
      <c r="J4611" s="19" t="n">
        <v>0</v>
      </c>
      <c r="K4611" s="37" t="n">
        <v>0.065</v>
      </c>
    </row>
    <row r="4612">
      <c r="A4612" s="34" t="inlineStr">
        <is>
          <t>Overtid faste</t>
        </is>
      </c>
      <c r="B4612" s="34" t="inlineStr">
        <is>
          <t>Region Vest</t>
        </is>
      </c>
      <c r="C4612" s="34" t="inlineStr">
        <is>
          <t>Kasa Ungdomssenter avd. Flatøy</t>
        </is>
      </c>
      <c r="D4612" s="18" t="n">
        <v>195919</v>
      </c>
      <c r="E4612" s="18" t="n">
        <v>208137</v>
      </c>
      <c r="F4612" s="18" t="n">
        <v>196489</v>
      </c>
      <c r="G4612" s="18" t="n">
        <v>133797</v>
      </c>
      <c r="H4612" s="18" t="n">
        <v>173448</v>
      </c>
      <c r="I4612" s="18" t="n">
        <v>365586</v>
      </c>
      <c r="J4612" s="19" t="n">
        <v>469196.4921332483</v>
      </c>
      <c r="K4612" s="35" t="n">
        <v>0.1328765837964649</v>
      </c>
    </row>
    <row r="4613">
      <c r="A4613" s="36" t="inlineStr">
        <is>
          <t>Overtid faste</t>
        </is>
      </c>
      <c r="B4613" s="36" t="inlineStr">
        <is>
          <t>Region Vest</t>
        </is>
      </c>
      <c r="C4613" s="36" t="inlineStr">
        <is>
          <t>Kasa Ungdomssenter avd. Hop</t>
        </is>
      </c>
      <c r="D4613" s="26" t="n">
        <v>174293</v>
      </c>
      <c r="E4613" s="26" t="n">
        <v>203538</v>
      </c>
      <c r="F4613" s="26" t="n">
        <v>166253</v>
      </c>
      <c r="G4613" s="26" t="n">
        <v>343671</v>
      </c>
      <c r="H4613" s="26" t="n">
        <v>166692</v>
      </c>
      <c r="I4613" s="26" t="n">
        <v>410706</v>
      </c>
      <c r="J4613" s="19" t="n">
        <v>578670.6936801528</v>
      </c>
      <c r="K4613" s="37" t="n">
        <v>0.1869986375253845</v>
      </c>
    </row>
    <row r="4614">
      <c r="A4614" s="34" t="inlineStr">
        <is>
          <t>Overtid faste</t>
        </is>
      </c>
      <c r="B4614" s="34" t="inlineStr">
        <is>
          <t>Region Vest</t>
        </is>
      </c>
      <c r="C4614" s="34" t="inlineStr">
        <is>
          <t>Kasa Ungdomssenter avd. Morvik</t>
        </is>
      </c>
      <c r="D4614" s="18" t="n">
        <v>139288</v>
      </c>
      <c r="E4614" s="18" t="n">
        <v>113113</v>
      </c>
      <c r="F4614" s="18" t="n">
        <v>134408</v>
      </c>
      <c r="G4614" s="18" t="n">
        <v>267062</v>
      </c>
      <c r="H4614" s="18" t="n">
        <v>190260</v>
      </c>
      <c r="I4614" s="18" t="n">
        <v>237923</v>
      </c>
      <c r="J4614" s="19" t="n">
        <v>294744.3692779089</v>
      </c>
      <c r="K4614" s="35" t="n">
        <v>0.1130240406993439</v>
      </c>
    </row>
    <row r="4615">
      <c r="A4615" s="36" t="inlineStr">
        <is>
          <t>Overtid faste</t>
        </is>
      </c>
      <c r="B4615" s="36" t="inlineStr">
        <is>
          <t>Region Vest</t>
        </is>
      </c>
      <c r="C4615" s="36" t="inlineStr">
        <is>
          <t>Kasa Ungdomssenter avd. Sandsli</t>
        </is>
      </c>
      <c r="D4615" s="26" t="n">
        <v>91314</v>
      </c>
      <c r="E4615" s="26" t="n">
        <v>102569</v>
      </c>
      <c r="F4615" s="26" t="n">
        <v>232333</v>
      </c>
      <c r="G4615" s="26" t="n">
        <v>566882</v>
      </c>
      <c r="H4615" s="26" t="n">
        <v>306037</v>
      </c>
      <c r="I4615" s="26" t="n">
        <v>248652</v>
      </c>
      <c r="J4615" s="19" t="n">
        <v>371204.978747372</v>
      </c>
      <c r="K4615" s="37" t="n">
        <v>0.2218303757708742</v>
      </c>
    </row>
    <row r="4616">
      <c r="A4616" s="34" t="inlineStr">
        <is>
          <t>Overtid faste</t>
        </is>
      </c>
      <c r="B4616" s="34" t="inlineStr">
        <is>
          <t>Region Vest</t>
        </is>
      </c>
      <c r="C4616" s="34" t="inlineStr">
        <is>
          <t>Kasa Ungdomssenter avd. Tertnes</t>
        </is>
      </c>
      <c r="D4616" s="18" t="n">
        <v>135283</v>
      </c>
      <c r="E4616" s="18" t="n">
        <v>72838</v>
      </c>
      <c r="F4616" s="18" t="n">
        <v>174673</v>
      </c>
      <c r="G4616" s="18" t="n">
        <v>292291</v>
      </c>
      <c r="H4616" s="18" t="n">
        <v>195686</v>
      </c>
      <c r="I4616" s="18" t="n">
        <v>192992</v>
      </c>
      <c r="J4616" s="19" t="n">
        <v>222462.9742619235</v>
      </c>
      <c r="K4616" s="35" t="n">
        <v>0.07364131732922008</v>
      </c>
    </row>
    <row r="4617">
      <c r="A4617" s="36" t="inlineStr">
        <is>
          <t>Overtid faste</t>
        </is>
      </c>
      <c r="B4617" s="36" t="inlineStr">
        <is>
          <t>Region Vest</t>
        </is>
      </c>
      <c r="C4617" s="36" t="inlineStr">
        <is>
          <t>Kasa Ungdomssenter avd. adm.</t>
        </is>
      </c>
      <c r="D4617" s="26" t="n">
        <v>11662</v>
      </c>
      <c r="E4617" s="26" t="n"/>
      <c r="F4617" s="26" t="n"/>
      <c r="G4617" s="26" t="n">
        <v>1</v>
      </c>
      <c r="H4617" s="26" t="n">
        <v>19081</v>
      </c>
      <c r="I4617" s="26" t="n">
        <v>5898</v>
      </c>
      <c r="J4617" s="19" t="n">
        <v>4490.32174551331</v>
      </c>
      <c r="K4617" s="37" t="n">
        <v>-0.1274579894885421</v>
      </c>
    </row>
    <row r="4618">
      <c r="A4618" s="34" t="inlineStr">
        <is>
          <t>Overtid faste</t>
        </is>
      </c>
      <c r="B4618" s="34" t="inlineStr">
        <is>
          <t>Region Vest</t>
        </is>
      </c>
      <c r="C4618" s="34" t="inlineStr">
        <is>
          <t>Kontorfaglig enhet adm</t>
        </is>
      </c>
      <c r="D4618" s="18" t="n"/>
      <c r="E4618" s="18" t="n"/>
      <c r="F4618" s="18" t="n">
        <v>2181</v>
      </c>
      <c r="G4618" s="18" t="n"/>
      <c r="H4618" s="18" t="n">
        <v>12379</v>
      </c>
      <c r="I4618" s="18" t="n"/>
      <c r="J4618" s="19" t="n">
        <v>0</v>
      </c>
      <c r="K4618" s="35" t="n">
        <v>0.065</v>
      </c>
    </row>
    <row r="4619">
      <c r="A4619" s="36" t="inlineStr">
        <is>
          <t>Overtid faste</t>
        </is>
      </c>
      <c r="B4619" s="36" t="inlineStr">
        <is>
          <t>Region Vest</t>
        </is>
      </c>
      <c r="C4619" s="36" t="inlineStr">
        <is>
          <t>SFU avd Bregnetunet</t>
        </is>
      </c>
      <c r="D4619" s="26" t="n">
        <v>594248</v>
      </c>
      <c r="E4619" s="26" t="n">
        <v>523934</v>
      </c>
      <c r="F4619" s="26" t="n">
        <v>1111031</v>
      </c>
      <c r="G4619" s="26" t="n">
        <v>1170484</v>
      </c>
      <c r="H4619" s="26" t="n">
        <v>1001228</v>
      </c>
      <c r="I4619" s="26" t="n">
        <v>17100</v>
      </c>
      <c r="J4619" s="19" t="n">
        <v>9618.75</v>
      </c>
      <c r="K4619" s="37" t="n">
        <v>-0.25</v>
      </c>
    </row>
    <row r="4620">
      <c r="A4620" s="34" t="inlineStr">
        <is>
          <t>Overtid faste</t>
        </is>
      </c>
      <c r="B4620" s="34" t="inlineStr">
        <is>
          <t>Region Vest</t>
        </is>
      </c>
      <c r="C4620" s="34" t="inlineStr">
        <is>
          <t>SFU avd Familiehjem</t>
        </is>
      </c>
      <c r="D4620" s="18" t="n">
        <v>8460</v>
      </c>
      <c r="E4620" s="18" t="n"/>
      <c r="F4620" s="18" t="n"/>
      <c r="G4620" s="18" t="n"/>
      <c r="H4620" s="18" t="n"/>
      <c r="I4620" s="18" t="n"/>
      <c r="J4620" s="19" t="n">
        <v>0</v>
      </c>
      <c r="K4620" s="35" t="n">
        <v>0.065</v>
      </c>
    </row>
    <row r="4621">
      <c r="A4621" s="36" t="inlineStr">
        <is>
          <t>Overtid faste</t>
        </is>
      </c>
      <c r="B4621" s="36" t="inlineStr">
        <is>
          <t>Region Vest</t>
        </is>
      </c>
      <c r="C4621" s="36" t="inlineStr">
        <is>
          <t>SFU avd.Meltunet</t>
        </is>
      </c>
      <c r="D4621" s="26" t="n">
        <v>869527</v>
      </c>
      <c r="E4621" s="26" t="n">
        <v>807045</v>
      </c>
      <c r="F4621" s="26" t="n">
        <v>896046</v>
      </c>
      <c r="G4621" s="26" t="n">
        <v>1000325</v>
      </c>
      <c r="H4621" s="26" t="n">
        <v>1294988</v>
      </c>
      <c r="I4621" s="26" t="n">
        <v>767318</v>
      </c>
      <c r="J4621" s="19" t="n">
        <v>729881.4258815066</v>
      </c>
      <c r="K4621" s="37" t="n">
        <v>-0.02469946413688284</v>
      </c>
    </row>
    <row r="4622">
      <c r="A4622" s="34" t="inlineStr">
        <is>
          <t>Overtid faste</t>
        </is>
      </c>
      <c r="B4622" s="34" t="inlineStr">
        <is>
          <t>Region Vest</t>
        </is>
      </c>
      <c r="C4622" s="34" t="inlineStr">
        <is>
          <t>Sandnes ungdomssenter - Minde 2</t>
        </is>
      </c>
      <c r="D4622" s="18" t="n">
        <v>264855</v>
      </c>
      <c r="E4622" s="18" t="n">
        <v>467474</v>
      </c>
      <c r="F4622" s="18" t="n">
        <v>411321</v>
      </c>
      <c r="G4622" s="18" t="n">
        <v>529044</v>
      </c>
      <c r="H4622" s="18" t="n">
        <v>394644</v>
      </c>
      <c r="I4622" s="18" t="n">
        <v>281826</v>
      </c>
      <c r="J4622" s="19" t="n">
        <v>288915.0789149262</v>
      </c>
      <c r="K4622" s="35" t="n">
        <v>0.01249893744456099</v>
      </c>
    </row>
    <row r="4623">
      <c r="A4623" s="36" t="inlineStr">
        <is>
          <t>Overtid faste</t>
        </is>
      </c>
      <c r="B4623" s="36" t="inlineStr">
        <is>
          <t>Region Vest</t>
        </is>
      </c>
      <c r="C4623" s="36" t="inlineStr">
        <is>
          <t>Sandnes ungdomssenter - Minde1</t>
        </is>
      </c>
      <c r="D4623" s="26" t="n">
        <v>252776</v>
      </c>
      <c r="E4623" s="26" t="n">
        <v>262134</v>
      </c>
      <c r="F4623" s="26" t="n">
        <v>391645</v>
      </c>
      <c r="G4623" s="26" t="n">
        <v>548361</v>
      </c>
      <c r="H4623" s="26" t="n">
        <v>387136</v>
      </c>
      <c r="I4623" s="26" t="n">
        <v>221021</v>
      </c>
      <c r="J4623" s="19" t="n">
        <v>209465.5567775393</v>
      </c>
      <c r="K4623" s="37" t="n">
        <v>-0.02649196481073224</v>
      </c>
    </row>
    <row r="4624">
      <c r="A4624" s="34" t="inlineStr">
        <is>
          <t>Overtid faste</t>
        </is>
      </c>
      <c r="B4624" s="34" t="inlineStr">
        <is>
          <t>Region Vest</t>
        </is>
      </c>
      <c r="C4624" s="34" t="inlineStr">
        <is>
          <t>Sandnes ungdomssenter - adm</t>
        </is>
      </c>
      <c r="D4624" s="18" t="n">
        <v>4808</v>
      </c>
      <c r="E4624" s="18" t="n">
        <v>8688</v>
      </c>
      <c r="F4624" s="18" t="n">
        <v>4911</v>
      </c>
      <c r="G4624" s="18" t="n"/>
      <c r="H4624" s="18" t="n">
        <v>1616</v>
      </c>
      <c r="I4624" s="18" t="n">
        <v>2085</v>
      </c>
      <c r="J4624" s="19" t="n">
        <v>1492.666202371958</v>
      </c>
      <c r="K4624" s="35" t="n">
        <v>-0.1538870929377438</v>
      </c>
    </row>
    <row r="4625">
      <c r="A4625" s="36" t="inlineStr">
        <is>
          <t>Overtid faste</t>
        </is>
      </c>
      <c r="B4625" s="36" t="inlineStr">
        <is>
          <t>Region Vest</t>
        </is>
      </c>
      <c r="C4625" s="36" t="inlineStr">
        <is>
          <t>Seksjon faglig støtte</t>
        </is>
      </c>
      <c r="D4625" s="26" t="n"/>
      <c r="E4625" s="26" t="n"/>
      <c r="F4625" s="26" t="n"/>
      <c r="G4625" s="26" t="n"/>
      <c r="H4625" s="26" t="n"/>
      <c r="I4625" s="26" t="n">
        <v>70125</v>
      </c>
      <c r="J4625" s="19" t="n">
        <v>79537.52812499998</v>
      </c>
      <c r="K4625" s="37" t="n">
        <v>0.065</v>
      </c>
    </row>
    <row r="4626">
      <c r="A4626" s="34" t="inlineStr">
        <is>
          <t>Overtid faste</t>
        </is>
      </c>
      <c r="B4626" s="34" t="inlineStr">
        <is>
          <t>Region Vest</t>
        </is>
      </c>
      <c r="C4626" s="34" t="inlineStr">
        <is>
          <t>Skjoldvegen Skjold</t>
        </is>
      </c>
      <c r="D4626" s="18" t="n">
        <v>321356</v>
      </c>
      <c r="E4626" s="18" t="n">
        <v>407742</v>
      </c>
      <c r="F4626" s="18" t="n">
        <v>558663</v>
      </c>
      <c r="G4626" s="18" t="n">
        <v>370120</v>
      </c>
      <c r="H4626" s="18" t="n">
        <v>291492</v>
      </c>
      <c r="I4626" s="18" t="n">
        <v>456601</v>
      </c>
      <c r="J4626" s="19" t="n">
        <v>525481.0226485829</v>
      </c>
      <c r="K4626" s="35" t="n">
        <v>0.07277856918748049</v>
      </c>
    </row>
    <row r="4627">
      <c r="A4627" s="36" t="inlineStr">
        <is>
          <t>Overtid faste</t>
        </is>
      </c>
      <c r="B4627" s="36" t="inlineStr">
        <is>
          <t>Region Vest</t>
        </is>
      </c>
      <c r="C4627" s="36" t="inlineStr">
        <is>
          <t>Skjoldvegen Søfteland</t>
        </is>
      </c>
      <c r="D4627" s="26" t="n">
        <v>556460</v>
      </c>
      <c r="E4627" s="26" t="n">
        <v>1016895</v>
      </c>
      <c r="F4627" s="26" t="n">
        <v>753814</v>
      </c>
      <c r="G4627" s="26" t="n">
        <v>816988</v>
      </c>
      <c r="H4627" s="26" t="n">
        <v>1019564</v>
      </c>
      <c r="I4627" s="26" t="n">
        <v>1067222</v>
      </c>
      <c r="J4627" s="19" t="n">
        <v>1384787.378306687</v>
      </c>
      <c r="K4627" s="37" t="n">
        <v>0.1391060633767149</v>
      </c>
    </row>
    <row r="4628">
      <c r="A4628" s="34" t="inlineStr">
        <is>
          <t>Overtid faste</t>
        </is>
      </c>
      <c r="B4628" s="34" t="inlineStr">
        <is>
          <t>Region Vest</t>
        </is>
      </c>
      <c r="C4628" s="34" t="inlineStr">
        <is>
          <t>Skjoldvegen barnevernsenter</t>
        </is>
      </c>
      <c r="D4628" s="18" t="n">
        <v>15628</v>
      </c>
      <c r="E4628" s="18" t="n">
        <v>24075</v>
      </c>
      <c r="F4628" s="18" t="n">
        <v>30680</v>
      </c>
      <c r="G4628" s="18" t="n">
        <v>105364</v>
      </c>
      <c r="H4628" s="18" t="n">
        <v>183089</v>
      </c>
      <c r="I4628" s="18" t="n">
        <v>56832</v>
      </c>
      <c r="J4628" s="19" t="n">
        <v>88800</v>
      </c>
      <c r="K4628" s="35" t="n">
        <v>0.25</v>
      </c>
    </row>
    <row r="4629">
      <c r="A4629" s="36" t="inlineStr">
        <is>
          <t>Overtid faste</t>
        </is>
      </c>
      <c r="B4629" s="36" t="inlineStr">
        <is>
          <t>Region Vest</t>
        </is>
      </c>
      <c r="C4629" s="36" t="inlineStr">
        <is>
          <t>Skjoldvegen barnevernsenter Enetiltak</t>
        </is>
      </c>
      <c r="D4629" s="26" t="n">
        <v>52831</v>
      </c>
      <c r="E4629" s="26" t="n">
        <v>24779</v>
      </c>
      <c r="F4629" s="26" t="n"/>
      <c r="G4629" s="26" t="n">
        <v>115580</v>
      </c>
      <c r="H4629" s="26" t="n"/>
      <c r="I4629" s="26" t="n"/>
      <c r="J4629" s="19" t="n">
        <v>0</v>
      </c>
      <c r="K4629" s="37" t="n">
        <v>0.065</v>
      </c>
    </row>
    <row r="4630">
      <c r="A4630" s="34" t="inlineStr">
        <is>
          <t>Overtid faste</t>
        </is>
      </c>
      <c r="B4630" s="34" t="inlineStr">
        <is>
          <t>Region Vest</t>
        </is>
      </c>
      <c r="C4630" s="34" t="inlineStr">
        <is>
          <t>Skjoldvegen barnevernsenter avd. Fyllingsdalen</t>
        </is>
      </c>
      <c r="D4630" s="18" t="n">
        <v>313734</v>
      </c>
      <c r="E4630" s="18" t="n">
        <v>311286</v>
      </c>
      <c r="F4630" s="18" t="n">
        <v>284057</v>
      </c>
      <c r="G4630" s="18" t="n">
        <v>404171</v>
      </c>
      <c r="H4630" s="18" t="n">
        <v>492928</v>
      </c>
      <c r="I4630" s="18" t="n">
        <v>547830</v>
      </c>
      <c r="J4630" s="19" t="n">
        <v>684667.1655879625</v>
      </c>
      <c r="K4630" s="35" t="n">
        <v>0.1179357510676791</v>
      </c>
    </row>
    <row r="4631">
      <c r="A4631" s="36" t="inlineStr">
        <is>
          <t>Overtid faste</t>
        </is>
      </c>
      <c r="B4631" s="36" t="inlineStr">
        <is>
          <t>Region Vest</t>
        </is>
      </c>
      <c r="C4631" s="36" t="inlineStr">
        <is>
          <t>Sogn og Fjordane ungdomsenter</t>
        </is>
      </c>
      <c r="D4631" s="26" t="n">
        <v>100944</v>
      </c>
      <c r="E4631" s="26" t="n">
        <v>79273</v>
      </c>
      <c r="F4631" s="26" t="n">
        <v>231294</v>
      </c>
      <c r="G4631" s="26" t="n">
        <v>363329</v>
      </c>
      <c r="H4631" s="26" t="n">
        <v>97856</v>
      </c>
      <c r="I4631" s="26" t="n">
        <v>66746</v>
      </c>
      <c r="J4631" s="19" t="n">
        <v>56566.99882281804</v>
      </c>
      <c r="K4631" s="37" t="n">
        <v>-0.07940428984650238</v>
      </c>
    </row>
    <row r="4632">
      <c r="A4632" s="34" t="inlineStr">
        <is>
          <t>Overtid faste</t>
        </is>
      </c>
      <c r="B4632" s="34" t="inlineStr">
        <is>
          <t>Region Vest</t>
        </is>
      </c>
      <c r="C4632" s="34" t="inlineStr">
        <is>
          <t>Sogn og fjordane ungdomssenter avdeling Bregnetunet behandling høy</t>
        </is>
      </c>
      <c r="D4632" s="18" t="n"/>
      <c r="E4632" s="18" t="n"/>
      <c r="F4632" s="18" t="n"/>
      <c r="G4632" s="18" t="n"/>
      <c r="H4632" s="18" t="n">
        <v>106396</v>
      </c>
      <c r="I4632" s="18" t="n">
        <v>1029313</v>
      </c>
      <c r="J4632" s="19" t="n">
        <v>1167472.537425</v>
      </c>
      <c r="K4632" s="35" t="n">
        <v>0.065</v>
      </c>
    </row>
    <row r="4633">
      <c r="A4633" s="36" t="inlineStr">
        <is>
          <t>Overtid faste</t>
        </is>
      </c>
      <c r="B4633" s="36" t="inlineStr">
        <is>
          <t>Region Vest</t>
        </is>
      </c>
      <c r="C4633" s="36" t="inlineStr">
        <is>
          <t>Sogn og fjordane ungdomssenter behandling høy</t>
        </is>
      </c>
      <c r="D4633" s="26" t="n"/>
      <c r="E4633" s="26" t="n"/>
      <c r="F4633" s="26" t="n"/>
      <c r="G4633" s="26" t="n"/>
      <c r="H4633" s="26" t="n"/>
      <c r="I4633" s="26" t="n">
        <v>87401</v>
      </c>
      <c r="J4633" s="19" t="n">
        <v>99132.39922499999</v>
      </c>
      <c r="K4633" s="37" t="n">
        <v>0.065</v>
      </c>
    </row>
    <row r="4634">
      <c r="A4634" s="34" t="inlineStr">
        <is>
          <t>Overtid faste</t>
        </is>
      </c>
      <c r="B4634" s="34" t="inlineStr">
        <is>
          <t>Region Vest</t>
        </is>
      </c>
      <c r="C4634" s="34" t="inlineStr">
        <is>
          <t>Sogndal ungdomsenter-adm.</t>
        </is>
      </c>
      <c r="D4634" s="18" t="n">
        <v>185931</v>
      </c>
      <c r="E4634" s="18" t="n">
        <v>300857</v>
      </c>
      <c r="F4634" s="18" t="n">
        <v>404275</v>
      </c>
      <c r="G4634" s="18" t="n">
        <v>400125</v>
      </c>
      <c r="H4634" s="18" t="n">
        <v>561364</v>
      </c>
      <c r="I4634" s="18" t="n">
        <v>393852</v>
      </c>
      <c r="J4634" s="19" t="n">
        <v>531772.1090070036</v>
      </c>
      <c r="K4634" s="35" t="n">
        <v>0.1619735705914063</v>
      </c>
    </row>
    <row r="4635">
      <c r="A4635" s="36" t="inlineStr">
        <is>
          <t>Overtid faste</t>
        </is>
      </c>
      <c r="B4635" s="36" t="inlineStr">
        <is>
          <t>Region Vest</t>
        </is>
      </c>
      <c r="C4635" s="36" t="inlineStr">
        <is>
          <t>Stavanger akuttsenter - Administrasjon</t>
        </is>
      </c>
      <c r="D4635" s="26" t="n">
        <v>359886</v>
      </c>
      <c r="E4635" s="26" t="n">
        <v>160711</v>
      </c>
      <c r="F4635" s="26" t="n">
        <v>116773</v>
      </c>
      <c r="G4635" s="26" t="n">
        <v>179351</v>
      </c>
      <c r="H4635" s="26" t="n">
        <v>56483</v>
      </c>
      <c r="I4635" s="26" t="n">
        <v>6628</v>
      </c>
      <c r="J4635" s="19" t="n">
        <v>3728.25</v>
      </c>
      <c r="K4635" s="37" t="n">
        <v>-0.25</v>
      </c>
    </row>
    <row r="4636">
      <c r="A4636" s="34" t="inlineStr">
        <is>
          <t>Overtid faste</t>
        </is>
      </c>
      <c r="B4636" s="34" t="inlineStr">
        <is>
          <t>Region Vest</t>
        </is>
      </c>
      <c r="C4636" s="34" t="inlineStr">
        <is>
          <t>Stavanger akuttsenter - Heimly</t>
        </is>
      </c>
      <c r="D4636" s="18" t="n">
        <v>979</v>
      </c>
      <c r="E4636" s="18" t="n">
        <v>86347</v>
      </c>
      <c r="F4636" s="18" t="n">
        <v>8287</v>
      </c>
      <c r="G4636" s="18" t="n"/>
      <c r="H4636" s="18" t="n"/>
      <c r="I4636" s="18" t="n"/>
      <c r="J4636" s="19" t="n">
        <v>0</v>
      </c>
      <c r="K4636" s="35" t="n">
        <v>0.065</v>
      </c>
    </row>
    <row r="4637">
      <c r="A4637" s="36" t="inlineStr">
        <is>
          <t>Overtid faste</t>
        </is>
      </c>
      <c r="B4637" s="36" t="inlineStr">
        <is>
          <t>Region Vest</t>
        </is>
      </c>
      <c r="C4637" s="36" t="inlineStr">
        <is>
          <t>Stavanger akuttsenter - Madla</t>
        </is>
      </c>
      <c r="D4637" s="26" t="n">
        <v>1817018</v>
      </c>
      <c r="E4637" s="26" t="n">
        <v>1511029</v>
      </c>
      <c r="F4637" s="26" t="n">
        <v>858053</v>
      </c>
      <c r="G4637" s="26" t="n">
        <v>1052011</v>
      </c>
      <c r="H4637" s="26" t="n">
        <v>1514748</v>
      </c>
      <c r="I4637" s="26" t="n">
        <v>1063210</v>
      </c>
      <c r="J4637" s="19" t="n">
        <v>858070.5207936276</v>
      </c>
      <c r="K4637" s="37" t="n">
        <v>-0.1016367768816236</v>
      </c>
    </row>
    <row r="4638">
      <c r="A4638" s="34" t="inlineStr">
        <is>
          <t>Overtid faste</t>
        </is>
      </c>
      <c r="B4638" s="34" t="inlineStr">
        <is>
          <t>Region Vest</t>
        </is>
      </c>
      <c r="C4638" s="34" t="inlineStr">
        <is>
          <t>Stavanger akuttsenter - Røyneberg</t>
        </is>
      </c>
      <c r="D4638" s="18" t="n">
        <v>400975</v>
      </c>
      <c r="E4638" s="18" t="n">
        <v>407378</v>
      </c>
      <c r="F4638" s="18" t="n">
        <v>393618</v>
      </c>
      <c r="G4638" s="18" t="n">
        <v>472300</v>
      </c>
      <c r="H4638" s="18" t="n">
        <v>387997</v>
      </c>
      <c r="I4638" s="18" t="n">
        <v>376627</v>
      </c>
      <c r="J4638" s="19" t="n">
        <v>367306.9220345007</v>
      </c>
      <c r="K4638" s="35" t="n">
        <v>-0.01245059659433589</v>
      </c>
    </row>
    <row r="4639">
      <c r="A4639" s="36" t="inlineStr">
        <is>
          <t>Overtid faste</t>
        </is>
      </c>
      <c r="B4639" s="36" t="inlineStr">
        <is>
          <t>Region Vest</t>
        </is>
      </c>
      <c r="C4639" s="36" t="inlineStr">
        <is>
          <t>Stavanger ungdomssenter - adm</t>
        </is>
      </c>
      <c r="D4639" s="26" t="n">
        <v>8222</v>
      </c>
      <c r="E4639" s="26" t="n">
        <v>84024</v>
      </c>
      <c r="F4639" s="26" t="n">
        <v>31723</v>
      </c>
      <c r="G4639" s="26" t="n">
        <v>11890</v>
      </c>
      <c r="H4639" s="26" t="n">
        <v>91820</v>
      </c>
      <c r="I4639" s="26" t="n">
        <v>2090</v>
      </c>
      <c r="J4639" s="19" t="n">
        <v>1208.408611628942</v>
      </c>
      <c r="K4639" s="37" t="n">
        <v>-0.2396146118063283</v>
      </c>
    </row>
    <row r="4640">
      <c r="A4640" s="34" t="inlineStr">
        <is>
          <t>Overtid faste</t>
        </is>
      </c>
      <c r="B4640" s="34" t="inlineStr">
        <is>
          <t>Region Vest</t>
        </is>
      </c>
      <c r="C4640" s="34" t="inlineStr">
        <is>
          <t>Stavanger ungdomssenter - avd. Lindøy</t>
        </is>
      </c>
      <c r="D4640" s="18" t="n">
        <v>239890</v>
      </c>
      <c r="E4640" s="18" t="n">
        <v>244393</v>
      </c>
      <c r="F4640" s="18" t="n">
        <v>207955</v>
      </c>
      <c r="G4640" s="18" t="n">
        <v>162128</v>
      </c>
      <c r="H4640" s="18" t="n">
        <v>330223</v>
      </c>
      <c r="I4640" s="18" t="n">
        <v>450777</v>
      </c>
      <c r="J4640" s="19" t="n">
        <v>580151.7287729582</v>
      </c>
      <c r="K4640" s="35" t="n">
        <v>0.1344619153211555</v>
      </c>
    </row>
    <row r="4641">
      <c r="A4641" s="36" t="inlineStr">
        <is>
          <t>Overtid faste</t>
        </is>
      </c>
      <c r="B4641" s="36" t="inlineStr">
        <is>
          <t>Region Vest</t>
        </is>
      </c>
      <c r="C4641" s="36" t="inlineStr">
        <is>
          <t>Stavanger ungdomssenter - avd. Våland</t>
        </is>
      </c>
      <c r="D4641" s="26" t="n">
        <v>76104</v>
      </c>
      <c r="E4641" s="26" t="n">
        <v>297184</v>
      </c>
      <c r="F4641" s="26" t="n">
        <v>312277</v>
      </c>
      <c r="G4641" s="26" t="n">
        <v>123899</v>
      </c>
      <c r="H4641" s="26" t="n">
        <v>139017</v>
      </c>
      <c r="I4641" s="26" t="n">
        <v>254821</v>
      </c>
      <c r="J4641" s="19" t="n">
        <v>398157.8125</v>
      </c>
      <c r="K4641" s="37" t="n">
        <v>0.25</v>
      </c>
    </row>
    <row r="4642">
      <c r="A4642" s="34" t="inlineStr">
        <is>
          <t>Overtid faste</t>
        </is>
      </c>
      <c r="B4642" s="34" t="inlineStr">
        <is>
          <t>Region Vest</t>
        </is>
      </c>
      <c r="C4642" s="34" t="inlineStr">
        <is>
          <t>TFCO Bergen, avdeling fosterhjem</t>
        </is>
      </c>
      <c r="D4642" s="18" t="n"/>
      <c r="E4642" s="18" t="n"/>
      <c r="F4642" s="18" t="n">
        <v>5859</v>
      </c>
      <c r="G4642" s="18" t="n">
        <v>50742</v>
      </c>
      <c r="H4642" s="18" t="n"/>
      <c r="I4642" s="18" t="n"/>
      <c r="J4642" s="19" t="n">
        <v>0</v>
      </c>
      <c r="K4642" s="35" t="n">
        <v>0.065</v>
      </c>
    </row>
    <row r="4643">
      <c r="A4643" s="36" t="inlineStr">
        <is>
          <t>Overtid faste</t>
        </is>
      </c>
      <c r="B4643" s="36" t="inlineStr">
        <is>
          <t>Region Vest</t>
        </is>
      </c>
      <c r="C4643" s="36" t="inlineStr">
        <is>
          <t>Vestlundveien Ungdomssenter</t>
        </is>
      </c>
      <c r="D4643" s="26" t="n">
        <v>1285</v>
      </c>
      <c r="E4643" s="26" t="n"/>
      <c r="F4643" s="26" t="n"/>
      <c r="G4643" s="26" t="n"/>
      <c r="H4643" s="26" t="n"/>
      <c r="I4643" s="26" t="n"/>
      <c r="J4643" s="19" t="n">
        <v>0</v>
      </c>
      <c r="K4643" s="37" t="n">
        <v>0.065</v>
      </c>
    </row>
    <row r="4644">
      <c r="A4644" s="34" t="inlineStr">
        <is>
          <t>Overtid faste</t>
        </is>
      </c>
      <c r="B4644" s="34" t="inlineStr">
        <is>
          <t>Region Øst</t>
        </is>
      </c>
      <c r="C4644" s="34" t="inlineStr">
        <is>
          <t>Akershus ungdoms- og familiesenter - akutt  Adminstrasjon</t>
        </is>
      </c>
      <c r="D4644" s="18" t="n">
        <v>9498</v>
      </c>
      <c r="E4644" s="18" t="n">
        <v>66348</v>
      </c>
      <c r="F4644" s="18" t="n">
        <v>55919</v>
      </c>
      <c r="G4644" s="18" t="n">
        <v>43567</v>
      </c>
      <c r="H4644" s="18" t="n">
        <v>50818</v>
      </c>
      <c r="I4644" s="18" t="n">
        <v>993</v>
      </c>
      <c r="J4644" s="19" t="n">
        <v>558.5625</v>
      </c>
      <c r="K4644" s="35" t="n">
        <v>-0.25</v>
      </c>
    </row>
    <row r="4645">
      <c r="A4645" s="36" t="inlineStr">
        <is>
          <t>Overtid faste</t>
        </is>
      </c>
      <c r="B4645" s="36" t="inlineStr">
        <is>
          <t>Region Øst</t>
        </is>
      </c>
      <c r="C4645" s="36" t="inlineStr">
        <is>
          <t>Akershus ungdoms- og familiesenter - akutt  Avdeling Sole</t>
        </is>
      </c>
      <c r="D4645" s="26" t="n">
        <v>472723</v>
      </c>
      <c r="E4645" s="26" t="n">
        <v>1096878</v>
      </c>
      <c r="F4645" s="26" t="n">
        <v>723151</v>
      </c>
      <c r="G4645" s="26" t="n">
        <v>1225239</v>
      </c>
      <c r="H4645" s="26" t="n">
        <v>1506818</v>
      </c>
      <c r="I4645" s="26" t="n">
        <v>172733</v>
      </c>
      <c r="J4645" s="19" t="n">
        <v>115473.6115320385</v>
      </c>
      <c r="K4645" s="37" t="n">
        <v>-0.1823758388932483</v>
      </c>
    </row>
    <row r="4646">
      <c r="A4646" s="34" t="inlineStr">
        <is>
          <t>Overtid faste</t>
        </is>
      </c>
      <c r="B4646" s="34" t="inlineStr">
        <is>
          <t>Region Øst</t>
        </is>
      </c>
      <c r="C4646" s="34" t="inlineStr">
        <is>
          <t>Akershus ungdoms- og familiesenter - akutt  Avdeling Tjernlia</t>
        </is>
      </c>
      <c r="D4646" s="18" t="n">
        <v>237268</v>
      </c>
      <c r="E4646" s="18" t="n">
        <v>557832</v>
      </c>
      <c r="F4646" s="18" t="n">
        <v>412027</v>
      </c>
      <c r="G4646" s="18" t="n">
        <v>565121</v>
      </c>
      <c r="H4646" s="18" t="n">
        <v>856923</v>
      </c>
      <c r="I4646" s="18" t="n">
        <v>55874</v>
      </c>
      <c r="J4646" s="19" t="n">
        <v>31429.125</v>
      </c>
      <c r="K4646" s="35" t="n">
        <v>-0.25</v>
      </c>
    </row>
    <row r="4647">
      <c r="A4647" s="36" t="inlineStr">
        <is>
          <t>Overtid faste</t>
        </is>
      </c>
      <c r="B4647" s="36" t="inlineStr">
        <is>
          <t>Region Øst</t>
        </is>
      </c>
      <c r="C4647" s="36" t="inlineStr">
        <is>
          <t>Akershus ungdoms- og familiesenter - akutt Avdeling Bjørlien</t>
        </is>
      </c>
      <c r="D4647" s="26" t="n">
        <v>383794</v>
      </c>
      <c r="E4647" s="26" t="n">
        <v>519283</v>
      </c>
      <c r="F4647" s="26" t="n">
        <v>394445</v>
      </c>
      <c r="G4647" s="26" t="n">
        <v>415945</v>
      </c>
      <c r="H4647" s="26" t="n">
        <v>357414</v>
      </c>
      <c r="I4647" s="26" t="n">
        <v>60704</v>
      </c>
      <c r="J4647" s="19" t="n">
        <v>34146</v>
      </c>
      <c r="K4647" s="37" t="n">
        <v>-0.25</v>
      </c>
    </row>
    <row r="4648">
      <c r="A4648" s="34" t="inlineStr">
        <is>
          <t>Overtid faste</t>
        </is>
      </c>
      <c r="B4648" s="34" t="inlineStr">
        <is>
          <t>Region Øst</t>
        </is>
      </c>
      <c r="C4648" s="34" t="inlineStr">
        <is>
          <t>Akershus ungdoms- og familiesenter - akutt Avdeling Follo</t>
        </is>
      </c>
      <c r="D4648" s="18" t="n">
        <v>23222</v>
      </c>
      <c r="E4648" s="18" t="n">
        <v>339787</v>
      </c>
      <c r="F4648" s="18" t="n">
        <v>6174</v>
      </c>
      <c r="G4648" s="18" t="n"/>
      <c r="H4648" s="18" t="n"/>
      <c r="I4648" s="18" t="n"/>
      <c r="J4648" s="19" t="n">
        <v>0</v>
      </c>
      <c r="K4648" s="35" t="n">
        <v>0.065</v>
      </c>
    </row>
    <row r="4649">
      <c r="A4649" s="36" t="inlineStr">
        <is>
          <t>Overtid faste</t>
        </is>
      </c>
      <c r="B4649" s="36" t="inlineStr">
        <is>
          <t>Region Øst</t>
        </is>
      </c>
      <c r="C4649" s="36" t="inlineStr">
        <is>
          <t>Akershus ungdoms- og familiesenter - akutt Avdeling Jibbe</t>
        </is>
      </c>
      <c r="D4649" s="26" t="n">
        <v>17046</v>
      </c>
      <c r="E4649" s="26" t="n">
        <v>259853</v>
      </c>
      <c r="F4649" s="26" t="n">
        <v>181791</v>
      </c>
      <c r="G4649" s="26" t="n">
        <v>167603</v>
      </c>
      <c r="H4649" s="26" t="n">
        <v>132393</v>
      </c>
      <c r="I4649" s="26" t="n">
        <v>25841</v>
      </c>
      <c r="J4649" s="19" t="n">
        <v>30519.96623702718</v>
      </c>
      <c r="K4649" s="37" t="n">
        <v>0.08676931200643945</v>
      </c>
    </row>
    <row r="4650">
      <c r="A4650" s="34" t="inlineStr">
        <is>
          <t>Overtid faste</t>
        </is>
      </c>
      <c r="B4650" s="34" t="inlineStr">
        <is>
          <t>Region Øst</t>
        </is>
      </c>
      <c r="C4650" s="34" t="inlineStr">
        <is>
          <t>Akershus ungdoms- og familiesenter - akutt, adm</t>
        </is>
      </c>
      <c r="D4650" s="18" t="n"/>
      <c r="E4650" s="18" t="n"/>
      <c r="F4650" s="18" t="n"/>
      <c r="G4650" s="18" t="n"/>
      <c r="H4650" s="18" t="n"/>
      <c r="I4650" s="18" t="n">
        <v>44989</v>
      </c>
      <c r="J4650" s="19" t="n">
        <v>51027.64852499999</v>
      </c>
      <c r="K4650" s="35" t="n">
        <v>0.065</v>
      </c>
    </row>
    <row r="4651">
      <c r="A4651" s="36" t="inlineStr">
        <is>
          <t>Overtid faste</t>
        </is>
      </c>
      <c r="B4651" s="36" t="inlineStr">
        <is>
          <t>Region Øst</t>
        </is>
      </c>
      <c r="C4651" s="36" t="inlineStr">
        <is>
          <t>Akershus ungdoms- og familiesenter - akutt, avd Bjørlien</t>
        </is>
      </c>
      <c r="D4651" s="26" t="n"/>
      <c r="E4651" s="26" t="n"/>
      <c r="F4651" s="26" t="n"/>
      <c r="G4651" s="26" t="n"/>
      <c r="H4651" s="26" t="n"/>
      <c r="I4651" s="26" t="n">
        <v>350188</v>
      </c>
      <c r="J4651" s="19" t="n">
        <v>397191.9843</v>
      </c>
      <c r="K4651" s="37" t="n">
        <v>0.065</v>
      </c>
    </row>
    <row r="4652">
      <c r="A4652" s="34" t="inlineStr">
        <is>
          <t>Overtid faste</t>
        </is>
      </c>
      <c r="B4652" s="34" t="inlineStr">
        <is>
          <t>Region Øst</t>
        </is>
      </c>
      <c r="C4652" s="34" t="inlineStr">
        <is>
          <t>Akershus ungdoms- og familiesenter - akutt, avd Jibbe</t>
        </is>
      </c>
      <c r="D4652" s="18" t="n"/>
      <c r="E4652" s="18" t="n"/>
      <c r="F4652" s="18" t="n"/>
      <c r="G4652" s="18" t="n"/>
      <c r="H4652" s="18" t="n"/>
      <c r="I4652" s="18" t="n">
        <v>235776</v>
      </c>
      <c r="J4652" s="19" t="n">
        <v>267423.0336</v>
      </c>
      <c r="K4652" s="35" t="n">
        <v>0.065</v>
      </c>
    </row>
    <row r="4653">
      <c r="A4653" s="36" t="inlineStr">
        <is>
          <t>Overtid faste</t>
        </is>
      </c>
      <c r="B4653" s="36" t="inlineStr">
        <is>
          <t>Region Øst</t>
        </is>
      </c>
      <c r="C4653" s="36" t="inlineStr">
        <is>
          <t>Akershus ungdoms- og familiesenter - akutt, avd Sole</t>
        </is>
      </c>
      <c r="D4653" s="26" t="n"/>
      <c r="E4653" s="26" t="n"/>
      <c r="F4653" s="26" t="n"/>
      <c r="G4653" s="26" t="n"/>
      <c r="H4653" s="26" t="n"/>
      <c r="I4653" s="26" t="n">
        <v>1146377</v>
      </c>
      <c r="J4653" s="19" t="n">
        <v>1300249.452825</v>
      </c>
      <c r="K4653" s="37" t="n">
        <v>0.065</v>
      </c>
    </row>
    <row r="4654">
      <c r="A4654" s="34" t="inlineStr">
        <is>
          <t>Overtid faste</t>
        </is>
      </c>
      <c r="B4654" s="34" t="inlineStr">
        <is>
          <t>Region Øst</t>
        </is>
      </c>
      <c r="C4654" s="34" t="inlineStr">
        <is>
          <t>Akershus ungdoms- og familiesenter - akutt, avd Tjernlia</t>
        </is>
      </c>
      <c r="D4654" s="18" t="n"/>
      <c r="E4654" s="18" t="n"/>
      <c r="F4654" s="18" t="n"/>
      <c r="G4654" s="18" t="n"/>
      <c r="H4654" s="18" t="n"/>
      <c r="I4654" s="18" t="n">
        <v>223221</v>
      </c>
      <c r="J4654" s="19" t="n">
        <v>253182.838725</v>
      </c>
      <c r="K4654" s="35" t="n">
        <v>0.065</v>
      </c>
    </row>
    <row r="4655">
      <c r="A4655" s="36" t="inlineStr">
        <is>
          <t>Overtid faste</t>
        </is>
      </c>
      <c r="B4655" s="36" t="inlineStr">
        <is>
          <t>Region Øst</t>
        </is>
      </c>
      <c r="C4655" s="36" t="inlineStr">
        <is>
          <t>Bufetat Øst Innlandet Barnevernsenter</t>
        </is>
      </c>
      <c r="D4655" s="26" t="n"/>
      <c r="E4655" s="26" t="n"/>
      <c r="F4655" s="26" t="n">
        <v>47042</v>
      </c>
      <c r="G4655" s="26" t="n">
        <v>22827</v>
      </c>
      <c r="H4655" s="26" t="n">
        <v>71052</v>
      </c>
      <c r="I4655" s="26" t="n">
        <v>241890</v>
      </c>
      <c r="J4655" s="19" t="n">
        <v>274357.68525</v>
      </c>
      <c r="K4655" s="37" t="n">
        <v>0.065</v>
      </c>
    </row>
    <row r="4656">
      <c r="A4656" s="34" t="inlineStr">
        <is>
          <t>Overtid faste</t>
        </is>
      </c>
      <c r="B4656" s="34" t="inlineStr">
        <is>
          <t>Region Øst</t>
        </is>
      </c>
      <c r="C4656" s="34" t="inlineStr">
        <is>
          <t>Bufetats behandlingssenter Akershus/Østfold - Administrasjon</t>
        </is>
      </c>
      <c r="D4656" s="18" t="n"/>
      <c r="E4656" s="18" t="n"/>
      <c r="F4656" s="18" t="n"/>
      <c r="G4656" s="18" t="n">
        <v>13314</v>
      </c>
      <c r="H4656" s="18" t="n">
        <v>11879</v>
      </c>
      <c r="I4656" s="18" t="n">
        <v>757</v>
      </c>
      <c r="J4656" s="19" t="n">
        <v>858.6083249999998</v>
      </c>
      <c r="K4656" s="35" t="n">
        <v>0.065</v>
      </c>
    </row>
    <row r="4657">
      <c r="A4657" s="36" t="inlineStr">
        <is>
          <t>Overtid faste</t>
        </is>
      </c>
      <c r="B4657" s="36" t="inlineStr">
        <is>
          <t>Region Øst</t>
        </is>
      </c>
      <c r="C4657" s="36" t="inlineStr">
        <is>
          <t>Bufetats behandlingssenter Akershus/Østfold, Avdeling Kroerveien Institusjon</t>
        </is>
      </c>
      <c r="D4657" s="26" t="n"/>
      <c r="E4657" s="26" t="n"/>
      <c r="F4657" s="26" t="n"/>
      <c r="G4657" s="26" t="n">
        <v>208299</v>
      </c>
      <c r="H4657" s="26" t="n">
        <v>795915</v>
      </c>
      <c r="I4657" s="26" t="n">
        <v>97088</v>
      </c>
      <c r="J4657" s="19" t="n">
        <v>110119.6368</v>
      </c>
      <c r="K4657" s="37" t="n">
        <v>0.065</v>
      </c>
    </row>
    <row r="4658">
      <c r="A4658" s="34" t="inlineStr">
        <is>
          <t>Overtid faste</t>
        </is>
      </c>
      <c r="B4658" s="34" t="inlineStr">
        <is>
          <t>Region Øst</t>
        </is>
      </c>
      <c r="C4658" s="34" t="inlineStr">
        <is>
          <t>Bufetats behandlingssenter Akershus/Østfold, Avdeling Ressursteam</t>
        </is>
      </c>
      <c r="D4658" s="18" t="n"/>
      <c r="E4658" s="18" t="n"/>
      <c r="F4658" s="18" t="n"/>
      <c r="G4658" s="18" t="n">
        <v>33729</v>
      </c>
      <c r="H4658" s="18" t="n">
        <v>21375</v>
      </c>
      <c r="I4658" s="18" t="n"/>
      <c r="J4658" s="19" t="n">
        <v>0</v>
      </c>
      <c r="K4658" s="35" t="n">
        <v>0.065</v>
      </c>
    </row>
    <row r="4659">
      <c r="A4659" s="36" t="inlineStr">
        <is>
          <t>Overtid faste</t>
        </is>
      </c>
      <c r="B4659" s="36" t="inlineStr">
        <is>
          <t>Region Øst</t>
        </is>
      </c>
      <c r="C4659" s="36" t="inlineStr">
        <is>
          <t>Bufetats behandlingssenter Akershus/Østfold, Avdeling Ås</t>
        </is>
      </c>
      <c r="D4659" s="26" t="n"/>
      <c r="E4659" s="26" t="n"/>
      <c r="F4659" s="26" t="n"/>
      <c r="G4659" s="26" t="n">
        <v>283233</v>
      </c>
      <c r="H4659" s="26" t="n">
        <v>339376</v>
      </c>
      <c r="I4659" s="26" t="n">
        <v>21502</v>
      </c>
      <c r="J4659" s="19" t="n">
        <v>24388.10595</v>
      </c>
      <c r="K4659" s="37" t="n">
        <v>0.065</v>
      </c>
    </row>
    <row r="4660">
      <c r="A4660" s="34" t="inlineStr">
        <is>
          <t>Overtid faste</t>
        </is>
      </c>
      <c r="B4660" s="34" t="inlineStr">
        <is>
          <t>Region Øst</t>
        </is>
      </c>
      <c r="C4660" s="34" t="inlineStr">
        <is>
          <t>Bufetats behandlingssenter Akershus/Østfold, Avdeling Østheim</t>
        </is>
      </c>
      <c r="D4660" s="18" t="n"/>
      <c r="E4660" s="18" t="n"/>
      <c r="F4660" s="18" t="n"/>
      <c r="G4660" s="18" t="n">
        <v>149302</v>
      </c>
      <c r="H4660" s="18" t="n">
        <v>287214</v>
      </c>
      <c r="I4660" s="18" t="n">
        <v>33467</v>
      </c>
      <c r="J4660" s="19" t="n">
        <v>37959.108075</v>
      </c>
      <c r="K4660" s="35" t="n">
        <v>0.065</v>
      </c>
    </row>
    <row r="4661">
      <c r="A4661" s="36" t="inlineStr">
        <is>
          <t>Overtid faste</t>
        </is>
      </c>
      <c r="B4661" s="36" t="inlineStr">
        <is>
          <t>Region Øst</t>
        </is>
      </c>
      <c r="C4661" s="36" t="inlineStr">
        <is>
          <t>Bufetats behandlingssenter Akershus/Østfold, Avdeling Østlund</t>
        </is>
      </c>
      <c r="D4661" s="26" t="n"/>
      <c r="E4661" s="26" t="n"/>
      <c r="F4661" s="26" t="n"/>
      <c r="G4661" s="26" t="n">
        <v>133550</v>
      </c>
      <c r="H4661" s="26" t="n">
        <v>474933</v>
      </c>
      <c r="I4661" s="26" t="n">
        <v>14730</v>
      </c>
      <c r="J4661" s="19" t="n">
        <v>16707.13425</v>
      </c>
      <c r="K4661" s="37" t="n">
        <v>0.065</v>
      </c>
    </row>
    <row r="4662">
      <c r="A4662" s="34" t="inlineStr">
        <is>
          <t>Overtid faste</t>
        </is>
      </c>
      <c r="B4662" s="34" t="inlineStr">
        <is>
          <t>Region Øst</t>
        </is>
      </c>
      <c r="C4662" s="34" t="inlineStr">
        <is>
          <t>Bufetats behandlingssenter Akershus_Østfold, adm</t>
        </is>
      </c>
      <c r="D4662" s="18" t="n"/>
      <c r="E4662" s="18" t="n"/>
      <c r="F4662" s="18" t="n"/>
      <c r="G4662" s="18" t="n"/>
      <c r="H4662" s="18" t="n"/>
      <c r="I4662" s="18" t="n">
        <v>2614</v>
      </c>
      <c r="J4662" s="19" t="n">
        <v>2964.864149999999</v>
      </c>
      <c r="K4662" s="35" t="n">
        <v>0.065</v>
      </c>
    </row>
    <row r="4663">
      <c r="A4663" s="36" t="inlineStr">
        <is>
          <t>Overtid faste</t>
        </is>
      </c>
      <c r="B4663" s="36" t="inlineStr">
        <is>
          <t>Region Øst</t>
        </is>
      </c>
      <c r="C4663" s="36" t="inlineStr">
        <is>
          <t>Bufetats behandlingssenter Akershus_Østfold, avd Kroerveien</t>
        </is>
      </c>
      <c r="D4663" s="26" t="n"/>
      <c r="E4663" s="26" t="n"/>
      <c r="F4663" s="26" t="n"/>
      <c r="G4663" s="26" t="n"/>
      <c r="H4663" s="26" t="n"/>
      <c r="I4663" s="26" t="n">
        <v>318451</v>
      </c>
      <c r="J4663" s="19" t="n">
        <v>361195.0854749999</v>
      </c>
      <c r="K4663" s="37" t="n">
        <v>0.065</v>
      </c>
    </row>
    <row r="4664">
      <c r="A4664" s="34" t="inlineStr">
        <is>
          <t>Overtid faste</t>
        </is>
      </c>
      <c r="B4664" s="34" t="inlineStr">
        <is>
          <t>Region Øst</t>
        </is>
      </c>
      <c r="C4664" s="34" t="inlineStr">
        <is>
          <t>Bufetats behandlingssenter Akershus_Østfold, avd Ås</t>
        </is>
      </c>
      <c r="D4664" s="18" t="n"/>
      <c r="E4664" s="18" t="n"/>
      <c r="F4664" s="18" t="n"/>
      <c r="G4664" s="18" t="n"/>
      <c r="H4664" s="18" t="n"/>
      <c r="I4664" s="18" t="n">
        <v>135522</v>
      </c>
      <c r="J4664" s="19" t="n">
        <v>153712.44045</v>
      </c>
      <c r="K4664" s="35" t="n">
        <v>0.065</v>
      </c>
    </row>
    <row r="4665">
      <c r="A4665" s="36" t="inlineStr">
        <is>
          <t>Overtid faste</t>
        </is>
      </c>
      <c r="B4665" s="36" t="inlineStr">
        <is>
          <t>Region Øst</t>
        </is>
      </c>
      <c r="C4665" s="36" t="inlineStr">
        <is>
          <t>Bufetats behandlingssenter Akershus_Østfold, avd Østheim</t>
        </is>
      </c>
      <c r="D4665" s="26" t="n"/>
      <c r="E4665" s="26" t="n"/>
      <c r="F4665" s="26" t="n"/>
      <c r="G4665" s="26" t="n"/>
      <c r="H4665" s="26" t="n"/>
      <c r="I4665" s="26" t="n">
        <v>270691</v>
      </c>
      <c r="J4665" s="19" t="n">
        <v>307024.499475</v>
      </c>
      <c r="K4665" s="37" t="n">
        <v>0.065</v>
      </c>
    </row>
    <row r="4666">
      <c r="A4666" s="34" t="inlineStr">
        <is>
          <t>Overtid faste</t>
        </is>
      </c>
      <c r="B4666" s="34" t="inlineStr">
        <is>
          <t>Region Øst</t>
        </is>
      </c>
      <c r="C4666" s="34" t="inlineStr">
        <is>
          <t>Bufetats behandlingssenter Akershus_Østfold, avd Østlund</t>
        </is>
      </c>
      <c r="D4666" s="18" t="n"/>
      <c r="E4666" s="18" t="n"/>
      <c r="F4666" s="18" t="n"/>
      <c r="G4666" s="18" t="n"/>
      <c r="H4666" s="18" t="n"/>
      <c r="I4666" s="18" t="n">
        <v>114244</v>
      </c>
      <c r="J4666" s="19" t="n">
        <v>129578.4009</v>
      </c>
      <c r="K4666" s="35" t="n">
        <v>0.065</v>
      </c>
    </row>
    <row r="4667">
      <c r="A4667" s="36" t="inlineStr">
        <is>
          <t>Overtid faste</t>
        </is>
      </c>
      <c r="B4667" s="36" t="inlineStr">
        <is>
          <t>Region Øst</t>
        </is>
      </c>
      <c r="C4667" s="36" t="inlineStr">
        <is>
          <t>Bufetats enhet for godkjenning av barneverninstitusjoner</t>
        </is>
      </c>
      <c r="D4667" s="26" t="n"/>
      <c r="E4667" s="26" t="n"/>
      <c r="F4667" s="26" t="n">
        <v>65516</v>
      </c>
      <c r="G4667" s="26" t="n">
        <v>100490</v>
      </c>
      <c r="H4667" s="26" t="n">
        <v>8840</v>
      </c>
      <c r="I4667" s="26" t="n"/>
      <c r="J4667" s="19" t="n">
        <v>0</v>
      </c>
      <c r="K4667" s="37" t="n">
        <v>0.065</v>
      </c>
    </row>
    <row r="4668">
      <c r="A4668" s="34" t="inlineStr">
        <is>
          <t>Overtid faste</t>
        </is>
      </c>
      <c r="B4668" s="34" t="inlineStr">
        <is>
          <t>Region Øst</t>
        </is>
      </c>
      <c r="C4668" s="34" t="inlineStr">
        <is>
          <t>Enhet for psykologressurser EMA</t>
        </is>
      </c>
      <c r="D4668" s="18" t="n"/>
      <c r="E4668" s="18" t="n"/>
      <c r="F4668" s="18" t="n">
        <v>1623</v>
      </c>
      <c r="G4668" s="18" t="n"/>
      <c r="H4668" s="18" t="n"/>
      <c r="I4668" s="18" t="n"/>
      <c r="J4668" s="19" t="n">
        <v>0</v>
      </c>
      <c r="K4668" s="35" t="n">
        <v>0.065</v>
      </c>
    </row>
    <row r="4669">
      <c r="A4669" s="36" t="inlineStr">
        <is>
          <t>Overtid faste</t>
        </is>
      </c>
      <c r="B4669" s="36" t="inlineStr">
        <is>
          <t>Region Øst</t>
        </is>
      </c>
      <c r="C4669" s="36" t="inlineStr">
        <is>
          <t>Follo ungdoms- og familiesenter - akutt  Avdeling Follo</t>
        </is>
      </c>
      <c r="D4669" s="26" t="n">
        <v>199448</v>
      </c>
      <c r="E4669" s="26" t="n"/>
      <c r="F4669" s="26" t="n"/>
      <c r="G4669" s="26" t="n"/>
      <c r="H4669" s="26" t="n"/>
      <c r="I4669" s="26" t="n"/>
      <c r="J4669" s="19" t="n">
        <v>0</v>
      </c>
      <c r="K4669" s="37" t="n">
        <v>0.065</v>
      </c>
    </row>
    <row r="4670">
      <c r="A4670" s="34" t="inlineStr">
        <is>
          <t>Overtid faste</t>
        </is>
      </c>
      <c r="B4670" s="34" t="inlineStr">
        <is>
          <t>Region Øst</t>
        </is>
      </c>
      <c r="C4670" s="34" t="inlineStr">
        <is>
          <t>Follo ungdoms- og familiesenter - akutt  Avdeling Jibbe</t>
        </is>
      </c>
      <c r="D4670" s="18" t="n">
        <v>43644</v>
      </c>
      <c r="E4670" s="18" t="n">
        <v>765</v>
      </c>
      <c r="F4670" s="18" t="n"/>
      <c r="G4670" s="18" t="n"/>
      <c r="H4670" s="18" t="n"/>
      <c r="I4670" s="18" t="n"/>
      <c r="J4670" s="19" t="n">
        <v>0</v>
      </c>
      <c r="K4670" s="35" t="n">
        <v>0.065</v>
      </c>
    </row>
    <row r="4671">
      <c r="A4671" s="36" t="inlineStr">
        <is>
          <t>Overtid faste</t>
        </is>
      </c>
      <c r="B4671" s="36" t="inlineStr">
        <is>
          <t>Region Øst</t>
        </is>
      </c>
      <c r="C4671" s="36" t="inlineStr">
        <is>
          <t>Gullhella barne- og familiesenter Avdeling for beredskapshjem 3</t>
        </is>
      </c>
      <c r="D4671" s="26" t="n">
        <v>1981</v>
      </c>
      <c r="E4671" s="26" t="n"/>
      <c r="F4671" s="26" t="n"/>
      <c r="G4671" s="26" t="n"/>
      <c r="H4671" s="26" t="n"/>
      <c r="I4671" s="26" t="n"/>
      <c r="J4671" s="19" t="n">
        <v>0</v>
      </c>
      <c r="K4671" s="37" t="n">
        <v>0.065</v>
      </c>
    </row>
    <row r="4672">
      <c r="A4672" s="34" t="inlineStr">
        <is>
          <t>Overtid faste</t>
        </is>
      </c>
      <c r="B4672" s="34" t="inlineStr">
        <is>
          <t>Region Øst</t>
        </is>
      </c>
      <c r="C4672" s="34" t="inlineStr">
        <is>
          <t>Hedmark ungdoms- og  familiesenter - akutt  Administrasjon</t>
        </is>
      </c>
      <c r="D4672" s="18" t="n">
        <v>27389</v>
      </c>
      <c r="E4672" s="18" t="n">
        <v>52552</v>
      </c>
      <c r="F4672" s="18" t="n">
        <v>39361</v>
      </c>
      <c r="G4672" s="18" t="n">
        <v>50396</v>
      </c>
      <c r="H4672" s="18" t="n"/>
      <c r="I4672" s="18" t="n">
        <v>260</v>
      </c>
      <c r="J4672" s="19" t="n">
        <v>146.25</v>
      </c>
      <c r="K4672" s="35" t="n">
        <v>-0.25</v>
      </c>
    </row>
    <row r="4673">
      <c r="A4673" s="36" t="inlineStr">
        <is>
          <t>Overtid faste</t>
        </is>
      </c>
      <c r="B4673" s="36" t="inlineStr">
        <is>
          <t>Region Øst</t>
        </is>
      </c>
      <c r="C4673" s="36" t="inlineStr">
        <is>
          <t>Hedmark ungdoms- og  familiesenter - akutt  Avdeling  Stange 1</t>
        </is>
      </c>
      <c r="D4673" s="26" t="n">
        <v>259581</v>
      </c>
      <c r="E4673" s="26" t="n">
        <v>415607</v>
      </c>
      <c r="F4673" s="26" t="n">
        <v>468479</v>
      </c>
      <c r="G4673" s="26" t="n">
        <v>751972</v>
      </c>
      <c r="H4673" s="26" t="n">
        <v>459023</v>
      </c>
      <c r="I4673" s="26" t="n">
        <v>25073</v>
      </c>
      <c r="J4673" s="19" t="n">
        <v>14103.5625</v>
      </c>
      <c r="K4673" s="37" t="n">
        <v>-0.25</v>
      </c>
    </row>
    <row r="4674">
      <c r="A4674" s="34" t="inlineStr">
        <is>
          <t>Overtid faste</t>
        </is>
      </c>
      <c r="B4674" s="34" t="inlineStr">
        <is>
          <t>Region Øst</t>
        </is>
      </c>
      <c r="C4674" s="34" t="inlineStr">
        <is>
          <t>Hedmark ungdoms- og  familiesenter - akutt  Avdeling  Vien 1</t>
        </is>
      </c>
      <c r="D4674" s="18" t="n">
        <v>224290</v>
      </c>
      <c r="E4674" s="18" t="n">
        <v>192503</v>
      </c>
      <c r="F4674" s="18" t="n">
        <v>291787</v>
      </c>
      <c r="G4674" s="18" t="n">
        <v>528881</v>
      </c>
      <c r="H4674" s="18" t="n">
        <v>672324</v>
      </c>
      <c r="I4674" s="18" t="n">
        <v>52370</v>
      </c>
      <c r="J4674" s="19" t="n">
        <v>29458.125</v>
      </c>
      <c r="K4674" s="35" t="n">
        <v>-0.25</v>
      </c>
    </row>
    <row r="4675">
      <c r="A4675" s="36" t="inlineStr">
        <is>
          <t>Overtid faste</t>
        </is>
      </c>
      <c r="B4675" s="36" t="inlineStr">
        <is>
          <t>Region Øst</t>
        </is>
      </c>
      <c r="C4675" s="36" t="inlineStr">
        <is>
          <t>Hedmark ungdoms- og  familiesenter - akutt  Avdeling  Vien 2</t>
        </is>
      </c>
      <c r="D4675" s="26" t="n">
        <v>291348</v>
      </c>
      <c r="E4675" s="26" t="n">
        <v>345091</v>
      </c>
      <c r="F4675" s="26" t="n">
        <v>724491</v>
      </c>
      <c r="G4675" s="26" t="n">
        <v>800282</v>
      </c>
      <c r="H4675" s="26" t="n">
        <v>598157</v>
      </c>
      <c r="I4675" s="26" t="n">
        <v>45144</v>
      </c>
      <c r="J4675" s="19" t="n">
        <v>25393.5</v>
      </c>
      <c r="K4675" s="37" t="n">
        <v>-0.25</v>
      </c>
    </row>
    <row r="4676">
      <c r="A4676" s="34" t="inlineStr">
        <is>
          <t>Overtid faste</t>
        </is>
      </c>
      <c r="B4676" s="34" t="inlineStr">
        <is>
          <t>Region Øst</t>
        </is>
      </c>
      <c r="C4676" s="34" t="inlineStr">
        <is>
          <t>Hedmark ungdoms- og familiesenter - akutt Avdeling Disen</t>
        </is>
      </c>
      <c r="D4676" s="18" t="n"/>
      <c r="E4676" s="18" t="n"/>
      <c r="F4676" s="18" t="n">
        <v>282851</v>
      </c>
      <c r="G4676" s="18" t="n">
        <v>308023</v>
      </c>
      <c r="H4676" s="18" t="n">
        <v>422987</v>
      </c>
      <c r="I4676" s="18" t="n">
        <v>18991</v>
      </c>
      <c r="J4676" s="19" t="n">
        <v>21540.066975</v>
      </c>
      <c r="K4676" s="35" t="n">
        <v>0.065</v>
      </c>
    </row>
    <row r="4677">
      <c r="A4677" s="36" t="inlineStr">
        <is>
          <t>Overtid faste</t>
        </is>
      </c>
      <c r="B4677" s="36" t="inlineStr">
        <is>
          <t>Region Øst</t>
        </is>
      </c>
      <c r="C4677" s="36" t="inlineStr">
        <is>
          <t>Hedmark ungdoms- og familiesenter - akutt Avdeling Irstad</t>
        </is>
      </c>
      <c r="D4677" s="26" t="n">
        <v>256399</v>
      </c>
      <c r="E4677" s="26" t="n">
        <v>191716</v>
      </c>
      <c r="F4677" s="26" t="n">
        <v>14810</v>
      </c>
      <c r="G4677" s="26" t="n"/>
      <c r="H4677" s="26" t="n"/>
      <c r="I4677" s="26" t="n"/>
      <c r="J4677" s="19" t="n">
        <v>0</v>
      </c>
      <c r="K4677" s="37" t="n">
        <v>0.065</v>
      </c>
    </row>
    <row r="4678">
      <c r="A4678" s="34" t="inlineStr">
        <is>
          <t>Overtid faste</t>
        </is>
      </c>
      <c r="B4678" s="34" t="inlineStr">
        <is>
          <t>Region Øst</t>
        </is>
      </c>
      <c r="C4678" s="34" t="inlineStr">
        <is>
          <t>Hedmark ungdoms- og familiesenter - akutt, adm</t>
        </is>
      </c>
      <c r="D4678" s="18" t="n"/>
      <c r="E4678" s="18" t="n"/>
      <c r="F4678" s="18" t="n"/>
      <c r="G4678" s="18" t="n"/>
      <c r="H4678" s="18" t="n"/>
      <c r="I4678" s="18" t="n">
        <v>70124</v>
      </c>
      <c r="J4678" s="19" t="n">
        <v>79536.39389999998</v>
      </c>
      <c r="K4678" s="35" t="n">
        <v>0.065</v>
      </c>
    </row>
    <row r="4679">
      <c r="A4679" s="36" t="inlineStr">
        <is>
          <t>Overtid faste</t>
        </is>
      </c>
      <c r="B4679" s="36" t="inlineStr">
        <is>
          <t>Region Øst</t>
        </is>
      </c>
      <c r="C4679" s="36" t="inlineStr">
        <is>
          <t>Hedmark ungdoms- og familiesenter - akutt, avd Disen</t>
        </is>
      </c>
      <c r="D4679" s="26" t="n"/>
      <c r="E4679" s="26" t="n"/>
      <c r="F4679" s="26" t="n"/>
      <c r="G4679" s="26" t="n"/>
      <c r="H4679" s="26" t="n"/>
      <c r="I4679" s="26" t="n">
        <v>334200</v>
      </c>
      <c r="J4679" s="19" t="n">
        <v>379057.9949999999</v>
      </c>
      <c r="K4679" s="37" t="n">
        <v>0.065</v>
      </c>
    </row>
    <row r="4680">
      <c r="A4680" s="34" t="inlineStr">
        <is>
          <t>Overtid faste</t>
        </is>
      </c>
      <c r="B4680" s="34" t="inlineStr">
        <is>
          <t>Region Øst</t>
        </is>
      </c>
      <c r="C4680" s="34" t="inlineStr">
        <is>
          <t>Hedmark ungdoms- og familiesenter - akutt, avd Stange 1</t>
        </is>
      </c>
      <c r="D4680" s="18" t="n"/>
      <c r="E4680" s="18" t="n"/>
      <c r="F4680" s="18" t="n"/>
      <c r="G4680" s="18" t="n"/>
      <c r="H4680" s="18" t="n"/>
      <c r="I4680" s="18" t="n">
        <v>609493</v>
      </c>
      <c r="J4680" s="19" t="n">
        <v>691302.1979249999</v>
      </c>
      <c r="K4680" s="35" t="n">
        <v>0.065</v>
      </c>
    </row>
    <row r="4681">
      <c r="A4681" s="36" t="inlineStr">
        <is>
          <t>Overtid faste</t>
        </is>
      </c>
      <c r="B4681" s="36" t="inlineStr">
        <is>
          <t>Region Øst</t>
        </is>
      </c>
      <c r="C4681" s="36" t="inlineStr">
        <is>
          <t>Hedmark ungdoms- og familiesenter - akutt, avd Vien 1</t>
        </is>
      </c>
      <c r="D4681" s="26" t="n"/>
      <c r="E4681" s="26" t="n"/>
      <c r="F4681" s="26" t="n"/>
      <c r="G4681" s="26" t="n"/>
      <c r="H4681" s="26" t="n"/>
      <c r="I4681" s="26" t="n">
        <v>794511</v>
      </c>
      <c r="J4681" s="19" t="n">
        <v>901154.2389749999</v>
      </c>
      <c r="K4681" s="37" t="n">
        <v>0.065</v>
      </c>
    </row>
    <row r="4682">
      <c r="A4682" s="34" t="inlineStr">
        <is>
          <t>Overtid faste</t>
        </is>
      </c>
      <c r="B4682" s="34" t="inlineStr">
        <is>
          <t>Region Øst</t>
        </is>
      </c>
      <c r="C4682" s="34" t="inlineStr">
        <is>
          <t>Hedmark ungdoms- og familiesenter - akutt, avd Vien 2</t>
        </is>
      </c>
      <c r="D4682" s="18" t="n"/>
      <c r="E4682" s="18" t="n"/>
      <c r="F4682" s="18" t="n"/>
      <c r="G4682" s="18" t="n"/>
      <c r="H4682" s="18" t="n"/>
      <c r="I4682" s="18" t="n">
        <v>707352</v>
      </c>
      <c r="J4682" s="19" t="n">
        <v>802296.3221999998</v>
      </c>
      <c r="K4682" s="35" t="n">
        <v>0.065</v>
      </c>
    </row>
    <row r="4683">
      <c r="A4683" s="36" t="inlineStr">
        <is>
          <t>Overtid faste</t>
        </is>
      </c>
      <c r="B4683" s="36" t="inlineStr">
        <is>
          <t>Region Øst</t>
        </is>
      </c>
      <c r="C4683" s="36" t="inlineStr">
        <is>
          <t>Innlandet Barnevernsenter avdeling Sandvig</t>
        </is>
      </c>
      <c r="D4683" s="26" t="n">
        <v>53693</v>
      </c>
      <c r="E4683" s="26" t="n">
        <v>63703</v>
      </c>
      <c r="F4683" s="26" t="n">
        <v>191465</v>
      </c>
      <c r="G4683" s="26" t="n">
        <v>185223</v>
      </c>
      <c r="H4683" s="26" t="n">
        <v>322420</v>
      </c>
      <c r="I4683" s="26" t="n">
        <v>335844</v>
      </c>
      <c r="J4683" s="19" t="n">
        <v>524756.25</v>
      </c>
      <c r="K4683" s="37" t="n">
        <v>0.25</v>
      </c>
    </row>
    <row r="4684">
      <c r="A4684" s="34" t="inlineStr">
        <is>
          <t>Overtid faste</t>
        </is>
      </c>
      <c r="B4684" s="34" t="inlineStr">
        <is>
          <t>Region Øst</t>
        </is>
      </c>
      <c r="C4684" s="34" t="inlineStr">
        <is>
          <t>Innlandet barnevernsenter avdeling Aukrust</t>
        </is>
      </c>
      <c r="D4684" s="18" t="n">
        <v>58987</v>
      </c>
      <c r="E4684" s="18" t="n">
        <v>62269</v>
      </c>
      <c r="F4684" s="18" t="n">
        <v>156225</v>
      </c>
      <c r="G4684" s="18" t="n">
        <v>164207</v>
      </c>
      <c r="H4684" s="18" t="n">
        <v>322870</v>
      </c>
      <c r="I4684" s="18" t="n">
        <v>533222</v>
      </c>
      <c r="J4684" s="19" t="n">
        <v>833159.375</v>
      </c>
      <c r="K4684" s="35" t="n">
        <v>0.25</v>
      </c>
    </row>
    <row r="4685">
      <c r="A4685" s="36" t="inlineStr">
        <is>
          <t>Overtid faste</t>
        </is>
      </c>
      <c r="B4685" s="36" t="inlineStr">
        <is>
          <t>Region Øst</t>
        </is>
      </c>
      <c r="C4685" s="36" t="inlineStr">
        <is>
          <t>Innlandet barnevernsenter avdeling Kauffeldt</t>
        </is>
      </c>
      <c r="D4685" s="26" t="n"/>
      <c r="E4685" s="26" t="n"/>
      <c r="F4685" s="26" t="n"/>
      <c r="G4685" s="26" t="n">
        <v>26909</v>
      </c>
      <c r="H4685" s="26" t="n">
        <v>503399</v>
      </c>
      <c r="I4685" s="26" t="n">
        <v>405118</v>
      </c>
      <c r="J4685" s="19" t="n">
        <v>459494.9635499999</v>
      </c>
      <c r="K4685" s="37" t="n">
        <v>0.065</v>
      </c>
    </row>
    <row r="4686">
      <c r="A4686" s="34" t="inlineStr">
        <is>
          <t>Overtid faste</t>
        </is>
      </c>
      <c r="B4686" s="34" t="inlineStr">
        <is>
          <t>Region Øst</t>
        </is>
      </c>
      <c r="C4686" s="34" t="inlineStr">
        <is>
          <t>Innlandet barnevernsenter avdeling Prøysen</t>
        </is>
      </c>
      <c r="D4686" s="18" t="n">
        <v>67196</v>
      </c>
      <c r="E4686" s="18" t="n">
        <v>104492</v>
      </c>
      <c r="F4686" s="18" t="n">
        <v>248569</v>
      </c>
      <c r="G4686" s="18" t="n">
        <v>647362</v>
      </c>
      <c r="H4686" s="18" t="n">
        <v>457324</v>
      </c>
      <c r="I4686" s="18" t="n">
        <v>381011</v>
      </c>
      <c r="J4686" s="19" t="n">
        <v>595329.6875</v>
      </c>
      <c r="K4686" s="35" t="n">
        <v>0.25</v>
      </c>
    </row>
    <row r="4687">
      <c r="A4687" s="36" t="inlineStr">
        <is>
          <t>Overtid faste</t>
        </is>
      </c>
      <c r="B4687" s="36" t="inlineStr">
        <is>
          <t>Region Øst</t>
        </is>
      </c>
      <c r="C4687" s="36" t="inlineStr">
        <is>
          <t>Innlandet barnevernsenter avdeling Vestly</t>
        </is>
      </c>
      <c r="D4687" s="26" t="n">
        <v>54242</v>
      </c>
      <c r="E4687" s="26" t="n">
        <v>80315</v>
      </c>
      <c r="F4687" s="26" t="n">
        <v>231333</v>
      </c>
      <c r="G4687" s="26" t="n">
        <v>339396</v>
      </c>
      <c r="H4687" s="26" t="n">
        <v>323749</v>
      </c>
      <c r="I4687" s="26" t="n">
        <v>246357</v>
      </c>
      <c r="J4687" s="19" t="n">
        <v>384932.8125</v>
      </c>
      <c r="K4687" s="37" t="n">
        <v>0.25</v>
      </c>
    </row>
    <row r="4688">
      <c r="A4688" s="34" t="inlineStr">
        <is>
          <t>Overtid faste</t>
        </is>
      </c>
      <c r="B4688" s="34" t="inlineStr">
        <is>
          <t>Region Øst</t>
        </is>
      </c>
      <c r="C4688" s="34" t="inlineStr">
        <is>
          <t>Jong ungdoms- og familiesenter, Administrasjon</t>
        </is>
      </c>
      <c r="D4688" s="18" t="n">
        <v>2422</v>
      </c>
      <c r="E4688" s="18" t="n">
        <v>657</v>
      </c>
      <c r="F4688" s="18" t="n">
        <v>27802</v>
      </c>
      <c r="G4688" s="18" t="n">
        <v>51627</v>
      </c>
      <c r="H4688" s="18" t="n">
        <v>10011</v>
      </c>
      <c r="I4688" s="18" t="n"/>
      <c r="J4688" s="19" t="n">
        <v>0</v>
      </c>
      <c r="K4688" s="35" t="n">
        <v>0.065</v>
      </c>
    </row>
    <row r="4689">
      <c r="A4689" s="36" t="inlineStr">
        <is>
          <t>Overtid faste</t>
        </is>
      </c>
      <c r="B4689" s="36" t="inlineStr">
        <is>
          <t>Region Øst</t>
        </is>
      </c>
      <c r="C4689" s="36" t="inlineStr">
        <is>
          <t>Jong ungdoms- og familiesenter, adm</t>
        </is>
      </c>
      <c r="D4689" s="26" t="n"/>
      <c r="E4689" s="26" t="n"/>
      <c r="F4689" s="26" t="n"/>
      <c r="G4689" s="26" t="n"/>
      <c r="H4689" s="26" t="n"/>
      <c r="I4689" s="26" t="n">
        <v>25366</v>
      </c>
      <c r="J4689" s="19" t="n">
        <v>28770.75134999999</v>
      </c>
      <c r="K4689" s="37" t="n">
        <v>0.065</v>
      </c>
    </row>
    <row r="4690">
      <c r="A4690" s="34" t="inlineStr">
        <is>
          <t>Overtid faste</t>
        </is>
      </c>
      <c r="B4690" s="34" t="inlineStr">
        <is>
          <t>Region Øst</t>
        </is>
      </c>
      <c r="C4690" s="34" t="inlineStr">
        <is>
          <t>Jong ungdoms- og familiesenter, avd Åsen</t>
        </is>
      </c>
      <c r="D4690" s="18" t="n"/>
      <c r="E4690" s="18" t="n"/>
      <c r="F4690" s="18" t="n"/>
      <c r="G4690" s="18" t="n"/>
      <c r="H4690" s="18" t="n"/>
      <c r="I4690" s="18" t="n">
        <v>1040411</v>
      </c>
      <c r="J4690" s="19" t="n">
        <v>1180060.166475</v>
      </c>
      <c r="K4690" s="35" t="n">
        <v>0.065</v>
      </c>
    </row>
    <row r="4691">
      <c r="A4691" s="36" t="inlineStr">
        <is>
          <t>Overtid faste</t>
        </is>
      </c>
      <c r="B4691" s="36" t="inlineStr">
        <is>
          <t>Region Øst</t>
        </is>
      </c>
      <c r="C4691" s="36" t="inlineStr">
        <is>
          <t>Jong ungdoms- og familiesenter, avd. Kollen</t>
        </is>
      </c>
      <c r="D4691" s="26" t="n"/>
      <c r="E4691" s="26" t="n"/>
      <c r="F4691" s="26" t="n"/>
      <c r="G4691" s="26" t="n"/>
      <c r="H4691" s="26" t="n"/>
      <c r="I4691" s="26" t="n">
        <v>742431</v>
      </c>
      <c r="J4691" s="19" t="n">
        <v>842083.8009749999</v>
      </c>
      <c r="K4691" s="37" t="n">
        <v>0.065</v>
      </c>
    </row>
    <row r="4692">
      <c r="A4692" s="34" t="inlineStr">
        <is>
          <t>Overtid faste</t>
        </is>
      </c>
      <c r="B4692" s="34" t="inlineStr">
        <is>
          <t>Region Øst</t>
        </is>
      </c>
      <c r="C4692" s="34" t="inlineStr">
        <is>
          <t>Jong ungdoms- og familiesenter, avdeling Kollen</t>
        </is>
      </c>
      <c r="D4692" s="18" t="n">
        <v>1211</v>
      </c>
      <c r="E4692" s="18" t="n">
        <v>329</v>
      </c>
      <c r="F4692" s="18" t="n">
        <v>4401</v>
      </c>
      <c r="G4692" s="18" t="n">
        <v>6614</v>
      </c>
      <c r="H4692" s="18" t="n">
        <v>420394</v>
      </c>
      <c r="I4692" s="18" t="n">
        <v>8509</v>
      </c>
      <c r="J4692" s="19" t="n">
        <v>13295.3125</v>
      </c>
      <c r="K4692" s="35" t="n">
        <v>0.25</v>
      </c>
    </row>
    <row r="4693">
      <c r="A4693" s="36" t="inlineStr">
        <is>
          <t>Overtid faste</t>
        </is>
      </c>
      <c r="B4693" s="36" t="inlineStr">
        <is>
          <t>Region Øst</t>
        </is>
      </c>
      <c r="C4693" s="36" t="inlineStr">
        <is>
          <t>Jong ungdoms- og familiesenter, avdeling Åsen</t>
        </is>
      </c>
      <c r="D4693" s="26" t="n">
        <v>428354</v>
      </c>
      <c r="E4693" s="26" t="n">
        <v>397386</v>
      </c>
      <c r="F4693" s="26" t="n">
        <v>476726</v>
      </c>
      <c r="G4693" s="26" t="n">
        <v>701710</v>
      </c>
      <c r="H4693" s="26" t="n">
        <v>1245773</v>
      </c>
      <c r="I4693" s="26" t="n"/>
      <c r="J4693" s="19" t="n">
        <v>0</v>
      </c>
      <c r="K4693" s="37" t="n">
        <v>0.065</v>
      </c>
    </row>
    <row r="4694">
      <c r="A4694" s="34" t="inlineStr">
        <is>
          <t>Overtid faste</t>
        </is>
      </c>
      <c r="B4694" s="34" t="inlineStr">
        <is>
          <t>Region Øst</t>
        </is>
      </c>
      <c r="C4694" s="34" t="inlineStr">
        <is>
          <t>Kirkenær barnever- og omsorgssenter Avdeling Frigg</t>
        </is>
      </c>
      <c r="D4694" s="18" t="n"/>
      <c r="E4694" s="18" t="n">
        <v>139438</v>
      </c>
      <c r="F4694" s="18" t="n">
        <v>291265</v>
      </c>
      <c r="G4694" s="18" t="n">
        <v>295131</v>
      </c>
      <c r="H4694" s="18" t="n">
        <v>451496</v>
      </c>
      <c r="I4694" s="18" t="n">
        <v>198061</v>
      </c>
      <c r="J4694" s="19" t="n">
        <v>236052.1055942212</v>
      </c>
      <c r="K4694" s="35" t="n">
        <v>0.09170287903963548</v>
      </c>
    </row>
    <row r="4695">
      <c r="A4695" s="36" t="inlineStr">
        <is>
          <t>Overtid faste</t>
        </is>
      </c>
      <c r="B4695" s="36" t="inlineStr">
        <is>
          <t>Region Øst</t>
        </is>
      </c>
      <c r="C4695" s="36" t="inlineStr">
        <is>
          <t>Kirkenær barnevern- og omsorgssenter  Administrasjon</t>
        </is>
      </c>
      <c r="D4695" s="26" t="n">
        <v>28695</v>
      </c>
      <c r="E4695" s="26" t="n">
        <v>85357</v>
      </c>
      <c r="F4695" s="26" t="n">
        <v>80364</v>
      </c>
      <c r="G4695" s="26" t="n">
        <v>9785</v>
      </c>
      <c r="H4695" s="26" t="n">
        <v>18949</v>
      </c>
      <c r="I4695" s="26" t="n">
        <v>9585</v>
      </c>
      <c r="J4695" s="19" t="n">
        <v>6181.679327963588</v>
      </c>
      <c r="K4695" s="37" t="n">
        <v>-0.196923019105953</v>
      </c>
    </row>
    <row r="4696">
      <c r="A4696" s="34" t="inlineStr">
        <is>
          <t>Overtid faste</t>
        </is>
      </c>
      <c r="B4696" s="34" t="inlineStr">
        <is>
          <t>Region Øst</t>
        </is>
      </c>
      <c r="C4696" s="34" t="inlineStr">
        <is>
          <t>Kirkenær barnevern- og omsorgssenter  Avdeling Frydenlund</t>
        </is>
      </c>
      <c r="D4696" s="18" t="n"/>
      <c r="E4696" s="18" t="n">
        <v>4158</v>
      </c>
      <c r="F4696" s="18" t="n"/>
      <c r="G4696" s="18" t="n"/>
      <c r="H4696" s="18" t="n"/>
      <c r="I4696" s="18" t="n"/>
      <c r="J4696" s="19" t="n">
        <v>0</v>
      </c>
      <c r="K4696" s="35" t="n">
        <v>0.065</v>
      </c>
    </row>
    <row r="4697">
      <c r="A4697" s="36" t="inlineStr">
        <is>
          <t>Overtid faste</t>
        </is>
      </c>
      <c r="B4697" s="36" t="inlineStr">
        <is>
          <t>Region Øst</t>
        </is>
      </c>
      <c r="C4697" s="36" t="inlineStr">
        <is>
          <t>Kirkenær barnevern- og omsorgssenter  Avdeling Furubo</t>
        </is>
      </c>
      <c r="D4697" s="26" t="n">
        <v>1649</v>
      </c>
      <c r="E4697" s="26" t="n">
        <v>255485</v>
      </c>
      <c r="F4697" s="26" t="n"/>
      <c r="G4697" s="26" t="n"/>
      <c r="H4697" s="26" t="n"/>
      <c r="I4697" s="26" t="n"/>
      <c r="J4697" s="19" t="n">
        <v>0</v>
      </c>
      <c r="K4697" s="37" t="n">
        <v>0.065</v>
      </c>
    </row>
    <row r="4698">
      <c r="A4698" s="34" t="inlineStr">
        <is>
          <t>Overtid faste</t>
        </is>
      </c>
      <c r="B4698" s="34" t="inlineStr">
        <is>
          <t>Region Øst</t>
        </is>
      </c>
      <c r="C4698" s="34" t="inlineStr">
        <is>
          <t>Kirkenær barnevern- og omsorgssenter  Edda ungdomshjem</t>
        </is>
      </c>
      <c r="D4698" s="18" t="n">
        <v>154274</v>
      </c>
      <c r="E4698" s="18" t="n">
        <v>242695</v>
      </c>
      <c r="F4698" s="18" t="n">
        <v>353369</v>
      </c>
      <c r="G4698" s="18" t="n">
        <v>294835</v>
      </c>
      <c r="H4698" s="18" t="n">
        <v>241362</v>
      </c>
      <c r="I4698" s="18" t="n">
        <v>333243</v>
      </c>
      <c r="J4698" s="19" t="n">
        <v>453469.7836507613</v>
      </c>
      <c r="K4698" s="35" t="n">
        <v>0.1665239482425116</v>
      </c>
    </row>
    <row r="4699">
      <c r="A4699" s="36" t="inlineStr">
        <is>
          <t>Overtid faste</t>
        </is>
      </c>
      <c r="B4699" s="36" t="inlineStr">
        <is>
          <t>Region Øst</t>
        </is>
      </c>
      <c r="C4699" s="36" t="inlineStr">
        <is>
          <t>Kirkenær barnevern- og omsorgssenter  Snorre ungdomshjem</t>
        </is>
      </c>
      <c r="D4699" s="26" t="n">
        <v>85348</v>
      </c>
      <c r="E4699" s="26" t="n">
        <v>117191</v>
      </c>
      <c r="F4699" s="26" t="n">
        <v>111886</v>
      </c>
      <c r="G4699" s="26" t="n">
        <v>64102</v>
      </c>
      <c r="H4699" s="26" t="n">
        <v>107327</v>
      </c>
      <c r="I4699" s="26" t="n">
        <v>143773</v>
      </c>
      <c r="J4699" s="19" t="n">
        <v>177121.3564349606</v>
      </c>
      <c r="K4699" s="37" t="n">
        <v>0.1099330854927203</v>
      </c>
    </row>
    <row r="4700">
      <c r="A4700" s="34" t="inlineStr">
        <is>
          <t>Overtid faste</t>
        </is>
      </c>
      <c r="B4700" s="34" t="inlineStr">
        <is>
          <t>Region Øst</t>
        </is>
      </c>
      <c r="C4700" s="34" t="inlineStr">
        <is>
          <t>Kirkenær barnevern- og omsorgssenter Avdeling Balder</t>
        </is>
      </c>
      <c r="D4700" s="18" t="n">
        <v>137348</v>
      </c>
      <c r="E4700" s="18" t="n">
        <v>262519</v>
      </c>
      <c r="F4700" s="18" t="n">
        <v>320566</v>
      </c>
      <c r="G4700" s="18" t="n">
        <v>244377</v>
      </c>
      <c r="H4700" s="18" t="n">
        <v>679295</v>
      </c>
      <c r="I4700" s="18" t="n">
        <v>249103</v>
      </c>
      <c r="J4700" s="19" t="n">
        <v>316083.3394758526</v>
      </c>
      <c r="K4700" s="35" t="n">
        <v>0.1264484547934976</v>
      </c>
    </row>
    <row r="4701">
      <c r="A4701" s="36" t="inlineStr">
        <is>
          <t>Overtid faste</t>
        </is>
      </c>
      <c r="B4701" s="36" t="inlineStr">
        <is>
          <t>Region Øst</t>
        </is>
      </c>
      <c r="C4701" s="36" t="inlineStr">
        <is>
          <t>Kirkenær barnevern- og omsorgssenter avdeling for spesialiserte fosterhjem</t>
        </is>
      </c>
      <c r="D4701" s="26" t="n">
        <v>34774</v>
      </c>
      <c r="E4701" s="26" t="n">
        <v>24614</v>
      </c>
      <c r="F4701" s="26" t="n">
        <v>1862</v>
      </c>
      <c r="G4701" s="26" t="n"/>
      <c r="H4701" s="26" t="n"/>
      <c r="I4701" s="26" t="n"/>
      <c r="J4701" s="19" t="n">
        <v>0</v>
      </c>
      <c r="K4701" s="37" t="n">
        <v>0.065</v>
      </c>
    </row>
    <row r="4702">
      <c r="A4702" s="34" t="inlineStr">
        <is>
          <t>Overtid faste</t>
        </is>
      </c>
      <c r="B4702" s="34" t="inlineStr">
        <is>
          <t>Region Øst</t>
        </is>
      </c>
      <c r="C4702" s="34" t="inlineStr">
        <is>
          <t>Lierfoss ungdoms- og familiesenter - avdeling Skogtun</t>
        </is>
      </c>
      <c r="D4702" s="18" t="n"/>
      <c r="E4702" s="18" t="n"/>
      <c r="F4702" s="18" t="n"/>
      <c r="G4702" s="18" t="n"/>
      <c r="H4702" s="18" t="n">
        <v>256123</v>
      </c>
      <c r="I4702" s="18" t="n">
        <v>363691</v>
      </c>
      <c r="J4702" s="19" t="n">
        <v>412507.4244749999</v>
      </c>
      <c r="K4702" s="35" t="n">
        <v>0.065</v>
      </c>
    </row>
    <row r="4703">
      <c r="A4703" s="36" t="inlineStr">
        <is>
          <t>Overtid faste</t>
        </is>
      </c>
      <c r="B4703" s="36" t="inlineStr">
        <is>
          <t>Region Øst</t>
        </is>
      </c>
      <c r="C4703" s="36" t="inlineStr">
        <is>
          <t>Lierfoss ungdoms- og familiesenter - omsorg  Administrasjon</t>
        </is>
      </c>
      <c r="D4703" s="26" t="n">
        <v>1782</v>
      </c>
      <c r="E4703" s="26" t="n">
        <v>236</v>
      </c>
      <c r="F4703" s="26" t="n"/>
      <c r="G4703" s="26" t="n"/>
      <c r="H4703" s="26" t="n"/>
      <c r="I4703" s="26" t="n"/>
      <c r="J4703" s="19" t="n">
        <v>0</v>
      </c>
      <c r="K4703" s="37" t="n">
        <v>0.065</v>
      </c>
    </row>
    <row r="4704">
      <c r="A4704" s="34" t="inlineStr">
        <is>
          <t>Overtid faste</t>
        </is>
      </c>
      <c r="B4704" s="34" t="inlineStr">
        <is>
          <t>Region Øst</t>
        </is>
      </c>
      <c r="C4704" s="34" t="inlineStr">
        <is>
          <t>Lierfoss ungdoms- og familiesenter - omsorg  Autentoppen ungdomshjem</t>
        </is>
      </c>
      <c r="D4704" s="18" t="n">
        <v>241526</v>
      </c>
      <c r="E4704" s="18" t="n">
        <v>286278</v>
      </c>
      <c r="F4704" s="18" t="n">
        <v>1581</v>
      </c>
      <c r="G4704" s="18" t="n"/>
      <c r="H4704" s="18" t="n"/>
      <c r="I4704" s="18" t="n"/>
      <c r="J4704" s="19" t="n">
        <v>0</v>
      </c>
      <c r="K4704" s="35" t="n">
        <v>0.065</v>
      </c>
    </row>
    <row r="4705">
      <c r="A4705" s="36" t="inlineStr">
        <is>
          <t>Overtid faste</t>
        </is>
      </c>
      <c r="B4705" s="36" t="inlineStr">
        <is>
          <t>Region Øst</t>
        </is>
      </c>
      <c r="C4705" s="36" t="inlineStr">
        <is>
          <t>Lierfoss ungdoms- og familiesenter - omsorg  Berglia ungdomshjem</t>
        </is>
      </c>
      <c r="D4705" s="26" t="n">
        <v>305219</v>
      </c>
      <c r="E4705" s="26" t="n">
        <v>468095</v>
      </c>
      <c r="F4705" s="26" t="n">
        <v>316897</v>
      </c>
      <c r="G4705" s="26" t="n">
        <v>446813</v>
      </c>
      <c r="H4705" s="26" t="n">
        <v>202381</v>
      </c>
      <c r="I4705" s="26" t="n">
        <v>406649</v>
      </c>
      <c r="J4705" s="19" t="n">
        <v>456103.0391317351</v>
      </c>
      <c r="K4705" s="37" t="n">
        <v>0.05906259312640461</v>
      </c>
    </row>
    <row r="4706">
      <c r="A4706" s="34" t="inlineStr">
        <is>
          <t>Overtid faste</t>
        </is>
      </c>
      <c r="B4706" s="34" t="inlineStr">
        <is>
          <t>Region Øst</t>
        </is>
      </c>
      <c r="C4706" s="34" t="inlineStr">
        <is>
          <t>Lierfoss ungdoms- og familiesenter - omsorg  Furulia ungdomshjem</t>
        </is>
      </c>
      <c r="D4706" s="18" t="n">
        <v>49422</v>
      </c>
      <c r="E4706" s="18" t="n">
        <v>125421</v>
      </c>
      <c r="F4706" s="18" t="n">
        <v>306321</v>
      </c>
      <c r="G4706" s="18" t="n">
        <v>512913</v>
      </c>
      <c r="H4706" s="18" t="n">
        <v>411363</v>
      </c>
      <c r="I4706" s="18" t="n">
        <v>506875</v>
      </c>
      <c r="J4706" s="19" t="n">
        <v>791992.1875</v>
      </c>
      <c r="K4706" s="35" t="n">
        <v>0.25</v>
      </c>
    </row>
    <row r="4707">
      <c r="A4707" s="36" t="inlineStr">
        <is>
          <t>Overtid faste</t>
        </is>
      </c>
      <c r="B4707" s="36" t="inlineStr">
        <is>
          <t>Region Øst</t>
        </is>
      </c>
      <c r="C4707" s="36" t="inlineStr">
        <is>
          <t>Lierfoss ungdoms- og familiesenter - omsorg Lillehagen</t>
        </is>
      </c>
      <c r="D4707" s="26" t="n">
        <v>176224</v>
      </c>
      <c r="E4707" s="26" t="n">
        <v>274842</v>
      </c>
      <c r="F4707" s="26" t="n"/>
      <c r="G4707" s="26" t="n"/>
      <c r="H4707" s="26" t="n"/>
      <c r="I4707" s="26" t="n"/>
      <c r="J4707" s="19" t="n">
        <v>0</v>
      </c>
      <c r="K4707" s="37" t="n">
        <v>0.065</v>
      </c>
    </row>
    <row r="4708">
      <c r="A4708" s="34" t="inlineStr">
        <is>
          <t>Overtid faste</t>
        </is>
      </c>
      <c r="B4708" s="34" t="inlineStr">
        <is>
          <t>Region Øst</t>
        </is>
      </c>
      <c r="C4708" s="34" t="inlineStr">
        <is>
          <t>Lierfoss ungdoms- og familiesenter, avdeling Riserhagen</t>
        </is>
      </c>
      <c r="D4708" s="18" t="n"/>
      <c r="E4708" s="18" t="n">
        <v>24495</v>
      </c>
      <c r="F4708" s="18" t="n">
        <v>1108461</v>
      </c>
      <c r="G4708" s="18" t="n">
        <v>791240</v>
      </c>
      <c r="H4708" s="18" t="n">
        <v>345762</v>
      </c>
      <c r="I4708" s="18" t="n">
        <v>259799</v>
      </c>
      <c r="J4708" s="19" t="n">
        <v>405935.9375</v>
      </c>
      <c r="K4708" s="35" t="n">
        <v>0.25</v>
      </c>
    </row>
    <row r="4709">
      <c r="A4709" s="36" t="inlineStr">
        <is>
          <t>Overtid faste</t>
        </is>
      </c>
      <c r="B4709" s="36" t="inlineStr">
        <is>
          <t>Region Øst</t>
        </is>
      </c>
      <c r="C4709" s="36" t="inlineStr">
        <is>
          <t>Regionkontor Seksjon ØV - teknisk Statlige institusjoner</t>
        </is>
      </c>
      <c r="D4709" s="26" t="n"/>
      <c r="E4709" s="26" t="n"/>
      <c r="F4709" s="26" t="n">
        <v>366</v>
      </c>
      <c r="G4709" s="26" t="n"/>
      <c r="H4709" s="26" t="n"/>
      <c r="I4709" s="26" t="n"/>
      <c r="J4709" s="19" t="n">
        <v>0</v>
      </c>
      <c r="K4709" s="37" t="n">
        <v>0.065</v>
      </c>
    </row>
    <row r="4710">
      <c r="A4710" s="34" t="inlineStr">
        <is>
          <t>Overtid faste</t>
        </is>
      </c>
      <c r="B4710" s="34" t="inlineStr">
        <is>
          <t>Region Øst</t>
        </is>
      </c>
      <c r="C4710" s="34" t="inlineStr">
        <is>
          <t>Sarpsborg ungdoms og familiesenter - behandling  Administrasjon</t>
        </is>
      </c>
      <c r="D4710" s="18" t="n">
        <v>13944</v>
      </c>
      <c r="E4710" s="18" t="n">
        <v>19467</v>
      </c>
      <c r="F4710" s="18" t="n">
        <v>74850</v>
      </c>
      <c r="G4710" s="18" t="n">
        <v>9624</v>
      </c>
      <c r="H4710" s="18" t="n"/>
      <c r="I4710" s="18" t="n"/>
      <c r="J4710" s="19" t="n">
        <v>0</v>
      </c>
      <c r="K4710" s="35" t="n">
        <v>0.065</v>
      </c>
    </row>
    <row r="4711">
      <c r="A4711" s="36" t="inlineStr">
        <is>
          <t>Overtid faste</t>
        </is>
      </c>
      <c r="B4711" s="36" t="inlineStr">
        <is>
          <t>Region Øst</t>
        </is>
      </c>
      <c r="C4711" s="36" t="inlineStr">
        <is>
          <t>Sarpsborg ungdoms og familiesenter - behandling  Avdeling Østheim</t>
        </is>
      </c>
      <c r="D4711" s="26" t="n">
        <v>429643</v>
      </c>
      <c r="E4711" s="26" t="n">
        <v>255460</v>
      </c>
      <c r="F4711" s="26" t="n">
        <v>356967</v>
      </c>
      <c r="G4711" s="26" t="n">
        <v>495592</v>
      </c>
      <c r="H4711" s="26" t="n"/>
      <c r="I4711" s="26" t="n"/>
      <c r="J4711" s="19" t="n">
        <v>0</v>
      </c>
      <c r="K4711" s="37" t="n">
        <v>0.065</v>
      </c>
    </row>
    <row r="4712">
      <c r="A4712" s="34" t="inlineStr">
        <is>
          <t>Overtid faste</t>
        </is>
      </c>
      <c r="B4712" s="34" t="inlineStr">
        <is>
          <t>Region Øst</t>
        </is>
      </c>
      <c r="C4712" s="34" t="inlineStr">
        <is>
          <t>Sarpsborg ungdoms og familiesenter - behandling  Avdeling Østlund</t>
        </is>
      </c>
      <c r="D4712" s="18" t="n">
        <v>122857</v>
      </c>
      <c r="E4712" s="18" t="n">
        <v>218460</v>
      </c>
      <c r="F4712" s="18" t="n">
        <v>224092</v>
      </c>
      <c r="G4712" s="18" t="n">
        <v>141890</v>
      </c>
      <c r="H4712" s="18" t="n">
        <v>5</v>
      </c>
      <c r="I4712" s="18" t="n"/>
      <c r="J4712" s="19" t="n">
        <v>0</v>
      </c>
      <c r="K4712" s="35" t="n">
        <v>0.065</v>
      </c>
    </row>
    <row r="4713">
      <c r="A4713" s="36" t="inlineStr">
        <is>
          <t>Overtid faste</t>
        </is>
      </c>
      <c r="B4713" s="36" t="inlineStr">
        <is>
          <t>Region Øst</t>
        </is>
      </c>
      <c r="C4713" s="36" t="inlineStr">
        <is>
          <t>Spisskompetansemiljø for trygghet og sikkerhet i institusjon for barn og ansatte</t>
        </is>
      </c>
      <c r="D4713" s="26" t="n">
        <v>24493</v>
      </c>
      <c r="E4713" s="26" t="n">
        <v>87626</v>
      </c>
      <c r="F4713" s="26" t="n">
        <v>26306</v>
      </c>
      <c r="G4713" s="26" t="n">
        <v>14917</v>
      </c>
      <c r="H4713" s="26" t="n">
        <v>9251</v>
      </c>
      <c r="I4713" s="26" t="n">
        <v>2592</v>
      </c>
      <c r="J4713" s="19" t="n">
        <v>1458</v>
      </c>
      <c r="K4713" s="37" t="n">
        <v>-0.25</v>
      </c>
    </row>
    <row r="4714">
      <c r="A4714" s="34" t="inlineStr">
        <is>
          <t>Overtid faste</t>
        </is>
      </c>
      <c r="B4714" s="34" t="inlineStr">
        <is>
          <t>Region Øst</t>
        </is>
      </c>
      <c r="C4714" s="34" t="inlineStr">
        <is>
          <t>Støttespillerne - Huset</t>
        </is>
      </c>
      <c r="D4714" s="18" t="n"/>
      <c r="E4714" s="18" t="n">
        <v>210488</v>
      </c>
      <c r="F4714" s="18" t="n">
        <v>161088</v>
      </c>
      <c r="G4714" s="18" t="n">
        <v>97311</v>
      </c>
      <c r="H4714" s="18" t="n">
        <v>2052</v>
      </c>
      <c r="I4714" s="18" t="n"/>
      <c r="J4714" s="19" t="n">
        <v>0</v>
      </c>
      <c r="K4714" s="35" t="n">
        <v>0.065</v>
      </c>
    </row>
    <row r="4715">
      <c r="A4715" s="36" t="inlineStr">
        <is>
          <t>Overtid faste</t>
        </is>
      </c>
      <c r="B4715" s="36" t="inlineStr">
        <is>
          <t>Region Øst</t>
        </is>
      </c>
      <c r="C4715" s="36" t="inlineStr">
        <is>
          <t>TFCO Lillestrøm</t>
        </is>
      </c>
      <c r="D4715" s="26" t="n"/>
      <c r="E4715" s="26" t="n"/>
      <c r="F4715" s="26" t="n"/>
      <c r="G4715" s="26" t="n">
        <v>317</v>
      </c>
      <c r="H4715" s="26" t="n">
        <v>253</v>
      </c>
      <c r="I4715" s="26" t="n"/>
      <c r="J4715" s="19" t="n">
        <v>0</v>
      </c>
      <c r="K4715" s="37" t="n">
        <v>0.065</v>
      </c>
    </row>
    <row r="4716">
      <c r="A4716" s="34" t="inlineStr">
        <is>
          <t>Overtid faste</t>
        </is>
      </c>
      <c r="B4716" s="34" t="inlineStr">
        <is>
          <t>Region Øst</t>
        </is>
      </c>
      <c r="C4716" s="34" t="inlineStr">
        <is>
          <t>Ås ungdomssenter  - MulitifunC-behandling  Avdeling Institusjon</t>
        </is>
      </c>
      <c r="D4716" s="18" t="n">
        <v>319524</v>
      </c>
      <c r="E4716" s="18" t="n">
        <v>421715</v>
      </c>
      <c r="F4716" s="18" t="n">
        <v>399159</v>
      </c>
      <c r="G4716" s="18" t="n">
        <v>471210</v>
      </c>
      <c r="H4716" s="18" t="n">
        <v>-1</v>
      </c>
      <c r="I4716" s="18" t="n"/>
      <c r="J4716" s="19" t="n">
        <v>0</v>
      </c>
      <c r="K4716" s="35" t="n">
        <v>0.065</v>
      </c>
    </row>
    <row r="4717">
      <c r="A4717" s="36" t="inlineStr">
        <is>
          <t>Overtid faste</t>
        </is>
      </c>
      <c r="B4717" s="36" t="inlineStr">
        <is>
          <t>Region Øst</t>
        </is>
      </c>
      <c r="C4717" s="36" t="inlineStr">
        <is>
          <t>Ås ungdomssenter - Administrasjon</t>
        </is>
      </c>
      <c r="D4717" s="26" t="n">
        <v>14809</v>
      </c>
      <c r="E4717" s="26" t="n">
        <v>114812</v>
      </c>
      <c r="F4717" s="26" t="n">
        <v>36093</v>
      </c>
      <c r="G4717" s="26" t="n"/>
      <c r="H4717" s="26" t="n"/>
      <c r="I4717" s="26" t="n"/>
      <c r="J4717" s="19" t="n">
        <v>0</v>
      </c>
      <c r="K4717" s="37" t="n">
        <v>0.065</v>
      </c>
    </row>
    <row r="4718">
      <c r="A4718" s="34" t="inlineStr">
        <is>
          <t>Overtid faste</t>
        </is>
      </c>
      <c r="B4718" s="34" t="inlineStr">
        <is>
          <t>Region Øst</t>
        </is>
      </c>
      <c r="C4718" s="34" t="inlineStr">
        <is>
          <t>Østfold ungdoms - og familiesenter - omsorg  Administrasjon</t>
        </is>
      </c>
      <c r="D4718" s="18" t="n"/>
      <c r="E4718" s="18" t="n">
        <v>459</v>
      </c>
      <c r="F4718" s="18" t="n"/>
      <c r="G4718" s="18" t="n"/>
      <c r="H4718" s="18" t="n"/>
      <c r="I4718" s="18" t="n"/>
      <c r="J4718" s="19" t="n">
        <v>0</v>
      </c>
      <c r="K4718" s="35" t="n">
        <v>0.065</v>
      </c>
    </row>
    <row r="4719">
      <c r="A4719" s="36" t="inlineStr">
        <is>
          <t>Overtid faste</t>
        </is>
      </c>
      <c r="B4719" s="36" t="inlineStr">
        <is>
          <t>Region Øst</t>
        </is>
      </c>
      <c r="C4719" s="36" t="inlineStr">
        <is>
          <t>Østfold ungdoms - og familiesenter - omsorg  avdeling Eika</t>
        </is>
      </c>
      <c r="D4719" s="26" t="n">
        <v>5405</v>
      </c>
      <c r="E4719" s="26" t="n"/>
      <c r="F4719" s="26" t="n"/>
      <c r="G4719" s="26" t="n"/>
      <c r="H4719" s="26" t="n"/>
      <c r="I4719" s="26" t="n"/>
      <c r="J4719" s="19" t="n">
        <v>0</v>
      </c>
      <c r="K4719" s="37" t="n">
        <v>0.065</v>
      </c>
    </row>
    <row r="4720">
      <c r="A4720" s="34" t="inlineStr">
        <is>
          <t>Overtid faste</t>
        </is>
      </c>
      <c r="B4720" s="34" t="inlineStr">
        <is>
          <t>Region Øst</t>
        </is>
      </c>
      <c r="C4720" s="34" t="inlineStr">
        <is>
          <t>Østfold ungdoms - og familiesenter - omsorg, avdeling Kurland ungdomshjem</t>
        </is>
      </c>
      <c r="D4720" s="18" t="n">
        <v>69195</v>
      </c>
      <c r="E4720" s="18" t="n">
        <v>32334</v>
      </c>
      <c r="F4720" s="18" t="n">
        <v>6023</v>
      </c>
      <c r="G4720" s="18" t="n">
        <v>764592</v>
      </c>
      <c r="H4720" s="18" t="n">
        <v>132862</v>
      </c>
      <c r="I4720" s="18" t="n">
        <v>151741</v>
      </c>
      <c r="J4720" s="19" t="n">
        <v>207737.180588645</v>
      </c>
      <c r="K4720" s="35" t="n">
        <v>0.1700532994834087</v>
      </c>
    </row>
    <row r="4721">
      <c r="A4721" s="36" t="inlineStr">
        <is>
          <t>Overtid faste</t>
        </is>
      </c>
      <c r="B4721" s="36" t="inlineStr">
        <is>
          <t>Region Øst</t>
        </is>
      </c>
      <c r="C4721" s="36" t="inlineStr">
        <is>
          <t>Østfold ungdoms- og familiesenter - avdeling Fossen</t>
        </is>
      </c>
      <c r="D4721" s="26" t="n"/>
      <c r="E4721" s="26" t="n"/>
      <c r="F4721" s="26" t="n"/>
      <c r="G4721" s="26" t="n"/>
      <c r="H4721" s="26" t="n">
        <v>180310</v>
      </c>
      <c r="I4721" s="26" t="n">
        <v>126784</v>
      </c>
      <c r="J4721" s="19" t="n">
        <v>143801.5824</v>
      </c>
      <c r="K4721" s="37" t="n">
        <v>0.065</v>
      </c>
    </row>
    <row r="4722">
      <c r="A4722" s="34" t="inlineStr">
        <is>
          <t>Overtid faste</t>
        </is>
      </c>
      <c r="B4722" s="34" t="inlineStr">
        <is>
          <t>Region Øst</t>
        </is>
      </c>
      <c r="C4722" s="34" t="inlineStr">
        <is>
          <t>Østfold ungdoms- og familiesenter - omsorg, avdeling Alfheim ungdomshjem</t>
        </is>
      </c>
      <c r="D4722" s="18" t="n">
        <v>85207</v>
      </c>
      <c r="E4722" s="18" t="n">
        <v>196475</v>
      </c>
      <c r="F4722" s="18" t="n">
        <v>177376</v>
      </c>
      <c r="G4722" s="18" t="n">
        <v>164213</v>
      </c>
      <c r="H4722" s="18" t="n">
        <v>84964</v>
      </c>
      <c r="I4722" s="18" t="n">
        <v>190530</v>
      </c>
      <c r="J4722" s="19" t="n">
        <v>262880.640679647</v>
      </c>
      <c r="K4722" s="35" t="n">
        <v>0.1746206148494511</v>
      </c>
    </row>
    <row r="4723">
      <c r="A4723" s="36" t="inlineStr">
        <is>
          <t>Overtid faste</t>
        </is>
      </c>
      <c r="B4723" s="36" t="inlineStr">
        <is>
          <t>Region Øst</t>
        </is>
      </c>
      <c r="C4723" s="36" t="inlineStr">
        <is>
          <t>Østfold ungdoms- og familiesenter - omsorg, avdeling Dal</t>
        </is>
      </c>
      <c r="D4723" s="26" t="n"/>
      <c r="E4723" s="26" t="n">
        <v>31076</v>
      </c>
      <c r="F4723" s="26" t="n">
        <v>70289</v>
      </c>
      <c r="G4723" s="26" t="n">
        <v>184388</v>
      </c>
      <c r="H4723" s="26" t="n">
        <v>343112</v>
      </c>
      <c r="I4723" s="26" t="n">
        <v>149876</v>
      </c>
      <c r="J4723" s="19" t="n">
        <v>234181.25</v>
      </c>
      <c r="K4723" s="37" t="n">
        <v>0.25</v>
      </c>
    </row>
    <row r="4724">
      <c r="A4724" s="34" t="inlineStr">
        <is>
          <t>Overtid faste</t>
        </is>
      </c>
      <c r="B4724" s="34" t="inlineStr">
        <is>
          <t>Region Øst</t>
        </is>
      </c>
      <c r="C4724" s="34" t="inlineStr">
        <is>
          <t>Østfold ungdoms- og familiesenter - omsorg, avdeling Rokkeveien ungdomshjem</t>
        </is>
      </c>
      <c r="D4724" s="18" t="n">
        <v>90763</v>
      </c>
      <c r="E4724" s="18" t="n">
        <v>102469</v>
      </c>
      <c r="F4724" s="18" t="n">
        <v>190412</v>
      </c>
      <c r="G4724" s="18" t="n">
        <v>63761</v>
      </c>
      <c r="H4724" s="18" t="n">
        <v>620370</v>
      </c>
      <c r="I4724" s="18" t="n">
        <v>242228</v>
      </c>
      <c r="J4724" s="19" t="n">
        <v>358715.8311989577</v>
      </c>
      <c r="K4724" s="35" t="n">
        <v>0.2169230023036246</v>
      </c>
    </row>
    <row r="4725">
      <c r="A4725" s="36" t="inlineStr">
        <is>
          <t>Overtid faste</t>
        </is>
      </c>
      <c r="B4725" s="36" t="inlineStr">
        <is>
          <t>Region Øst</t>
        </is>
      </c>
      <c r="C4725" s="36" t="inlineStr">
        <is>
          <t>Østfold ungdoms- og familiesenter - omsorg, avdeling Tune ungdomshjem</t>
        </is>
      </c>
      <c r="D4725" s="26" t="n">
        <v>115169</v>
      </c>
      <c r="E4725" s="26" t="n">
        <v>165342</v>
      </c>
      <c r="F4725" s="26" t="n">
        <v>99224</v>
      </c>
      <c r="G4725" s="26" t="n">
        <v>86689</v>
      </c>
      <c r="H4725" s="26" t="n">
        <v>236174</v>
      </c>
      <c r="I4725" s="26" t="n">
        <v>108172</v>
      </c>
      <c r="J4725" s="19" t="n">
        <v>105493.7097704774</v>
      </c>
      <c r="K4725" s="37" t="n">
        <v>-0.01245736888375926</v>
      </c>
    </row>
    <row r="4726">
      <c r="A4726" s="34" t="inlineStr">
        <is>
          <t>Overtid midl./vik.</t>
        </is>
      </c>
      <c r="B4726" s="34" t="inlineStr">
        <is>
          <t>Region Midt-Norge</t>
        </is>
      </c>
      <c r="C4726" s="34" t="inlineStr">
        <is>
          <t>Buvika ungdomssenter</t>
        </is>
      </c>
      <c r="D4726" s="18" t="n"/>
      <c r="E4726" s="18" t="n">
        <v>108149</v>
      </c>
      <c r="F4726" s="18" t="n">
        <v>158617</v>
      </c>
      <c r="G4726" s="18" t="n">
        <v>138741</v>
      </c>
      <c r="H4726" s="18" t="n">
        <v>710330</v>
      </c>
      <c r="I4726" s="18" t="n">
        <v>141026</v>
      </c>
      <c r="J4726" s="19" t="n">
        <v>161041.3964663703</v>
      </c>
      <c r="K4726" s="35" t="n">
        <v>0.06860984250231339</v>
      </c>
    </row>
    <row r="4727">
      <c r="A4727" s="36" t="inlineStr">
        <is>
          <t>Overtid midl./vik.</t>
        </is>
      </c>
      <c r="B4727" s="36" t="inlineStr">
        <is>
          <t>Region Midt-Norge</t>
        </is>
      </c>
      <c r="C4727" s="36" t="inlineStr">
        <is>
          <t>Clausenengen ungdomshjem</t>
        </is>
      </c>
      <c r="D4727" s="26" t="n">
        <v>94511</v>
      </c>
      <c r="E4727" s="26" t="n">
        <v>56149</v>
      </c>
      <c r="F4727" s="26" t="n">
        <v>147072</v>
      </c>
      <c r="G4727" s="26" t="n">
        <v>89184</v>
      </c>
      <c r="H4727" s="26" t="n">
        <v>222889</v>
      </c>
      <c r="I4727" s="26" t="n">
        <v>184074</v>
      </c>
      <c r="J4727" s="19" t="n">
        <v>240323.6361719555</v>
      </c>
      <c r="K4727" s="37" t="n">
        <v>0.142620517689882</v>
      </c>
    </row>
    <row r="4728">
      <c r="A4728" s="34" t="inlineStr">
        <is>
          <t>Overtid midl./vik.</t>
        </is>
      </c>
      <c r="B4728" s="34" t="inlineStr">
        <is>
          <t>Region Midt-Norge</t>
        </is>
      </c>
      <c r="C4728" s="34" t="inlineStr">
        <is>
          <t>Gilantunet ungdomshjem</t>
        </is>
      </c>
      <c r="D4728" s="18" t="n">
        <v>728667</v>
      </c>
      <c r="E4728" s="18" t="n">
        <v>610052</v>
      </c>
      <c r="F4728" s="18" t="n">
        <v>921700</v>
      </c>
      <c r="G4728" s="18" t="n">
        <v>801942</v>
      </c>
      <c r="H4728" s="18" t="n">
        <v>565901</v>
      </c>
      <c r="I4728" s="18" t="n">
        <v>156400</v>
      </c>
      <c r="J4728" s="19" t="n">
        <v>87975</v>
      </c>
      <c r="K4728" s="35" t="n">
        <v>-0.25</v>
      </c>
    </row>
    <row r="4729">
      <c r="A4729" s="36" t="inlineStr">
        <is>
          <t>Overtid midl./vik.</t>
        </is>
      </c>
      <c r="B4729" s="36" t="inlineStr">
        <is>
          <t>Region Midt-Norge</t>
        </is>
      </c>
      <c r="C4729" s="36" t="inlineStr">
        <is>
          <t>Humla Akuttsenter</t>
        </is>
      </c>
      <c r="D4729" s="26" t="n">
        <v>131189</v>
      </c>
      <c r="E4729" s="26" t="n">
        <v>168130</v>
      </c>
      <c r="F4729" s="26" t="n">
        <v>396738</v>
      </c>
      <c r="G4729" s="26" t="n">
        <v>579929</v>
      </c>
      <c r="H4729" s="26" t="n">
        <v>412738</v>
      </c>
      <c r="I4729" s="26" t="n">
        <v>172393</v>
      </c>
      <c r="J4729" s="19" t="n">
        <v>192295.2292139432</v>
      </c>
      <c r="K4729" s="37" t="n">
        <v>0.05614717361325261</v>
      </c>
    </row>
    <row r="4730">
      <c r="A4730" s="34" t="inlineStr">
        <is>
          <t>Overtid midl./vik.</t>
        </is>
      </c>
      <c r="B4730" s="34" t="inlineStr">
        <is>
          <t>Region Midt-Norge</t>
        </is>
      </c>
      <c r="C4730" s="34" t="inlineStr">
        <is>
          <t>Husafjellheimen ungdomsheim</t>
        </is>
      </c>
      <c r="D4730" s="18" t="n">
        <v>72082</v>
      </c>
      <c r="E4730" s="18" t="n">
        <v>50113</v>
      </c>
      <c r="F4730" s="18" t="n">
        <v>100336</v>
      </c>
      <c r="G4730" s="18" t="n">
        <v>45899</v>
      </c>
      <c r="H4730" s="18" t="n">
        <v>111118</v>
      </c>
      <c r="I4730" s="18" t="n">
        <v>60214</v>
      </c>
      <c r="J4730" s="19" t="n">
        <v>56033.24037926266</v>
      </c>
      <c r="K4730" s="35" t="n">
        <v>-0.03534031250781899</v>
      </c>
    </row>
    <row r="4731">
      <c r="A4731" s="36" t="inlineStr">
        <is>
          <t>Overtid midl./vik.</t>
        </is>
      </c>
      <c r="B4731" s="36" t="inlineStr">
        <is>
          <t>Region Midt-Norge</t>
        </is>
      </c>
      <c r="C4731" s="36" t="inlineStr">
        <is>
          <t>Karienborg ungdomsheim</t>
        </is>
      </c>
      <c r="D4731" s="26" t="n">
        <v>100892</v>
      </c>
      <c r="E4731" s="26" t="n">
        <v>79539</v>
      </c>
      <c r="F4731" s="26" t="n">
        <v>180599</v>
      </c>
      <c r="G4731" s="26" t="n">
        <v>59741</v>
      </c>
      <c r="H4731" s="26" t="n">
        <v>45983</v>
      </c>
      <c r="I4731" s="26" t="n">
        <v>74313</v>
      </c>
      <c r="J4731" s="19" t="n">
        <v>65757.91268016674</v>
      </c>
      <c r="K4731" s="37" t="n">
        <v>-0.05932064531660386</v>
      </c>
    </row>
    <row r="4732">
      <c r="A4732" s="34" t="inlineStr">
        <is>
          <t>Overtid midl./vik.</t>
        </is>
      </c>
      <c r="B4732" s="34" t="inlineStr">
        <is>
          <t>Region Midt-Norge</t>
        </is>
      </c>
      <c r="C4732" s="34" t="inlineStr">
        <is>
          <t>Kollen ungdomsbase</t>
        </is>
      </c>
      <c r="D4732" s="18" t="n">
        <v>72057</v>
      </c>
      <c r="E4732" s="18" t="n">
        <v>162601</v>
      </c>
      <c r="F4732" s="18" t="n">
        <v>198417</v>
      </c>
      <c r="G4732" s="18" t="n">
        <v>110064</v>
      </c>
      <c r="H4732" s="18" t="n">
        <v>210638</v>
      </c>
      <c r="I4732" s="18" t="n">
        <v>36871</v>
      </c>
      <c r="J4732" s="19" t="n">
        <v>28202.55224210464</v>
      </c>
      <c r="K4732" s="35" t="n">
        <v>-0.1254155569426819</v>
      </c>
    </row>
    <row r="4733">
      <c r="A4733" s="36" t="inlineStr">
        <is>
          <t>Overtid midl./vik.</t>
        </is>
      </c>
      <c r="B4733" s="36" t="inlineStr">
        <is>
          <t>Region Midt-Norge</t>
        </is>
      </c>
      <c r="C4733" s="36" t="inlineStr">
        <is>
          <t>Kvammen akuttsenter</t>
        </is>
      </c>
      <c r="D4733" s="26" t="n">
        <v>240608</v>
      </c>
      <c r="E4733" s="26" t="n">
        <v>219441</v>
      </c>
      <c r="F4733" s="26" t="n">
        <v>103081</v>
      </c>
      <c r="G4733" s="26" t="n">
        <v>416296</v>
      </c>
      <c r="H4733" s="26" t="n"/>
      <c r="I4733" s="26" t="n"/>
      <c r="J4733" s="19" t="n">
        <v>0</v>
      </c>
      <c r="K4733" s="37" t="n">
        <v>0.065</v>
      </c>
    </row>
    <row r="4734">
      <c r="A4734" s="34" t="inlineStr">
        <is>
          <t>Overtid midl./vik.</t>
        </is>
      </c>
      <c r="B4734" s="34" t="inlineStr">
        <is>
          <t>Region Midt-Norge</t>
        </is>
      </c>
      <c r="C4734" s="34" t="inlineStr">
        <is>
          <t>Kvammen akuttsenter, avdeling Fannrem</t>
        </is>
      </c>
      <c r="D4734" s="18" t="n"/>
      <c r="E4734" s="18" t="n"/>
      <c r="F4734" s="18" t="n"/>
      <c r="G4734" s="18" t="n"/>
      <c r="H4734" s="18" t="n">
        <v>4221</v>
      </c>
      <c r="I4734" s="18" t="n">
        <v>58098</v>
      </c>
      <c r="J4734" s="19" t="n">
        <v>65896.20404999999</v>
      </c>
      <c r="K4734" s="35" t="n">
        <v>0.065</v>
      </c>
    </row>
    <row r="4735">
      <c r="A4735" s="36" t="inlineStr">
        <is>
          <t>Overtid midl./vik.</t>
        </is>
      </c>
      <c r="B4735" s="36" t="inlineStr">
        <is>
          <t>Region Midt-Norge</t>
        </is>
      </c>
      <c r="C4735" s="36" t="inlineStr">
        <is>
          <t>Kvammen akuttsenter, avdeling Melhus</t>
        </is>
      </c>
      <c r="D4735" s="26" t="n"/>
      <c r="E4735" s="26" t="n"/>
      <c r="F4735" s="26" t="n"/>
      <c r="G4735" s="26" t="n"/>
      <c r="H4735" s="26" t="n">
        <v>244454</v>
      </c>
      <c r="I4735" s="26" t="n">
        <v>177990</v>
      </c>
      <c r="J4735" s="19" t="n">
        <v>201880.70775</v>
      </c>
      <c r="K4735" s="37" t="n">
        <v>0.065</v>
      </c>
    </row>
    <row r="4736">
      <c r="A4736" s="34" t="inlineStr">
        <is>
          <t>Overtid midl./vik.</t>
        </is>
      </c>
      <c r="B4736" s="34" t="inlineStr">
        <is>
          <t>Region Midt-Norge</t>
        </is>
      </c>
      <c r="C4736" s="34" t="inlineStr">
        <is>
          <t>Kvammen, avdelig enetiltak</t>
        </is>
      </c>
      <c r="D4736" s="18" t="n"/>
      <c r="E4736" s="18" t="n"/>
      <c r="F4736" s="18" t="n"/>
      <c r="G4736" s="18" t="n"/>
      <c r="H4736" s="18" t="n"/>
      <c r="I4736" s="18" t="n">
        <v>246350</v>
      </c>
      <c r="J4736" s="19" t="n">
        <v>279416.3287499999</v>
      </c>
      <c r="K4736" s="35" t="n">
        <v>0.065</v>
      </c>
    </row>
    <row r="4737">
      <c r="A4737" s="36" t="inlineStr">
        <is>
          <t>Overtid midl./vik.</t>
        </is>
      </c>
      <c r="B4737" s="36" t="inlineStr">
        <is>
          <t>Region Midt-Norge</t>
        </is>
      </c>
      <c r="C4737" s="36" t="inlineStr">
        <is>
          <t>Moholt ungdomssenter</t>
        </is>
      </c>
      <c r="D4737" s="26" t="n"/>
      <c r="E4737" s="26" t="n"/>
      <c r="F4737" s="26" t="n">
        <v>31403</v>
      </c>
      <c r="G4737" s="26" t="n">
        <v>125395</v>
      </c>
      <c r="H4737" s="26" t="n">
        <v>307709</v>
      </c>
      <c r="I4737" s="26" t="n">
        <v>163755</v>
      </c>
      <c r="J4737" s="19" t="n">
        <v>185735.014875</v>
      </c>
      <c r="K4737" s="37" t="n">
        <v>0.065</v>
      </c>
    </row>
    <row r="4738">
      <c r="A4738" s="34" t="inlineStr">
        <is>
          <t>Overtid midl./vik.</t>
        </is>
      </c>
      <c r="B4738" s="34" t="inlineStr">
        <is>
          <t>Region Midt-Norge</t>
        </is>
      </c>
      <c r="C4738" s="34" t="inlineStr">
        <is>
          <t>Orkdal barnevernsenter</t>
        </is>
      </c>
      <c r="D4738" s="18" t="n">
        <v>903829</v>
      </c>
      <c r="E4738" s="18" t="n">
        <v>1016708</v>
      </c>
      <c r="F4738" s="18" t="n">
        <v>456101</v>
      </c>
      <c r="G4738" s="18" t="n">
        <v>763824</v>
      </c>
      <c r="H4738" s="18" t="n"/>
      <c r="I4738" s="18" t="n"/>
      <c r="J4738" s="19" t="n">
        <v>0</v>
      </c>
      <c r="K4738" s="35" t="n">
        <v>0.065</v>
      </c>
    </row>
    <row r="4739">
      <c r="A4739" s="36" t="inlineStr">
        <is>
          <t>Overtid midl./vik.</t>
        </is>
      </c>
      <c r="B4739" s="36" t="inlineStr">
        <is>
          <t>Region Midt-Norge</t>
        </is>
      </c>
      <c r="C4739" s="36" t="inlineStr">
        <is>
          <t>Ranheim Vestre</t>
        </is>
      </c>
      <c r="D4739" s="26" t="n">
        <v>128578</v>
      </c>
      <c r="E4739" s="26" t="n">
        <v>178353</v>
      </c>
      <c r="F4739" s="26" t="n">
        <v>97288</v>
      </c>
      <c r="G4739" s="26" t="n">
        <v>523394</v>
      </c>
      <c r="H4739" s="26" t="n">
        <v>188444</v>
      </c>
      <c r="I4739" s="26" t="n">
        <v>73952</v>
      </c>
      <c r="J4739" s="19" t="n">
        <v>59273.86229532326</v>
      </c>
      <c r="K4739" s="37" t="n">
        <v>-0.1047245995107045</v>
      </c>
    </row>
    <row r="4740">
      <c r="A4740" s="34" t="inlineStr">
        <is>
          <t>Overtid midl./vik.</t>
        </is>
      </c>
      <c r="B4740" s="34" t="inlineStr">
        <is>
          <t>Region Midt-Norge</t>
        </is>
      </c>
      <c r="C4740" s="34" t="inlineStr">
        <is>
          <t>Skatval ungdomssenter</t>
        </is>
      </c>
      <c r="D4740" s="18" t="n"/>
      <c r="E4740" s="18" t="n"/>
      <c r="F4740" s="18" t="n"/>
      <c r="G4740" s="18" t="n"/>
      <c r="H4740" s="18" t="n"/>
      <c r="I4740" s="18" t="n">
        <v>557133</v>
      </c>
      <c r="J4740" s="19" t="n">
        <v>631914.1769249999</v>
      </c>
      <c r="K4740" s="35" t="n">
        <v>0.065</v>
      </c>
    </row>
    <row r="4741">
      <c r="A4741" s="36" t="inlineStr">
        <is>
          <t>Overtid midl./vik.</t>
        </is>
      </c>
      <c r="B4741" s="36" t="inlineStr">
        <is>
          <t>Region Midt-Norge</t>
        </is>
      </c>
      <c r="C4741" s="36" t="inlineStr">
        <is>
          <t>Spillumheimen ungdomsheim</t>
        </is>
      </c>
      <c r="D4741" s="26" t="n">
        <v>519897</v>
      </c>
      <c r="E4741" s="26" t="n">
        <v>840706</v>
      </c>
      <c r="F4741" s="26" t="n">
        <v>538267</v>
      </c>
      <c r="G4741" s="26" t="n">
        <v>538586</v>
      </c>
      <c r="H4741" s="26" t="n">
        <v>95390</v>
      </c>
      <c r="I4741" s="26" t="n">
        <v>340</v>
      </c>
      <c r="J4741" s="19" t="n">
        <v>191.25</v>
      </c>
      <c r="K4741" s="37" t="n">
        <v>-0.25</v>
      </c>
    </row>
    <row r="4742">
      <c r="A4742" s="34" t="inlineStr">
        <is>
          <t>Overtid midl./vik.</t>
        </is>
      </c>
      <c r="B4742" s="34" t="inlineStr">
        <is>
          <t>Region Midt-Norge</t>
        </is>
      </c>
      <c r="C4742" s="34" t="inlineStr">
        <is>
          <t>Stjørdal ungdomssenter</t>
        </is>
      </c>
      <c r="D4742" s="18" t="n">
        <v>65799</v>
      </c>
      <c r="E4742" s="18" t="n">
        <v>136749</v>
      </c>
      <c r="F4742" s="18" t="n">
        <v>95534</v>
      </c>
      <c r="G4742" s="18" t="n"/>
      <c r="H4742" s="18" t="n"/>
      <c r="I4742" s="18" t="n"/>
      <c r="J4742" s="19" t="n">
        <v>0</v>
      </c>
      <c r="K4742" s="35" t="n">
        <v>0.065</v>
      </c>
    </row>
    <row r="4743">
      <c r="A4743" s="36" t="inlineStr">
        <is>
          <t>Overtid midl./vik.</t>
        </is>
      </c>
      <c r="B4743" s="36" t="inlineStr">
        <is>
          <t>Region Midt-Norge</t>
        </is>
      </c>
      <c r="C4743" s="36" t="inlineStr">
        <is>
          <t>Sunnmørsheimen akuttinstitusjon, avd. Klatrevegen</t>
        </is>
      </c>
      <c r="D4743" s="26" t="n"/>
      <c r="E4743" s="26" t="n"/>
      <c r="F4743" s="26" t="n">
        <v>41486</v>
      </c>
      <c r="G4743" s="26" t="n">
        <v>85225</v>
      </c>
      <c r="H4743" s="26" t="n">
        <v>49285</v>
      </c>
      <c r="I4743" s="26" t="n">
        <v>91537</v>
      </c>
      <c r="J4743" s="19" t="n">
        <v>103823.553825</v>
      </c>
      <c r="K4743" s="37" t="n">
        <v>0.065</v>
      </c>
    </row>
    <row r="4744">
      <c r="A4744" s="34" t="inlineStr">
        <is>
          <t>Overtid midl./vik.</t>
        </is>
      </c>
      <c r="B4744" s="34" t="inlineStr">
        <is>
          <t>Region Midt-Norge</t>
        </is>
      </c>
      <c r="C4744" s="34" t="inlineStr">
        <is>
          <t>Sunnmørsheimen ungdomsheim, avd. Klatrevegen</t>
        </is>
      </c>
      <c r="D4744" s="18" t="n">
        <v>247473</v>
      </c>
      <c r="E4744" s="18" t="n">
        <v>296840</v>
      </c>
      <c r="F4744" s="18" t="n">
        <v>34980</v>
      </c>
      <c r="G4744" s="18" t="n"/>
      <c r="H4744" s="18" t="n"/>
      <c r="I4744" s="18" t="n"/>
      <c r="J4744" s="19" t="n">
        <v>0</v>
      </c>
      <c r="K4744" s="35" t="n">
        <v>0.065</v>
      </c>
    </row>
    <row r="4745">
      <c r="A4745" s="36" t="inlineStr">
        <is>
          <t>Overtid midl./vik.</t>
        </is>
      </c>
      <c r="B4745" s="36" t="inlineStr">
        <is>
          <t>Region Midt-Norge</t>
        </is>
      </c>
      <c r="C4745" s="36" t="inlineStr">
        <is>
          <t>Sunnmørsheimen ungdomsheim, avd. Nygardsvegen</t>
        </is>
      </c>
      <c r="D4745" s="26" t="n">
        <v>232814</v>
      </c>
      <c r="E4745" s="26" t="n">
        <v>276250</v>
      </c>
      <c r="F4745" s="26" t="n">
        <v>173223</v>
      </c>
      <c r="G4745" s="26" t="n">
        <v>155037</v>
      </c>
      <c r="H4745" s="26" t="n">
        <v>341228</v>
      </c>
      <c r="I4745" s="26" t="n">
        <v>45202</v>
      </c>
      <c r="J4745" s="19" t="n">
        <v>25426.125</v>
      </c>
      <c r="K4745" s="37" t="n">
        <v>-0.25</v>
      </c>
    </row>
    <row r="4746">
      <c r="A4746" s="34" t="inlineStr">
        <is>
          <t>Overtid midl./vik.</t>
        </is>
      </c>
      <c r="B4746" s="34" t="inlineStr">
        <is>
          <t>Region Midt-Norge</t>
        </is>
      </c>
      <c r="C4746" s="34" t="inlineStr">
        <is>
          <t>TFCO Trondheim</t>
        </is>
      </c>
      <c r="D4746" s="18" t="n"/>
      <c r="E4746" s="18" t="n">
        <v>8608</v>
      </c>
      <c r="F4746" s="18" t="n"/>
      <c r="G4746" s="18" t="n">
        <v>17213</v>
      </c>
      <c r="H4746" s="18" t="n"/>
      <c r="I4746" s="18" t="n"/>
      <c r="J4746" s="19" t="n">
        <v>0</v>
      </c>
      <c r="K4746" s="35" t="n">
        <v>0.065</v>
      </c>
    </row>
    <row r="4747">
      <c r="A4747" s="36" t="inlineStr">
        <is>
          <t>Overtid midl./vik.</t>
        </is>
      </c>
      <c r="B4747" s="36" t="inlineStr">
        <is>
          <t>Region Midt-Norge</t>
        </is>
      </c>
      <c r="C4747" s="36" t="inlineStr">
        <is>
          <t>Trøndelag behandlingssenter for ungdom</t>
        </is>
      </c>
      <c r="D4747" s="26" t="n"/>
      <c r="E4747" s="26" t="n"/>
      <c r="F4747" s="26" t="n"/>
      <c r="G4747" s="26" t="n">
        <v>15834</v>
      </c>
      <c r="H4747" s="26" t="n">
        <v>20278</v>
      </c>
      <c r="I4747" s="26" t="n"/>
      <c r="J4747" s="19" t="n">
        <v>0</v>
      </c>
      <c r="K4747" s="37" t="n">
        <v>0.065</v>
      </c>
    </row>
    <row r="4748">
      <c r="A4748" s="34" t="inlineStr">
        <is>
          <t>Overtid midl./vik.</t>
        </is>
      </c>
      <c r="B4748" s="34" t="inlineStr">
        <is>
          <t>Region Midt-Norge</t>
        </is>
      </c>
      <c r="C4748" s="34" t="inlineStr">
        <is>
          <t>Vikhovlia akuttsenter</t>
        </is>
      </c>
      <c r="D4748" s="18" t="n">
        <v>106746</v>
      </c>
      <c r="E4748" s="18" t="n">
        <v>155334</v>
      </c>
      <c r="F4748" s="18" t="n">
        <v>100079</v>
      </c>
      <c r="G4748" s="18" t="n">
        <v>181547</v>
      </c>
      <c r="H4748" s="18" t="n">
        <v>114236</v>
      </c>
      <c r="I4748" s="18" t="n">
        <v>61498</v>
      </c>
      <c r="J4748" s="19" t="n">
        <v>49324.73321959804</v>
      </c>
      <c r="K4748" s="35" t="n">
        <v>-0.1044251759355709</v>
      </c>
    </row>
    <row r="4749">
      <c r="A4749" s="36" t="inlineStr">
        <is>
          <t>Overtid midl./vik.</t>
        </is>
      </c>
      <c r="B4749" s="36" t="inlineStr">
        <is>
          <t>Region Nord</t>
        </is>
      </c>
      <c r="C4749" s="36" t="inlineStr">
        <is>
          <t>Alta Ungdomssenter administrasjon</t>
        </is>
      </c>
      <c r="D4749" s="26" t="n"/>
      <c r="E4749" s="26" t="n"/>
      <c r="F4749" s="26" t="n"/>
      <c r="G4749" s="26" t="n"/>
      <c r="H4749" s="26" t="n"/>
      <c r="I4749" s="26" t="n">
        <v>578</v>
      </c>
      <c r="J4749" s="19" t="n">
        <v>655.5820499999999</v>
      </c>
      <c r="K4749" s="37" t="n">
        <v>0.065</v>
      </c>
    </row>
    <row r="4750">
      <c r="A4750" s="34" t="inlineStr">
        <is>
          <t>Overtid midl./vik.</t>
        </is>
      </c>
      <c r="B4750" s="34" t="inlineStr">
        <is>
          <t>Region Nord</t>
        </is>
      </c>
      <c r="C4750" s="34" t="inlineStr">
        <is>
          <t>Alta Ungdomssenter sjøtun</t>
        </is>
      </c>
      <c r="D4750" s="18" t="n">
        <v>264395</v>
      </c>
      <c r="E4750" s="18" t="n">
        <v>296638</v>
      </c>
      <c r="F4750" s="18" t="n">
        <v>474490</v>
      </c>
      <c r="G4750" s="18" t="n">
        <v>295334</v>
      </c>
      <c r="H4750" s="18" t="n">
        <v>366384</v>
      </c>
      <c r="I4750" s="18" t="n">
        <v>105342</v>
      </c>
      <c r="J4750" s="19" t="n">
        <v>72902.24259767763</v>
      </c>
      <c r="K4750" s="35" t="n">
        <v>-0.1681027966069758</v>
      </c>
    </row>
    <row r="4751">
      <c r="A4751" s="36" t="inlineStr">
        <is>
          <t>Overtid midl./vik.</t>
        </is>
      </c>
      <c r="B4751" s="36" t="inlineStr">
        <is>
          <t>Region Nord</t>
        </is>
      </c>
      <c r="C4751" s="36" t="inlineStr">
        <is>
          <t>Alta Ungdomssenter utsikten</t>
        </is>
      </c>
      <c r="D4751" s="26" t="n">
        <v>6556</v>
      </c>
      <c r="E4751" s="26" t="n"/>
      <c r="F4751" s="26" t="n"/>
      <c r="G4751" s="26" t="n"/>
      <c r="H4751" s="26" t="n"/>
      <c r="I4751" s="26" t="n"/>
      <c r="J4751" s="19" t="n">
        <v>0</v>
      </c>
      <c r="K4751" s="37" t="n">
        <v>0.065</v>
      </c>
    </row>
    <row r="4752">
      <c r="A4752" s="34" t="inlineStr">
        <is>
          <t>Overtid midl./vik.</t>
        </is>
      </c>
      <c r="B4752" s="34" t="inlineStr">
        <is>
          <t>Region Nord</t>
        </is>
      </c>
      <c r="C4752" s="34" t="inlineStr">
        <is>
          <t>Alta ungdomssenter Utsikten akutt</t>
        </is>
      </c>
      <c r="D4752" s="18" t="n"/>
      <c r="E4752" s="18" t="n"/>
      <c r="F4752" s="18" t="n"/>
      <c r="G4752" s="18" t="n"/>
      <c r="H4752" s="18" t="n">
        <v>61706</v>
      </c>
      <c r="I4752" s="18" t="n">
        <v>220910</v>
      </c>
      <c r="J4752" s="19" t="n">
        <v>250561.6447499999</v>
      </c>
      <c r="K4752" s="35" t="n">
        <v>0.065</v>
      </c>
    </row>
    <row r="4753">
      <c r="A4753" s="36" t="inlineStr">
        <is>
          <t>Overtid midl./vik.</t>
        </is>
      </c>
      <c r="B4753" s="36" t="inlineStr">
        <is>
          <t>Region Nord</t>
        </is>
      </c>
      <c r="C4753" s="36" t="inlineStr">
        <is>
          <t>Alta ungdomssenter Utsikten omsorg</t>
        </is>
      </c>
      <c r="D4753" s="26" t="n">
        <v>34786</v>
      </c>
      <c r="E4753" s="26" t="n">
        <v>184585</v>
      </c>
      <c r="F4753" s="26" t="n">
        <v>307862</v>
      </c>
      <c r="G4753" s="26" t="n">
        <v>256597</v>
      </c>
      <c r="H4753" s="26" t="n">
        <v>131370</v>
      </c>
      <c r="I4753" s="26" t="n">
        <v>2239</v>
      </c>
      <c r="J4753" s="19" t="n">
        <v>1259.4375</v>
      </c>
      <c r="K4753" s="37" t="n">
        <v>-0.25</v>
      </c>
    </row>
    <row r="4754">
      <c r="A4754" s="34" t="inlineStr">
        <is>
          <t>Overtid midl./vik.</t>
        </is>
      </c>
      <c r="B4754" s="34" t="inlineStr">
        <is>
          <t>Region Nord</t>
        </is>
      </c>
      <c r="C4754" s="34" t="inlineStr">
        <is>
          <t>Bodø behandlingssenter Landegode</t>
        </is>
      </c>
      <c r="D4754" s="18" t="n"/>
      <c r="E4754" s="18" t="n"/>
      <c r="F4754" s="18" t="n"/>
      <c r="G4754" s="18" t="n"/>
      <c r="H4754" s="18" t="n">
        <v>3068</v>
      </c>
      <c r="I4754" s="18" t="n">
        <v>9954</v>
      </c>
      <c r="J4754" s="19" t="n">
        <v>11290.07565</v>
      </c>
      <c r="K4754" s="35" t="n">
        <v>0.065</v>
      </c>
    </row>
    <row r="4755">
      <c r="A4755" s="36" t="inlineStr">
        <is>
          <t>Overtid midl./vik.</t>
        </is>
      </c>
      <c r="B4755" s="36" t="inlineStr">
        <is>
          <t>Region Nord</t>
        </is>
      </c>
      <c r="C4755" s="36" t="inlineStr">
        <is>
          <t>Bodø behandlingssenter Sandhornet</t>
        </is>
      </c>
      <c r="D4755" s="26" t="n">
        <v>159373</v>
      </c>
      <c r="E4755" s="26" t="n">
        <v>173947</v>
      </c>
      <c r="F4755" s="26" t="n">
        <v>210273</v>
      </c>
      <c r="G4755" s="26" t="n">
        <v>240706</v>
      </c>
      <c r="H4755" s="26" t="n">
        <v>527422</v>
      </c>
      <c r="I4755" s="26" t="n">
        <v>376134</v>
      </c>
      <c r="J4755" s="19" t="n">
        <v>530290.357728767</v>
      </c>
      <c r="K4755" s="37" t="n">
        <v>0.1873686249826663</v>
      </c>
    </row>
    <row r="4756">
      <c r="A4756" s="34" t="inlineStr">
        <is>
          <t>Overtid midl./vik.</t>
        </is>
      </c>
      <c r="B4756" s="34" t="inlineStr">
        <is>
          <t>Region Nord</t>
        </is>
      </c>
      <c r="C4756" s="34" t="inlineStr">
        <is>
          <t>Lamo ungdomssenter Tunet</t>
        </is>
      </c>
      <c r="D4756" s="18" t="n">
        <v>245868</v>
      </c>
      <c r="E4756" s="18" t="n">
        <v>641194</v>
      </c>
      <c r="F4756" s="18" t="n">
        <v>82729</v>
      </c>
      <c r="G4756" s="18" t="n">
        <v>2220889</v>
      </c>
      <c r="H4756" s="18" t="n">
        <v>334335</v>
      </c>
      <c r="I4756" s="18" t="n">
        <v>174994</v>
      </c>
      <c r="J4756" s="19" t="n">
        <v>152739.5892198522</v>
      </c>
      <c r="K4756" s="35" t="n">
        <v>-0.06574758325073804</v>
      </c>
    </row>
    <row r="4757">
      <c r="A4757" s="36" t="inlineStr">
        <is>
          <t>Overtid midl./vik.</t>
        </is>
      </c>
      <c r="B4757" s="36" t="inlineStr">
        <is>
          <t>Region Nord</t>
        </is>
      </c>
      <c r="C4757" s="36" t="inlineStr">
        <is>
          <t>Nye Kvæfjord ungdomssenter Lilleheimen</t>
        </is>
      </c>
      <c r="D4757" s="26" t="n">
        <v>247702</v>
      </c>
      <c r="E4757" s="26" t="n">
        <v>463939</v>
      </c>
      <c r="F4757" s="26" t="n">
        <v>235911</v>
      </c>
      <c r="G4757" s="26" t="n">
        <v>147878</v>
      </c>
      <c r="H4757" s="26" t="n">
        <v>361255</v>
      </c>
      <c r="I4757" s="26" t="n">
        <v>99670</v>
      </c>
      <c r="J4757" s="19" t="n">
        <v>69249.78610129136</v>
      </c>
      <c r="K4757" s="37" t="n">
        <v>-0.1664589570845026</v>
      </c>
    </row>
    <row r="4758">
      <c r="A4758" s="34" t="inlineStr">
        <is>
          <t>Overtid midl./vik.</t>
        </is>
      </c>
      <c r="B4758" s="34" t="inlineStr">
        <is>
          <t>Region Nord</t>
        </is>
      </c>
      <c r="C4758" s="34" t="inlineStr">
        <is>
          <t>Nye Kvæfjord ungdomssenter Storheimen</t>
        </is>
      </c>
      <c r="D4758" s="18" t="n">
        <v>267365</v>
      </c>
      <c r="E4758" s="18" t="n">
        <v>138318</v>
      </c>
      <c r="F4758" s="18" t="n">
        <v>63433</v>
      </c>
      <c r="G4758" s="18" t="n">
        <v>92667</v>
      </c>
      <c r="H4758" s="18" t="n">
        <v>510462</v>
      </c>
      <c r="I4758" s="18" t="n">
        <v>161216</v>
      </c>
      <c r="J4758" s="19" t="n">
        <v>131682.9588399128</v>
      </c>
      <c r="K4758" s="35" t="n">
        <v>-0.09622418089860751</v>
      </c>
    </row>
    <row r="4759">
      <c r="A4759" s="36" t="inlineStr">
        <is>
          <t>Overtid midl./vik.</t>
        </is>
      </c>
      <c r="B4759" s="36" t="inlineStr">
        <is>
          <t>Region Nord</t>
        </is>
      </c>
      <c r="C4759" s="36" t="inlineStr">
        <is>
          <t>Nye Kvæfjord ungdomssenter adm</t>
        </is>
      </c>
      <c r="D4759" s="26" t="n"/>
      <c r="E4759" s="26" t="n"/>
      <c r="F4759" s="26" t="n">
        <v>609</v>
      </c>
      <c r="G4759" s="26" t="n">
        <v>953</v>
      </c>
      <c r="H4759" s="26" t="n"/>
      <c r="I4759" s="26" t="n"/>
      <c r="J4759" s="19" t="n">
        <v>0</v>
      </c>
      <c r="K4759" s="37" t="n">
        <v>0.065</v>
      </c>
    </row>
    <row r="4760">
      <c r="A4760" s="34" t="inlineStr">
        <is>
          <t>Overtid midl./vik.</t>
        </is>
      </c>
      <c r="B4760" s="34" t="inlineStr">
        <is>
          <t>Region Nord</t>
        </is>
      </c>
      <c r="C4760" s="34" t="inlineStr">
        <is>
          <t>Røvika ungdomssenter Skogly</t>
        </is>
      </c>
      <c r="D4760" s="18" t="n">
        <v>446889</v>
      </c>
      <c r="E4760" s="18" t="n">
        <v>186307</v>
      </c>
      <c r="F4760" s="18" t="n">
        <v>252478</v>
      </c>
      <c r="G4760" s="18" t="n">
        <v>711251</v>
      </c>
      <c r="H4760" s="18" t="n">
        <v>628676</v>
      </c>
      <c r="I4760" s="18" t="n">
        <v>68476</v>
      </c>
      <c r="J4760" s="19" t="n">
        <v>38517.75</v>
      </c>
      <c r="K4760" s="35" t="n">
        <v>-0.25</v>
      </c>
    </row>
    <row r="4761">
      <c r="A4761" s="36" t="inlineStr">
        <is>
          <t>Overtid midl./vik.</t>
        </is>
      </c>
      <c r="B4761" s="36" t="inlineStr">
        <is>
          <t>Region Nord</t>
        </is>
      </c>
      <c r="C4761" s="36" t="inlineStr">
        <is>
          <t>Røvika ungdomssenter Åsheim akutt</t>
        </is>
      </c>
      <c r="D4761" s="26" t="n"/>
      <c r="E4761" s="26" t="n"/>
      <c r="F4761" s="26" t="n"/>
      <c r="G4761" s="26" t="n"/>
      <c r="H4761" s="26" t="n">
        <v>5580</v>
      </c>
      <c r="I4761" s="26" t="n">
        <v>9530</v>
      </c>
      <c r="J4761" s="19" t="n">
        <v>10809.16425</v>
      </c>
      <c r="K4761" s="37" t="n">
        <v>0.065</v>
      </c>
    </row>
    <row r="4762">
      <c r="A4762" s="34" t="inlineStr">
        <is>
          <t>Overtid midl./vik.</t>
        </is>
      </c>
      <c r="B4762" s="34" t="inlineStr">
        <is>
          <t>Region Nord</t>
        </is>
      </c>
      <c r="C4762" s="34" t="inlineStr">
        <is>
          <t>Røvika Åsheim</t>
        </is>
      </c>
      <c r="D4762" s="18" t="n">
        <v>98206</v>
      </c>
      <c r="E4762" s="18" t="n">
        <v>96239</v>
      </c>
      <c r="F4762" s="18" t="n">
        <v>464919</v>
      </c>
      <c r="G4762" s="18" t="n">
        <v>260383</v>
      </c>
      <c r="H4762" s="18" t="n">
        <v>131618</v>
      </c>
      <c r="I4762" s="18" t="n">
        <v>142</v>
      </c>
      <c r="J4762" s="19" t="n">
        <v>79.875</v>
      </c>
      <c r="K4762" s="35" t="n">
        <v>-0.25</v>
      </c>
    </row>
    <row r="4763">
      <c r="A4763" s="36" t="inlineStr">
        <is>
          <t>Overtid midl./vik.</t>
        </is>
      </c>
      <c r="B4763" s="36" t="inlineStr">
        <is>
          <t>Region Nord</t>
        </is>
      </c>
      <c r="C4763" s="36" t="inlineStr">
        <is>
          <t>Silsand ungdomssenter administrasjon</t>
        </is>
      </c>
      <c r="D4763" s="26" t="n">
        <v>513</v>
      </c>
      <c r="E4763" s="26" t="n"/>
      <c r="F4763" s="26" t="n"/>
      <c r="G4763" s="26" t="n"/>
      <c r="H4763" s="26" t="n"/>
      <c r="I4763" s="26" t="n"/>
      <c r="J4763" s="19" t="n">
        <v>0</v>
      </c>
      <c r="K4763" s="37" t="n">
        <v>0.065</v>
      </c>
    </row>
    <row r="4764">
      <c r="A4764" s="34" t="inlineStr">
        <is>
          <t>Overtid midl./vik.</t>
        </is>
      </c>
      <c r="B4764" s="34" t="inlineStr">
        <is>
          <t>Region Nord</t>
        </is>
      </c>
      <c r="C4764" s="34" t="inlineStr">
        <is>
          <t>Silsand ungdomssenter avdeling 1</t>
        </is>
      </c>
      <c r="D4764" s="18" t="n">
        <v>968178</v>
      </c>
      <c r="E4764" s="18" t="n">
        <v>431426</v>
      </c>
      <c r="F4764" s="18" t="n">
        <v>222522</v>
      </c>
      <c r="G4764" s="18" t="n">
        <v>342286</v>
      </c>
      <c r="H4764" s="18" t="n">
        <v>197202</v>
      </c>
      <c r="I4764" s="18" t="n">
        <v>276</v>
      </c>
      <c r="J4764" s="19" t="n">
        <v>155.25</v>
      </c>
      <c r="K4764" s="35" t="n">
        <v>-0.25</v>
      </c>
    </row>
    <row r="4765">
      <c r="A4765" s="36" t="inlineStr">
        <is>
          <t>Overtid midl./vik.</t>
        </is>
      </c>
      <c r="B4765" s="36" t="inlineStr">
        <is>
          <t>Region Nord</t>
        </is>
      </c>
      <c r="C4765" s="36" t="inlineStr">
        <is>
          <t>Silsand ungdomssenter miljøavdeling</t>
        </is>
      </c>
      <c r="D4765" s="26" t="n"/>
      <c r="E4765" s="26" t="n"/>
      <c r="F4765" s="26" t="n"/>
      <c r="G4765" s="26" t="n"/>
      <c r="H4765" s="26" t="n">
        <v>234606</v>
      </c>
      <c r="I4765" s="26" t="n">
        <v>379048</v>
      </c>
      <c r="J4765" s="19" t="n">
        <v>429925.7177999999</v>
      </c>
      <c r="K4765" s="37" t="n">
        <v>0.065</v>
      </c>
    </row>
    <row r="4766">
      <c r="A4766" s="34" t="inlineStr">
        <is>
          <t>Overtid midl./vik.</t>
        </is>
      </c>
      <c r="B4766" s="34" t="inlineStr">
        <is>
          <t>Region Nord</t>
        </is>
      </c>
      <c r="C4766" s="34" t="inlineStr">
        <is>
          <t>Sollia barne- og ungdomssenter miljøavdeling</t>
        </is>
      </c>
      <c r="D4766" s="18" t="n">
        <v>252526</v>
      </c>
      <c r="E4766" s="18" t="n">
        <v>315998</v>
      </c>
      <c r="F4766" s="18" t="n">
        <v>1034672</v>
      </c>
      <c r="G4766" s="18" t="n">
        <v>670813</v>
      </c>
      <c r="H4766" s="18" t="n">
        <v>816402</v>
      </c>
      <c r="I4766" s="18" t="n">
        <v>628638</v>
      </c>
      <c r="J4766" s="19" t="n">
        <v>905395.7297644542</v>
      </c>
      <c r="K4766" s="35" t="n">
        <v>0.2001040629085402</v>
      </c>
    </row>
    <row r="4767">
      <c r="A4767" s="36" t="inlineStr">
        <is>
          <t>Overtid midl./vik.</t>
        </is>
      </c>
      <c r="B4767" s="36" t="inlineStr">
        <is>
          <t>Region Nord</t>
        </is>
      </c>
      <c r="C4767" s="36" t="inlineStr">
        <is>
          <t>Tromsø ungdomssenter Fjære</t>
        </is>
      </c>
      <c r="D4767" s="26" t="n">
        <v>395051</v>
      </c>
      <c r="E4767" s="26" t="n">
        <v>269865</v>
      </c>
      <c r="F4767" s="26" t="n">
        <v>65388</v>
      </c>
      <c r="G4767" s="26" t="n">
        <v>139292</v>
      </c>
      <c r="H4767" s="26" t="n">
        <v>158029</v>
      </c>
      <c r="I4767" s="26" t="n">
        <v>111630</v>
      </c>
      <c r="J4767" s="19" t="n">
        <v>67333.63003885416</v>
      </c>
      <c r="K4767" s="37" t="n">
        <v>-0.2233496329120879</v>
      </c>
    </row>
    <row r="4768">
      <c r="A4768" s="34" t="inlineStr">
        <is>
          <t>Overtid midl./vik.</t>
        </is>
      </c>
      <c r="B4768" s="34" t="inlineStr">
        <is>
          <t>Region Nord</t>
        </is>
      </c>
      <c r="C4768" s="34" t="inlineStr">
        <is>
          <t>Tromsø ungdomssenter Flo</t>
        </is>
      </c>
      <c r="D4768" s="18" t="n">
        <v>361346</v>
      </c>
      <c r="E4768" s="18" t="n">
        <v>272749</v>
      </c>
      <c r="F4768" s="18" t="n">
        <v>164603</v>
      </c>
      <c r="G4768" s="18" t="n">
        <v>159339</v>
      </c>
      <c r="H4768" s="18" t="n">
        <v>80497</v>
      </c>
      <c r="I4768" s="18" t="n">
        <v>114026</v>
      </c>
      <c r="J4768" s="19" t="n">
        <v>71884.64708078593</v>
      </c>
      <c r="K4768" s="35" t="n">
        <v>-0.2060079982117985</v>
      </c>
    </row>
    <row r="4769">
      <c r="A4769" s="36" t="inlineStr">
        <is>
          <t>Overtid midl./vik.</t>
        </is>
      </c>
      <c r="B4769" s="36" t="inlineStr">
        <is>
          <t>Region Nord</t>
        </is>
      </c>
      <c r="C4769" s="36" t="inlineStr">
        <is>
          <t>Vadsø ungdomssenter avdeling 1</t>
        </is>
      </c>
      <c r="D4769" s="26" t="n">
        <v>46108</v>
      </c>
      <c r="E4769" s="26" t="n">
        <v>4886</v>
      </c>
      <c r="F4769" s="26" t="n"/>
      <c r="G4769" s="26" t="n"/>
      <c r="H4769" s="26" t="n"/>
      <c r="I4769" s="26" t="n"/>
      <c r="J4769" s="19" t="n">
        <v>0</v>
      </c>
      <c r="K4769" s="37" t="n">
        <v>0.065</v>
      </c>
    </row>
    <row r="4770">
      <c r="A4770" s="34" t="inlineStr">
        <is>
          <t>Overtid midl./vik.</t>
        </is>
      </c>
      <c r="B4770" s="34" t="inlineStr">
        <is>
          <t>Region Nord</t>
        </is>
      </c>
      <c r="C4770" s="34" t="inlineStr">
        <is>
          <t>Yttrabekken ungdomssenter avdeling 1</t>
        </is>
      </c>
      <c r="D4770" s="18" t="n">
        <v>788733</v>
      </c>
      <c r="E4770" s="18" t="n">
        <v>884144</v>
      </c>
      <c r="F4770" s="18" t="n">
        <v>373702</v>
      </c>
      <c r="G4770" s="18" t="n">
        <v>465756</v>
      </c>
      <c r="H4770" s="18" t="n">
        <v>241865</v>
      </c>
      <c r="I4770" s="18" t="n">
        <v>365534</v>
      </c>
      <c r="J4770" s="19" t="n">
        <v>268736.6417670842</v>
      </c>
      <c r="K4770" s="35" t="n">
        <v>-0.142568265036213</v>
      </c>
    </row>
    <row r="4771">
      <c r="A4771" s="36" t="inlineStr">
        <is>
          <t>Overtid midl./vik.</t>
        </is>
      </c>
      <c r="B4771" s="36" t="inlineStr">
        <is>
          <t>Region Sør</t>
        </is>
      </c>
      <c r="C4771" s="36" t="inlineStr">
        <is>
          <t>Avdeling Barkåker</t>
        </is>
      </c>
      <c r="D4771" s="26" t="n">
        <v>1028657</v>
      </c>
      <c r="E4771" s="26" t="n"/>
      <c r="F4771" s="26" t="n"/>
      <c r="G4771" s="26" t="n"/>
      <c r="H4771" s="26" t="n"/>
      <c r="I4771" s="26" t="n"/>
      <c r="J4771" s="19" t="n">
        <v>0</v>
      </c>
      <c r="K4771" s="37" t="n">
        <v>0.065</v>
      </c>
    </row>
    <row r="4772">
      <c r="A4772" s="34" t="inlineStr">
        <is>
          <t>Overtid midl./vik.</t>
        </is>
      </c>
      <c r="B4772" s="34" t="inlineStr">
        <is>
          <t>Region Sør</t>
        </is>
      </c>
      <c r="C4772" s="34" t="inlineStr">
        <is>
          <t>Avdeling Furuly</t>
        </is>
      </c>
      <c r="D4772" s="18" t="n">
        <v>922295</v>
      </c>
      <c r="E4772" s="18" t="n">
        <v>283982</v>
      </c>
      <c r="F4772" s="18" t="n"/>
      <c r="G4772" s="18" t="n"/>
      <c r="H4772" s="18" t="n"/>
      <c r="I4772" s="18" t="n"/>
      <c r="J4772" s="19" t="n">
        <v>0</v>
      </c>
      <c r="K4772" s="35" t="n">
        <v>0.065</v>
      </c>
    </row>
    <row r="4773">
      <c r="A4773" s="36" t="inlineStr">
        <is>
          <t>Overtid midl./vik.</t>
        </is>
      </c>
      <c r="B4773" s="36" t="inlineStr">
        <is>
          <t>Region Sør</t>
        </is>
      </c>
      <c r="C4773" s="36" t="inlineStr">
        <is>
          <t>Avdeling Geithus</t>
        </is>
      </c>
      <c r="D4773" s="26" t="n">
        <v>219035</v>
      </c>
      <c r="E4773" s="26" t="n">
        <v>377108</v>
      </c>
      <c r="F4773" s="26" t="n">
        <v>232889</v>
      </c>
      <c r="G4773" s="26" t="n">
        <v>2999</v>
      </c>
      <c r="H4773" s="26" t="n"/>
      <c r="I4773" s="26" t="n"/>
      <c r="J4773" s="19" t="n">
        <v>0</v>
      </c>
      <c r="K4773" s="37" t="n">
        <v>0.065</v>
      </c>
    </row>
    <row r="4774">
      <c r="A4774" s="34" t="inlineStr">
        <is>
          <t>Overtid midl./vik.</t>
        </is>
      </c>
      <c r="B4774" s="34" t="inlineStr">
        <is>
          <t>Region Sør</t>
        </is>
      </c>
      <c r="C4774" s="34" t="inlineStr">
        <is>
          <t>Avdeling Gemini</t>
        </is>
      </c>
      <c r="D4774" s="18" t="n">
        <v>781799</v>
      </c>
      <c r="E4774" s="18" t="n">
        <v>493259</v>
      </c>
      <c r="F4774" s="18" t="n">
        <v>27925</v>
      </c>
      <c r="G4774" s="18" t="n"/>
      <c r="H4774" s="18" t="n"/>
      <c r="I4774" s="18" t="n"/>
      <c r="J4774" s="19" t="n">
        <v>0</v>
      </c>
      <c r="K4774" s="35" t="n">
        <v>0.065</v>
      </c>
    </row>
    <row r="4775">
      <c r="A4775" s="36" t="inlineStr">
        <is>
          <t>Overtid midl./vik.</t>
        </is>
      </c>
      <c r="B4775" s="36" t="inlineStr">
        <is>
          <t>Region Sør</t>
        </is>
      </c>
      <c r="C4775" s="36" t="inlineStr">
        <is>
          <t>Avdeling Kjørbekk</t>
        </is>
      </c>
      <c r="D4775" s="26" t="n">
        <v>118987</v>
      </c>
      <c r="E4775" s="26" t="n">
        <v>143936</v>
      </c>
      <c r="F4775" s="26" t="n">
        <v>266745</v>
      </c>
      <c r="G4775" s="26" t="n">
        <v>326102</v>
      </c>
      <c r="H4775" s="26" t="n">
        <v>524212</v>
      </c>
      <c r="I4775" s="26" t="n">
        <v>407602</v>
      </c>
      <c r="J4775" s="19" t="n">
        <v>636878.125</v>
      </c>
      <c r="K4775" s="37" t="n">
        <v>0.25</v>
      </c>
    </row>
    <row r="4776">
      <c r="A4776" s="34" t="inlineStr">
        <is>
          <t>Overtid midl./vik.</t>
        </is>
      </c>
      <c r="B4776" s="34" t="inlineStr">
        <is>
          <t>Region Sør</t>
        </is>
      </c>
      <c r="C4776" s="34" t="inlineStr">
        <is>
          <t>Avdeling Larønningen</t>
        </is>
      </c>
      <c r="D4776" s="18" t="n">
        <v>226684</v>
      </c>
      <c r="E4776" s="18" t="n">
        <v>86322</v>
      </c>
      <c r="F4776" s="18" t="n"/>
      <c r="G4776" s="18" t="n"/>
      <c r="H4776" s="18" t="n"/>
      <c r="I4776" s="18" t="n"/>
      <c r="J4776" s="19" t="n">
        <v>0</v>
      </c>
      <c r="K4776" s="35" t="n">
        <v>0.065</v>
      </c>
    </row>
    <row r="4777">
      <c r="A4777" s="36" t="inlineStr">
        <is>
          <t>Overtid midl./vik.</t>
        </is>
      </c>
      <c r="B4777" s="36" t="inlineStr">
        <is>
          <t>Region Sør</t>
        </is>
      </c>
      <c r="C4777" s="36" t="inlineStr">
        <is>
          <t>Avdeling Miljøheimen</t>
        </is>
      </c>
      <c r="D4777" s="26" t="n">
        <v>417197</v>
      </c>
      <c r="E4777" s="26" t="n">
        <v>214828</v>
      </c>
      <c r="F4777" s="26" t="n">
        <v>458014</v>
      </c>
      <c r="G4777" s="26" t="n">
        <v>989658</v>
      </c>
      <c r="H4777" s="26" t="n">
        <v>445359</v>
      </c>
      <c r="I4777" s="26" t="n">
        <v>371160</v>
      </c>
      <c r="J4777" s="19" t="n">
        <v>354200.4933330236</v>
      </c>
      <c r="K4777" s="37" t="n">
        <v>-0.02311374766140439</v>
      </c>
    </row>
    <row r="4778">
      <c r="A4778" s="34" t="inlineStr">
        <is>
          <t>Overtid midl./vik.</t>
        </is>
      </c>
      <c r="B4778" s="34" t="inlineStr">
        <is>
          <t>Region Sør</t>
        </is>
      </c>
      <c r="C4778" s="34" t="inlineStr">
        <is>
          <t>Avdeling Nes</t>
        </is>
      </c>
      <c r="D4778" s="18" t="n">
        <v>344627</v>
      </c>
      <c r="E4778" s="18" t="n">
        <v>265109</v>
      </c>
      <c r="F4778" s="18" t="n">
        <v>390525</v>
      </c>
      <c r="G4778" s="18" t="n">
        <v>333574</v>
      </c>
      <c r="H4778" s="18" t="n">
        <v>287990</v>
      </c>
      <c r="I4778" s="18" t="n">
        <v>164777</v>
      </c>
      <c r="J4778" s="19" t="n">
        <v>122663.5440896088</v>
      </c>
      <c r="K4778" s="35" t="n">
        <v>-0.1372013469630006</v>
      </c>
    </row>
    <row r="4779">
      <c r="A4779" s="36" t="inlineStr">
        <is>
          <t>Overtid midl./vik.</t>
        </is>
      </c>
      <c r="B4779" s="36" t="inlineStr">
        <is>
          <t>Region Sør</t>
        </is>
      </c>
      <c r="C4779" s="36" t="inlineStr">
        <is>
          <t>Avdeling Nyli</t>
        </is>
      </c>
      <c r="D4779" s="26" t="n">
        <v>170676</v>
      </c>
      <c r="E4779" s="26" t="n">
        <v>22646</v>
      </c>
      <c r="F4779" s="26" t="n"/>
      <c r="G4779" s="26" t="n"/>
      <c r="H4779" s="26" t="n"/>
      <c r="I4779" s="26" t="n"/>
      <c r="J4779" s="19" t="n">
        <v>0</v>
      </c>
      <c r="K4779" s="37" t="n">
        <v>0.065</v>
      </c>
    </row>
    <row r="4780">
      <c r="A4780" s="34" t="inlineStr">
        <is>
          <t>Overtid midl./vik.</t>
        </is>
      </c>
      <c r="B4780" s="34" t="inlineStr">
        <is>
          <t>Region Sør</t>
        </is>
      </c>
      <c r="C4780" s="34" t="inlineStr">
        <is>
          <t>Avdeling Orion</t>
        </is>
      </c>
      <c r="D4780" s="18" t="n">
        <v>582120</v>
      </c>
      <c r="E4780" s="18" t="n">
        <v>262326</v>
      </c>
      <c r="F4780" s="18" t="n">
        <v>40791</v>
      </c>
      <c r="G4780" s="18" t="n"/>
      <c r="H4780" s="18" t="n"/>
      <c r="I4780" s="18" t="n"/>
      <c r="J4780" s="19" t="n">
        <v>0</v>
      </c>
      <c r="K4780" s="35" t="n">
        <v>0.065</v>
      </c>
    </row>
    <row r="4781">
      <c r="A4781" s="36" t="inlineStr">
        <is>
          <t>Overtid midl./vik.</t>
        </is>
      </c>
      <c r="B4781" s="36" t="inlineStr">
        <is>
          <t>Region Sør</t>
        </is>
      </c>
      <c r="C4781" s="36" t="inlineStr">
        <is>
          <t>Avdeling Skomrak</t>
        </is>
      </c>
      <c r="D4781" s="26" t="n">
        <v>629243</v>
      </c>
      <c r="E4781" s="26" t="n">
        <v>60627</v>
      </c>
      <c r="F4781" s="26" t="n">
        <v>234847</v>
      </c>
      <c r="G4781" s="26" t="n">
        <v>557604</v>
      </c>
      <c r="H4781" s="26" t="n">
        <v>437988</v>
      </c>
      <c r="I4781" s="26" t="n">
        <v>172580</v>
      </c>
      <c r="J4781" s="19" t="n">
        <v>102863.0253346049</v>
      </c>
      <c r="K4781" s="37" t="n">
        <v>-0.2279695776184355</v>
      </c>
    </row>
    <row r="4782">
      <c r="A4782" s="34" t="inlineStr">
        <is>
          <t>Overtid midl./vik.</t>
        </is>
      </c>
      <c r="B4782" s="34" t="inlineStr">
        <is>
          <t>Region Sør</t>
        </is>
      </c>
      <c r="C4782" s="34" t="inlineStr">
        <is>
          <t>Avdeling Vestre Kjenner</t>
        </is>
      </c>
      <c r="D4782" s="18" t="n">
        <v>191700</v>
      </c>
      <c r="E4782" s="18" t="n">
        <v>290131</v>
      </c>
      <c r="F4782" s="18" t="n">
        <v>251747</v>
      </c>
      <c r="G4782" s="18" t="n"/>
      <c r="H4782" s="18" t="n"/>
      <c r="I4782" s="18" t="n"/>
      <c r="J4782" s="19" t="n">
        <v>0</v>
      </c>
      <c r="K4782" s="35" t="n">
        <v>0.065</v>
      </c>
    </row>
    <row r="4783">
      <c r="A4783" s="36" t="inlineStr">
        <is>
          <t>Overtid midl./vik.</t>
        </is>
      </c>
      <c r="B4783" s="36" t="inlineStr">
        <is>
          <t>Region Sør</t>
        </is>
      </c>
      <c r="C4783" s="36" t="inlineStr">
        <is>
          <t>Barkåker.</t>
        </is>
      </c>
      <c r="D4783" s="26" t="n"/>
      <c r="E4783" s="26" t="n">
        <v>522580</v>
      </c>
      <c r="F4783" s="26" t="n">
        <v>1442607</v>
      </c>
      <c r="G4783" s="26" t="n">
        <v>1171615</v>
      </c>
      <c r="H4783" s="26" t="n">
        <v>1101179</v>
      </c>
      <c r="I4783" s="26" t="n">
        <v>239192</v>
      </c>
      <c r="J4783" s="19" t="n">
        <v>161824.242585814</v>
      </c>
      <c r="K4783" s="37" t="n">
        <v>-0.177476212975595</v>
      </c>
    </row>
    <row r="4784">
      <c r="A4784" s="34" t="inlineStr">
        <is>
          <t>Overtid midl./vik.</t>
        </is>
      </c>
      <c r="B4784" s="34" t="inlineStr">
        <is>
          <t>Region Sør</t>
        </is>
      </c>
      <c r="C4784" s="34" t="inlineStr">
        <is>
          <t>Furuly</t>
        </is>
      </c>
      <c r="D4784" s="18" t="n"/>
      <c r="E4784" s="18" t="n"/>
      <c r="F4784" s="18" t="n">
        <v>130967</v>
      </c>
      <c r="G4784" s="18" t="n">
        <v>431144</v>
      </c>
      <c r="H4784" s="18" t="n">
        <v>984166</v>
      </c>
      <c r="I4784" s="18" t="n">
        <v>168050</v>
      </c>
      <c r="J4784" s="19" t="n">
        <v>190606.51125</v>
      </c>
      <c r="K4784" s="35" t="n">
        <v>0.065</v>
      </c>
    </row>
    <row r="4785">
      <c r="A4785" s="36" t="inlineStr">
        <is>
          <t>Overtid midl./vik.</t>
        </is>
      </c>
      <c r="B4785" s="36" t="inlineStr">
        <is>
          <t>Region Sør</t>
        </is>
      </c>
      <c r="C4785" s="36" t="inlineStr">
        <is>
          <t>Ilaug</t>
        </is>
      </c>
      <c r="D4785" s="26" t="n">
        <v>230088</v>
      </c>
      <c r="E4785" s="26" t="n">
        <v>187777</v>
      </c>
      <c r="F4785" s="26" t="n">
        <v>4284</v>
      </c>
      <c r="G4785" s="26" t="n"/>
      <c r="H4785" s="26" t="n"/>
      <c r="I4785" s="26" t="n"/>
      <c r="J4785" s="19" t="n">
        <v>0</v>
      </c>
      <c r="K4785" s="37" t="n">
        <v>0.065</v>
      </c>
    </row>
    <row r="4786">
      <c r="A4786" s="34" t="inlineStr">
        <is>
          <t>Overtid midl./vik.</t>
        </is>
      </c>
      <c r="B4786" s="34" t="inlineStr">
        <is>
          <t>Region Sør</t>
        </is>
      </c>
      <c r="C4786" s="34" t="inlineStr">
        <is>
          <t>Justøya</t>
        </is>
      </c>
      <c r="D4786" s="18" t="n"/>
      <c r="E4786" s="18" t="n"/>
      <c r="F4786" s="18" t="n"/>
      <c r="G4786" s="18" t="n"/>
      <c r="H4786" s="18" t="n"/>
      <c r="I4786" s="18" t="n">
        <v>24946</v>
      </c>
      <c r="J4786" s="19" t="n">
        <v>28294.37685</v>
      </c>
      <c r="K4786" s="35" t="n">
        <v>0.065</v>
      </c>
    </row>
    <row r="4787">
      <c r="A4787" s="36" t="inlineStr">
        <is>
          <t>Overtid midl./vik.</t>
        </is>
      </c>
      <c r="B4787" s="36" t="inlineStr">
        <is>
          <t>Region Sør</t>
        </is>
      </c>
      <c r="C4787" s="36" t="inlineStr">
        <is>
          <t>Kantum</t>
        </is>
      </c>
      <c r="D4787" s="26" t="n">
        <v>32572</v>
      </c>
      <c r="E4787" s="26" t="n">
        <v>30601</v>
      </c>
      <c r="F4787" s="26" t="n">
        <v>195636</v>
      </c>
      <c r="G4787" s="26" t="n">
        <v>102023</v>
      </c>
      <c r="H4787" s="26" t="n">
        <v>136912</v>
      </c>
      <c r="I4787" s="26" t="n">
        <v>48915</v>
      </c>
      <c r="J4787" s="19" t="n">
        <v>57554.74188160808</v>
      </c>
      <c r="K4787" s="37" t="n">
        <v>0.08472469217150391</v>
      </c>
    </row>
    <row r="4788">
      <c r="A4788" s="34" t="inlineStr">
        <is>
          <t>Overtid midl./vik.</t>
        </is>
      </c>
      <c r="B4788" s="34" t="inlineStr">
        <is>
          <t>Region Sør</t>
        </is>
      </c>
      <c r="C4788" s="34" t="inlineStr">
        <is>
          <t>Katfoss</t>
        </is>
      </c>
      <c r="D4788" s="18" t="n"/>
      <c r="E4788" s="18" t="n"/>
      <c r="F4788" s="18" t="n"/>
      <c r="G4788" s="18" t="n"/>
      <c r="H4788" s="18" t="n">
        <v>15188</v>
      </c>
      <c r="I4788" s="18" t="n">
        <v>198596</v>
      </c>
      <c r="J4788" s="19" t="n">
        <v>225252.5481</v>
      </c>
      <c r="K4788" s="35" t="n">
        <v>0.065</v>
      </c>
    </row>
    <row r="4789">
      <c r="A4789" s="36" t="inlineStr">
        <is>
          <t>Overtid midl./vik.</t>
        </is>
      </c>
      <c r="B4789" s="36" t="inlineStr">
        <is>
          <t>Region Sør</t>
        </is>
      </c>
      <c r="C4789" s="36" t="inlineStr">
        <is>
          <t>Klokkerhuset</t>
        </is>
      </c>
      <c r="D4789" s="26" t="n">
        <v>378065</v>
      </c>
      <c r="E4789" s="26" t="n">
        <v>390088</v>
      </c>
      <c r="F4789" s="26" t="n">
        <v>981983</v>
      </c>
      <c r="G4789" s="26" t="n">
        <v>448490</v>
      </c>
      <c r="H4789" s="26" t="n">
        <v>558428</v>
      </c>
      <c r="I4789" s="26" t="n">
        <v>533835</v>
      </c>
      <c r="J4789" s="19" t="n">
        <v>612834.5932907761</v>
      </c>
      <c r="K4789" s="37" t="n">
        <v>0.0714406371763685</v>
      </c>
    </row>
    <row r="4790">
      <c r="A4790" s="34" t="inlineStr">
        <is>
          <t>Overtid midl./vik.</t>
        </is>
      </c>
      <c r="B4790" s="34" t="inlineStr">
        <is>
          <t>Region Sør</t>
        </is>
      </c>
      <c r="C4790" s="34" t="inlineStr">
        <is>
          <t>Knuten</t>
        </is>
      </c>
      <c r="D4790" s="18" t="n"/>
      <c r="E4790" s="18" t="n"/>
      <c r="F4790" s="18" t="n">
        <v>312291</v>
      </c>
      <c r="G4790" s="18" t="n">
        <v>230773</v>
      </c>
      <c r="H4790" s="18" t="n">
        <v>69008</v>
      </c>
      <c r="I4790" s="18" t="n">
        <v>242634</v>
      </c>
      <c r="J4790" s="19" t="n">
        <v>275201.54865</v>
      </c>
      <c r="K4790" s="35" t="n">
        <v>0.065</v>
      </c>
    </row>
    <row r="4791">
      <c r="A4791" s="36" t="inlineStr">
        <is>
          <t>Overtid midl./vik.</t>
        </is>
      </c>
      <c r="B4791" s="36" t="inlineStr">
        <is>
          <t>Region Sør</t>
        </is>
      </c>
      <c r="C4791" s="36" t="inlineStr">
        <is>
          <t>Lerketoppen</t>
        </is>
      </c>
      <c r="D4791" s="26" t="n"/>
      <c r="E4791" s="26" t="n"/>
      <c r="F4791" s="26" t="n"/>
      <c r="G4791" s="26" t="n"/>
      <c r="H4791" s="26" t="n">
        <v>6436</v>
      </c>
      <c r="I4791" s="26" t="n">
        <v>353035</v>
      </c>
      <c r="J4791" s="19" t="n">
        <v>400421.1228749999</v>
      </c>
      <c r="K4791" s="37" t="n">
        <v>0.065</v>
      </c>
    </row>
    <row r="4792">
      <c r="A4792" s="34" t="inlineStr">
        <is>
          <t>Overtid midl./vik.</t>
        </is>
      </c>
      <c r="B4792" s="34" t="inlineStr">
        <is>
          <t>Region Sør</t>
        </is>
      </c>
      <c r="C4792" s="34" t="inlineStr">
        <is>
          <t>Lunde behandlingssenter</t>
        </is>
      </c>
      <c r="D4792" s="18" t="n">
        <v>961386</v>
      </c>
      <c r="E4792" s="18" t="n">
        <v>431554</v>
      </c>
      <c r="F4792" s="18" t="n">
        <v>402946</v>
      </c>
      <c r="G4792" s="18" t="n">
        <v>306040</v>
      </c>
      <c r="H4792" s="18" t="n">
        <v>311084</v>
      </c>
      <c r="I4792" s="18" t="n">
        <v>450683</v>
      </c>
      <c r="J4792" s="19" t="n">
        <v>332859.1729680533</v>
      </c>
      <c r="K4792" s="35" t="n">
        <v>-0.1406013312386297</v>
      </c>
    </row>
    <row r="4793">
      <c r="A4793" s="36" t="inlineStr">
        <is>
          <t>Overtid midl./vik.</t>
        </is>
      </c>
      <c r="B4793" s="36" t="inlineStr">
        <is>
          <t>Region Sør</t>
        </is>
      </c>
      <c r="C4793" s="36" t="inlineStr">
        <is>
          <t>Mynten</t>
        </is>
      </c>
      <c r="D4793" s="26" t="n"/>
      <c r="E4793" s="26" t="n"/>
      <c r="F4793" s="26" t="n">
        <v>222603</v>
      </c>
      <c r="G4793" s="26" t="n">
        <v>93038</v>
      </c>
      <c r="H4793" s="26" t="n">
        <v>116042</v>
      </c>
      <c r="I4793" s="26" t="n">
        <v>215114</v>
      </c>
      <c r="J4793" s="19" t="n">
        <v>243987.67665</v>
      </c>
      <c r="K4793" s="37" t="n">
        <v>0.065</v>
      </c>
    </row>
    <row r="4794">
      <c r="A4794" s="34" t="inlineStr">
        <is>
          <t>Overtid midl./vik.</t>
        </is>
      </c>
      <c r="B4794" s="34" t="inlineStr">
        <is>
          <t>Region Sør</t>
        </is>
      </c>
      <c r="C4794" s="34" t="inlineStr">
        <is>
          <t>Nye Toppen</t>
        </is>
      </c>
      <c r="D4794" s="18" t="n">
        <v>104412</v>
      </c>
      <c r="E4794" s="18" t="n">
        <v>40696</v>
      </c>
      <c r="F4794" s="18" t="n">
        <v>49778</v>
      </c>
      <c r="G4794" s="18" t="n">
        <v>448141</v>
      </c>
      <c r="H4794" s="18" t="n">
        <v>472024</v>
      </c>
      <c r="I4794" s="18" t="n">
        <v>304974</v>
      </c>
      <c r="J4794" s="19" t="n">
        <v>468239.2079114956</v>
      </c>
      <c r="K4794" s="35" t="n">
        <v>0.2390889392228939</v>
      </c>
    </row>
    <row r="4795">
      <c r="A4795" s="36" t="inlineStr">
        <is>
          <t>Overtid midl./vik.</t>
        </is>
      </c>
      <c r="B4795" s="36" t="inlineStr">
        <is>
          <t>Region Sør</t>
        </is>
      </c>
      <c r="C4795" s="36" t="inlineStr">
        <is>
          <t>Nyhuset</t>
        </is>
      </c>
      <c r="D4795" s="26" t="n"/>
      <c r="E4795" s="26" t="n"/>
      <c r="F4795" s="26" t="n"/>
      <c r="G4795" s="26" t="n">
        <v>505359</v>
      </c>
      <c r="H4795" s="26" t="n">
        <v>747813</v>
      </c>
      <c r="I4795" s="26" t="n">
        <v>749887</v>
      </c>
      <c r="J4795" s="19" t="n">
        <v>850540.5825749999</v>
      </c>
      <c r="K4795" s="37" t="n">
        <v>0.065</v>
      </c>
    </row>
    <row r="4796">
      <c r="A4796" s="34" t="inlineStr">
        <is>
          <t>Overtid midl./vik.</t>
        </is>
      </c>
      <c r="B4796" s="34" t="inlineStr">
        <is>
          <t>Region Sør</t>
        </is>
      </c>
      <c r="C4796" s="34" t="inlineStr">
        <is>
          <t>Ressursmiljø for trygghet og sikkerhet</t>
        </is>
      </c>
      <c r="D4796" s="18" t="n"/>
      <c r="E4796" s="18" t="n"/>
      <c r="F4796" s="18" t="n">
        <v>12579</v>
      </c>
      <c r="G4796" s="18" t="n">
        <v>11308</v>
      </c>
      <c r="H4796" s="18" t="n"/>
      <c r="I4796" s="18" t="n"/>
      <c r="J4796" s="19" t="n">
        <v>0</v>
      </c>
      <c r="K4796" s="35" t="n">
        <v>0.065</v>
      </c>
    </row>
    <row r="4797">
      <c r="A4797" s="36" t="inlineStr">
        <is>
          <t>Overtid midl./vik.</t>
        </is>
      </c>
      <c r="B4797" s="36" t="inlineStr">
        <is>
          <t>Region Sør</t>
        </is>
      </c>
      <c r="C4797" s="36" t="inlineStr">
        <is>
          <t>Skjerfheimkollektivet</t>
        </is>
      </c>
      <c r="D4797" s="26" t="n">
        <v>33536</v>
      </c>
      <c r="E4797" s="26" t="n">
        <v>15991</v>
      </c>
      <c r="F4797" s="26" t="n">
        <v>146046</v>
      </c>
      <c r="G4797" s="26" t="n">
        <v>53386</v>
      </c>
      <c r="H4797" s="26" t="n"/>
      <c r="I4797" s="26" t="n"/>
      <c r="J4797" s="19" t="n">
        <v>0</v>
      </c>
      <c r="K4797" s="37" t="n">
        <v>0.065</v>
      </c>
    </row>
    <row r="4798">
      <c r="A4798" s="34" t="inlineStr">
        <is>
          <t>Overtid midl./vik.</t>
        </is>
      </c>
      <c r="B4798" s="34" t="inlineStr">
        <is>
          <t>Region Sør</t>
        </is>
      </c>
      <c r="C4798" s="34" t="inlineStr">
        <is>
          <t>St.Hansgården</t>
        </is>
      </c>
      <c r="D4798" s="18" t="n">
        <v>381173</v>
      </c>
      <c r="E4798" s="18" t="n">
        <v>367131</v>
      </c>
      <c r="F4798" s="18" t="n">
        <v>420060</v>
      </c>
      <c r="G4798" s="18" t="n">
        <v>627587</v>
      </c>
      <c r="H4798" s="18" t="n">
        <v>710301</v>
      </c>
      <c r="I4798" s="18" t="n">
        <v>672972</v>
      </c>
      <c r="J4798" s="19" t="n">
        <v>844786.4533672165</v>
      </c>
      <c r="K4798" s="35" t="n">
        <v>0.1204048315550181</v>
      </c>
    </row>
    <row r="4799">
      <c r="A4799" s="36" t="inlineStr">
        <is>
          <t>Overtid midl./vik.</t>
        </is>
      </c>
      <c r="B4799" s="36" t="inlineStr">
        <is>
          <t>Region Sør</t>
        </is>
      </c>
      <c r="C4799" s="36" t="inlineStr">
        <is>
          <t>Sundstedtråkka</t>
        </is>
      </c>
      <c r="D4799" s="26" t="n">
        <v>473149</v>
      </c>
      <c r="E4799" s="26" t="n">
        <v>508479</v>
      </c>
      <c r="F4799" s="26" t="n">
        <v>647370</v>
      </c>
      <c r="G4799" s="26" t="n">
        <v>617514</v>
      </c>
      <c r="H4799" s="26" t="n">
        <v>414232</v>
      </c>
      <c r="I4799" s="26" t="n">
        <v>350803</v>
      </c>
      <c r="J4799" s="19" t="n">
        <v>311235.7294269376</v>
      </c>
      <c r="K4799" s="37" t="n">
        <v>-0.0580820474687842</v>
      </c>
    </row>
    <row r="4800">
      <c r="A4800" s="34" t="inlineStr">
        <is>
          <t>Overtid midl./vik.</t>
        </is>
      </c>
      <c r="B4800" s="34" t="inlineStr">
        <is>
          <t>Region Sør</t>
        </is>
      </c>
      <c r="C4800" s="34" t="inlineStr">
        <is>
          <t>Svenner</t>
        </is>
      </c>
      <c r="D4800" s="18" t="n"/>
      <c r="E4800" s="18" t="n"/>
      <c r="F4800" s="18" t="n">
        <v>376300</v>
      </c>
      <c r="G4800" s="18" t="n">
        <v>706618</v>
      </c>
      <c r="H4800" s="18" t="n">
        <v>402359</v>
      </c>
      <c r="I4800" s="18" t="n">
        <v>315116</v>
      </c>
      <c r="J4800" s="19" t="n">
        <v>357412.4451</v>
      </c>
      <c r="K4800" s="35" t="n">
        <v>0.065</v>
      </c>
    </row>
    <row r="4801">
      <c r="A4801" s="36" t="inlineStr">
        <is>
          <t>Overtid midl./vik.</t>
        </is>
      </c>
      <c r="B4801" s="36" t="inlineStr">
        <is>
          <t>Region Sør</t>
        </is>
      </c>
      <c r="C4801" s="36" t="inlineStr">
        <is>
          <t>Thorøya</t>
        </is>
      </c>
      <c r="D4801" s="26" t="n">
        <v>402971</v>
      </c>
      <c r="E4801" s="26" t="n">
        <v>276424</v>
      </c>
      <c r="F4801" s="26" t="n">
        <v>364656</v>
      </c>
      <c r="G4801" s="26" t="n">
        <v>466165</v>
      </c>
      <c r="H4801" s="26" t="n">
        <v>213307</v>
      </c>
      <c r="I4801" s="26" t="n">
        <v>231303</v>
      </c>
      <c r="J4801" s="19" t="n">
        <v>185244.0445399035</v>
      </c>
      <c r="K4801" s="37" t="n">
        <v>-0.1050856037659228</v>
      </c>
    </row>
    <row r="4802">
      <c r="A4802" s="34" t="inlineStr">
        <is>
          <t>Overtid midl./vik.</t>
        </is>
      </c>
      <c r="B4802" s="34" t="inlineStr">
        <is>
          <t>Region Sør</t>
        </is>
      </c>
      <c r="C4802" s="34" t="inlineStr">
        <is>
          <t>Ulabrand</t>
        </is>
      </c>
      <c r="D4802" s="18" t="n"/>
      <c r="E4802" s="18" t="n"/>
      <c r="F4802" s="18" t="n">
        <v>215609</v>
      </c>
      <c r="G4802" s="18" t="n">
        <v>179008</v>
      </c>
      <c r="H4802" s="18" t="n">
        <v>267888</v>
      </c>
      <c r="I4802" s="18" t="n">
        <v>423911</v>
      </c>
      <c r="J4802" s="19" t="n">
        <v>480810.4539749999</v>
      </c>
      <c r="K4802" s="35" t="n">
        <v>0.065</v>
      </c>
    </row>
    <row r="4803">
      <c r="A4803" s="36" t="inlineStr">
        <is>
          <t>Overtid midl./vik.</t>
        </is>
      </c>
      <c r="B4803" s="36" t="inlineStr">
        <is>
          <t>Region Vest</t>
        </is>
      </c>
      <c r="C4803" s="36" t="inlineStr">
        <is>
          <t>Bergen Akutts. avd. Nattland</t>
        </is>
      </c>
      <c r="D4803" s="26" t="n">
        <v>319265</v>
      </c>
      <c r="E4803" s="26" t="n">
        <v>326378</v>
      </c>
      <c r="F4803" s="26" t="n">
        <v>321155</v>
      </c>
      <c r="G4803" s="26" t="n">
        <v>225466</v>
      </c>
      <c r="H4803" s="26" t="n">
        <v>146065</v>
      </c>
      <c r="I4803" s="26" t="n">
        <v>177354</v>
      </c>
      <c r="J4803" s="19" t="n">
        <v>140189.9428555612</v>
      </c>
      <c r="K4803" s="37" t="n">
        <v>-0.1109259479014597</v>
      </c>
    </row>
    <row r="4804">
      <c r="A4804" s="34" t="inlineStr">
        <is>
          <t>Overtid midl./vik.</t>
        </is>
      </c>
      <c r="B4804" s="34" t="inlineStr">
        <is>
          <t>Region Vest</t>
        </is>
      </c>
      <c r="C4804" s="34" t="inlineStr">
        <is>
          <t>Bergen Akutts. avd. Toppe</t>
        </is>
      </c>
      <c r="D4804" s="18" t="n">
        <v>447878</v>
      </c>
      <c r="E4804" s="18" t="n">
        <v>126134</v>
      </c>
      <c r="F4804" s="18" t="n">
        <v>193449</v>
      </c>
      <c r="G4804" s="18" t="n">
        <v>473418</v>
      </c>
      <c r="H4804" s="18" t="n">
        <v>453099</v>
      </c>
      <c r="I4804" s="18" t="n">
        <v>489717</v>
      </c>
      <c r="J4804" s="19" t="n">
        <v>507527.2443748722</v>
      </c>
      <c r="K4804" s="35" t="n">
        <v>0.01802182792443219</v>
      </c>
    </row>
    <row r="4805">
      <c r="A4805" s="36" t="inlineStr">
        <is>
          <t>Overtid midl./vik.</t>
        </is>
      </c>
      <c r="B4805" s="36" t="inlineStr">
        <is>
          <t>Region Vest</t>
        </is>
      </c>
      <c r="C4805" s="36" t="inlineStr">
        <is>
          <t>Bjørgvin Ungdomssenter, Bønesskogen</t>
        </is>
      </c>
      <c r="D4805" s="26" t="n">
        <v>191114</v>
      </c>
      <c r="E4805" s="26" t="n">
        <v>346249</v>
      </c>
      <c r="F4805" s="26" t="n">
        <v>218400</v>
      </c>
      <c r="G4805" s="26" t="n">
        <v>287230</v>
      </c>
      <c r="H4805" s="26" t="n">
        <v>327419</v>
      </c>
      <c r="I4805" s="26" t="n">
        <v>282687</v>
      </c>
      <c r="J4805" s="19" t="n">
        <v>330606.3347061815</v>
      </c>
      <c r="K4805" s="37" t="n">
        <v>0.08144059219958288</v>
      </c>
    </row>
    <row r="4806">
      <c r="A4806" s="34" t="inlineStr">
        <is>
          <t>Overtid midl./vik.</t>
        </is>
      </c>
      <c r="B4806" s="34" t="inlineStr">
        <is>
          <t>Region Vest</t>
        </is>
      </c>
      <c r="C4806" s="34" t="inlineStr">
        <is>
          <t>Bjørgvin Ungdomssenter, Bønesstølen</t>
        </is>
      </c>
      <c r="D4806" s="18" t="n">
        <v>458879</v>
      </c>
      <c r="E4806" s="18" t="n">
        <v>272464</v>
      </c>
      <c r="F4806" s="18" t="n">
        <v>135865</v>
      </c>
      <c r="G4806" s="18" t="n">
        <v>249365</v>
      </c>
      <c r="H4806" s="18" t="n">
        <v>276758</v>
      </c>
      <c r="I4806" s="18" t="n">
        <v>125061</v>
      </c>
      <c r="J4806" s="19" t="n">
        <v>74351.78212918671</v>
      </c>
      <c r="K4806" s="35" t="n">
        <v>-0.2289460918597095</v>
      </c>
    </row>
    <row r="4807">
      <c r="A4807" s="36" t="inlineStr">
        <is>
          <t>Overtid midl./vik.</t>
        </is>
      </c>
      <c r="B4807" s="36" t="inlineStr">
        <is>
          <t>Region Vest</t>
        </is>
      </c>
      <c r="C4807" s="36" t="inlineStr">
        <is>
          <t>Driftsavdelingen</t>
        </is>
      </c>
      <c r="D4807" s="26" t="n"/>
      <c r="E4807" s="26" t="n">
        <v>3801</v>
      </c>
      <c r="F4807" s="26" t="n">
        <v>9791</v>
      </c>
      <c r="G4807" s="26" t="n">
        <v>1904</v>
      </c>
      <c r="H4807" s="26" t="n">
        <v>2607</v>
      </c>
      <c r="I4807" s="26" t="n">
        <v>15133</v>
      </c>
      <c r="J4807" s="19" t="n">
        <v>23645.3125</v>
      </c>
      <c r="K4807" s="37" t="n">
        <v>0.25</v>
      </c>
    </row>
    <row r="4808">
      <c r="A4808" s="34" t="inlineStr">
        <is>
          <t>Overtid midl./vik.</t>
        </is>
      </c>
      <c r="B4808" s="34" t="inlineStr">
        <is>
          <t>Region Vest</t>
        </is>
      </c>
      <c r="C4808" s="34" t="inlineStr">
        <is>
          <t>Eikelund US avd. beh. høy</t>
        </is>
      </c>
      <c r="D4808" s="18" t="n"/>
      <c r="E4808" s="18" t="n"/>
      <c r="F4808" s="18" t="n"/>
      <c r="G4808" s="18" t="n"/>
      <c r="H4808" s="18" t="n"/>
      <c r="I4808" s="18" t="n">
        <v>69126</v>
      </c>
      <c r="J4808" s="19" t="n">
        <v>78404.43734999999</v>
      </c>
      <c r="K4808" s="35" t="n">
        <v>0.065</v>
      </c>
    </row>
    <row r="4809">
      <c r="A4809" s="36" t="inlineStr">
        <is>
          <t>Overtid midl./vik.</t>
        </is>
      </c>
      <c r="B4809" s="36" t="inlineStr">
        <is>
          <t>Region Vest</t>
        </is>
      </c>
      <c r="C4809" s="36" t="inlineStr">
        <is>
          <t>Kasa Ungdomssenter avd. Flatøy</t>
        </is>
      </c>
      <c r="D4809" s="26" t="n">
        <v>282199</v>
      </c>
      <c r="E4809" s="26" t="n">
        <v>167821</v>
      </c>
      <c r="F4809" s="26" t="n">
        <v>194002</v>
      </c>
      <c r="G4809" s="26" t="n">
        <v>219296</v>
      </c>
      <c r="H4809" s="26" t="n">
        <v>93717</v>
      </c>
      <c r="I4809" s="26" t="n">
        <v>88256</v>
      </c>
      <c r="J4809" s="19" t="n">
        <v>55439.55658306176</v>
      </c>
      <c r="K4809" s="37" t="n">
        <v>-0.2074297730676884</v>
      </c>
    </row>
    <row r="4810">
      <c r="A4810" s="34" t="inlineStr">
        <is>
          <t>Overtid midl./vik.</t>
        </is>
      </c>
      <c r="B4810" s="34" t="inlineStr">
        <is>
          <t>Region Vest</t>
        </is>
      </c>
      <c r="C4810" s="34" t="inlineStr">
        <is>
          <t>Kasa Ungdomssenter avd. Hop</t>
        </is>
      </c>
      <c r="D4810" s="18" t="n">
        <v>145735</v>
      </c>
      <c r="E4810" s="18" t="n">
        <v>217281</v>
      </c>
      <c r="F4810" s="18" t="n">
        <v>273618</v>
      </c>
      <c r="G4810" s="18" t="n">
        <v>220570</v>
      </c>
      <c r="H4810" s="18" t="n">
        <v>160740</v>
      </c>
      <c r="I4810" s="18" t="n">
        <v>112040</v>
      </c>
      <c r="J4810" s="19" t="n">
        <v>100854.8514611081</v>
      </c>
      <c r="K4810" s="35" t="n">
        <v>-0.05122802711851737</v>
      </c>
    </row>
    <row r="4811">
      <c r="A4811" s="36" t="inlineStr">
        <is>
          <t>Overtid midl./vik.</t>
        </is>
      </c>
      <c r="B4811" s="36" t="inlineStr">
        <is>
          <t>Region Vest</t>
        </is>
      </c>
      <c r="C4811" s="36" t="inlineStr">
        <is>
          <t>Kasa Ungdomssenter avd. Morvik</t>
        </is>
      </c>
      <c r="D4811" s="26" t="n">
        <v>109693</v>
      </c>
      <c r="E4811" s="26" t="n">
        <v>192112</v>
      </c>
      <c r="F4811" s="26" t="n">
        <v>155056</v>
      </c>
      <c r="G4811" s="26" t="n">
        <v>230750</v>
      </c>
      <c r="H4811" s="26" t="n">
        <v>187586</v>
      </c>
      <c r="I4811" s="26" t="n">
        <v>62647</v>
      </c>
      <c r="J4811" s="19" t="n">
        <v>50071.29507151415</v>
      </c>
      <c r="K4811" s="37" t="n">
        <v>-0.1059860965273295</v>
      </c>
    </row>
    <row r="4812">
      <c r="A4812" s="34" t="inlineStr">
        <is>
          <t>Overtid midl./vik.</t>
        </is>
      </c>
      <c r="B4812" s="34" t="inlineStr">
        <is>
          <t>Region Vest</t>
        </is>
      </c>
      <c r="C4812" s="34" t="inlineStr">
        <is>
          <t>Kasa Ungdomssenter avd. Sandsli</t>
        </is>
      </c>
      <c r="D4812" s="18" t="n">
        <v>60829</v>
      </c>
      <c r="E4812" s="18" t="n">
        <v>64013</v>
      </c>
      <c r="F4812" s="18" t="n">
        <v>99380</v>
      </c>
      <c r="G4812" s="18" t="n">
        <v>194022</v>
      </c>
      <c r="H4812" s="18" t="n">
        <v>213659</v>
      </c>
      <c r="I4812" s="18" t="n">
        <v>176157</v>
      </c>
      <c r="J4812" s="19" t="n">
        <v>269535.2664021929</v>
      </c>
      <c r="K4812" s="35" t="n">
        <v>0.2369662370070065</v>
      </c>
    </row>
    <row r="4813">
      <c r="A4813" s="36" t="inlineStr">
        <is>
          <t>Overtid midl./vik.</t>
        </is>
      </c>
      <c r="B4813" s="36" t="inlineStr">
        <is>
          <t>Region Vest</t>
        </is>
      </c>
      <c r="C4813" s="36" t="inlineStr">
        <is>
          <t>Kasa Ungdomssenter avd. Tertnes</t>
        </is>
      </c>
      <c r="D4813" s="26" t="n">
        <v>95857</v>
      </c>
      <c r="E4813" s="26" t="n">
        <v>59611</v>
      </c>
      <c r="F4813" s="26" t="n">
        <v>98301</v>
      </c>
      <c r="G4813" s="26" t="n">
        <v>85226</v>
      </c>
      <c r="H4813" s="26" t="n">
        <v>71106</v>
      </c>
      <c r="I4813" s="26" t="n">
        <v>109721</v>
      </c>
      <c r="J4813" s="19" t="n">
        <v>115812.6840383248</v>
      </c>
      <c r="K4813" s="37" t="n">
        <v>0.02738491526484377</v>
      </c>
    </row>
    <row r="4814">
      <c r="A4814" s="34" t="inlineStr">
        <is>
          <t>Overtid midl./vik.</t>
        </is>
      </c>
      <c r="B4814" s="34" t="inlineStr">
        <is>
          <t>Region Vest</t>
        </is>
      </c>
      <c r="C4814" s="34" t="inlineStr">
        <is>
          <t>SFU avd Bregnetunet</t>
        </is>
      </c>
      <c r="D4814" s="18" t="n">
        <v>214767</v>
      </c>
      <c r="E4814" s="18" t="n">
        <v>78416</v>
      </c>
      <c r="F4814" s="18" t="n">
        <v>300022</v>
      </c>
      <c r="G4814" s="18" t="n">
        <v>223288</v>
      </c>
      <c r="H4814" s="18" t="n">
        <v>463927</v>
      </c>
      <c r="I4814" s="18" t="n">
        <v>8482</v>
      </c>
      <c r="J4814" s="19" t="n">
        <v>4771.125</v>
      </c>
      <c r="K4814" s="35" t="n">
        <v>-0.25</v>
      </c>
    </row>
    <row r="4815">
      <c r="A4815" s="36" t="inlineStr">
        <is>
          <t>Overtid midl./vik.</t>
        </is>
      </c>
      <c r="B4815" s="36" t="inlineStr">
        <is>
          <t>Region Vest</t>
        </is>
      </c>
      <c r="C4815" s="36" t="inlineStr">
        <is>
          <t>SFU avd.Meltunet</t>
        </is>
      </c>
      <c r="D4815" s="26" t="n">
        <v>423550</v>
      </c>
      <c r="E4815" s="26" t="n">
        <v>170614</v>
      </c>
      <c r="F4815" s="26" t="n">
        <v>310114</v>
      </c>
      <c r="G4815" s="26" t="n">
        <v>541617</v>
      </c>
      <c r="H4815" s="26" t="n">
        <v>698940</v>
      </c>
      <c r="I4815" s="26" t="n">
        <v>291898</v>
      </c>
      <c r="J4815" s="19" t="n">
        <v>251513.7269312969</v>
      </c>
      <c r="K4815" s="37" t="n">
        <v>-0.07174929732891899</v>
      </c>
    </row>
    <row r="4816">
      <c r="A4816" s="34" t="inlineStr">
        <is>
          <t>Overtid midl./vik.</t>
        </is>
      </c>
      <c r="B4816" s="34" t="inlineStr">
        <is>
          <t>Region Vest</t>
        </is>
      </c>
      <c r="C4816" s="34" t="inlineStr">
        <is>
          <t>Sandnes ungdomssenter - Minde 2</t>
        </is>
      </c>
      <c r="D4816" s="18" t="n">
        <v>173552</v>
      </c>
      <c r="E4816" s="18" t="n">
        <v>665059</v>
      </c>
      <c r="F4816" s="18" t="n">
        <v>360953</v>
      </c>
      <c r="G4816" s="18" t="n">
        <v>155786</v>
      </c>
      <c r="H4816" s="18" t="n">
        <v>246817</v>
      </c>
      <c r="I4816" s="18" t="n">
        <v>227931</v>
      </c>
      <c r="J4816" s="19" t="n">
        <v>254186.7481185679</v>
      </c>
      <c r="K4816" s="35" t="n">
        <v>0.05602634939892903</v>
      </c>
    </row>
    <row r="4817">
      <c r="A4817" s="36" t="inlineStr">
        <is>
          <t>Overtid midl./vik.</t>
        </is>
      </c>
      <c r="B4817" s="36" t="inlineStr">
        <is>
          <t>Region Vest</t>
        </is>
      </c>
      <c r="C4817" s="36" t="inlineStr">
        <is>
          <t>Sandnes ungdomssenter - Minde1</t>
        </is>
      </c>
      <c r="D4817" s="26" t="n">
        <v>92553</v>
      </c>
      <c r="E4817" s="26" t="n">
        <v>142898</v>
      </c>
      <c r="F4817" s="26" t="n">
        <v>443870</v>
      </c>
      <c r="G4817" s="26" t="n">
        <v>255519</v>
      </c>
      <c r="H4817" s="26" t="n">
        <v>215106</v>
      </c>
      <c r="I4817" s="26" t="n">
        <v>135978</v>
      </c>
      <c r="J4817" s="19" t="n">
        <v>158598.8042493292</v>
      </c>
      <c r="K4817" s="37" t="n">
        <v>0.07997979314262382</v>
      </c>
    </row>
    <row r="4818">
      <c r="A4818" s="34" t="inlineStr">
        <is>
          <t>Overtid midl./vik.</t>
        </is>
      </c>
      <c r="B4818" s="34" t="inlineStr">
        <is>
          <t>Region Vest</t>
        </is>
      </c>
      <c r="C4818" s="34" t="inlineStr">
        <is>
          <t>Skjoldvegen Skjold</t>
        </is>
      </c>
      <c r="D4818" s="18" t="n">
        <v>417062</v>
      </c>
      <c r="E4818" s="18" t="n">
        <v>268083</v>
      </c>
      <c r="F4818" s="18" t="n">
        <v>117587</v>
      </c>
      <c r="G4818" s="18" t="n">
        <v>170079</v>
      </c>
      <c r="H4818" s="18" t="n">
        <v>317043</v>
      </c>
      <c r="I4818" s="18" t="n">
        <v>209299</v>
      </c>
      <c r="J4818" s="19" t="n">
        <v>158852.3946527633</v>
      </c>
      <c r="K4818" s="35" t="n">
        <v>-0.1288091481401019</v>
      </c>
    </row>
    <row r="4819">
      <c r="A4819" s="36" t="inlineStr">
        <is>
          <t>Overtid midl./vik.</t>
        </is>
      </c>
      <c r="B4819" s="36" t="inlineStr">
        <is>
          <t>Region Vest</t>
        </is>
      </c>
      <c r="C4819" s="36" t="inlineStr">
        <is>
          <t>Skjoldvegen Søfteland</t>
        </is>
      </c>
      <c r="D4819" s="26" t="n">
        <v>204147</v>
      </c>
      <c r="E4819" s="26" t="n">
        <v>415911</v>
      </c>
      <c r="F4819" s="26" t="n">
        <v>390573</v>
      </c>
      <c r="G4819" s="26" t="n">
        <v>369760</v>
      </c>
      <c r="H4819" s="26" t="n">
        <v>465101</v>
      </c>
      <c r="I4819" s="26" t="n">
        <v>695662</v>
      </c>
      <c r="J4819" s="19" t="n">
        <v>1086971.875</v>
      </c>
      <c r="K4819" s="37" t="n">
        <v>0.25</v>
      </c>
    </row>
    <row r="4820">
      <c r="A4820" s="34" t="inlineStr">
        <is>
          <t>Overtid midl./vik.</t>
        </is>
      </c>
      <c r="B4820" s="34" t="inlineStr">
        <is>
          <t>Region Vest</t>
        </is>
      </c>
      <c r="C4820" s="34" t="inlineStr">
        <is>
          <t>Skjoldvegen barnevernsenter Enetiltak</t>
        </is>
      </c>
      <c r="D4820" s="18" t="n">
        <v>9334</v>
      </c>
      <c r="E4820" s="18" t="n">
        <v>7563</v>
      </c>
      <c r="F4820" s="18" t="n"/>
      <c r="G4820" s="18" t="n">
        <v>169076</v>
      </c>
      <c r="H4820" s="18" t="n"/>
      <c r="I4820" s="18" t="n"/>
      <c r="J4820" s="19" t="n">
        <v>0</v>
      </c>
      <c r="K4820" s="35" t="n">
        <v>0.065</v>
      </c>
    </row>
    <row r="4821">
      <c r="A4821" s="36" t="inlineStr">
        <is>
          <t>Overtid midl./vik.</t>
        </is>
      </c>
      <c r="B4821" s="36" t="inlineStr">
        <is>
          <t>Region Vest</t>
        </is>
      </c>
      <c r="C4821" s="36" t="inlineStr">
        <is>
          <t>Skjoldvegen barnevernsenter avd. Fyllingsdalen</t>
        </is>
      </c>
      <c r="D4821" s="26" t="n">
        <v>263013</v>
      </c>
      <c r="E4821" s="26" t="n">
        <v>171623</v>
      </c>
      <c r="F4821" s="26" t="n">
        <v>241741</v>
      </c>
      <c r="G4821" s="26" t="n">
        <v>176143</v>
      </c>
      <c r="H4821" s="26" t="n">
        <v>319780</v>
      </c>
      <c r="I4821" s="26" t="n">
        <v>297527</v>
      </c>
      <c r="J4821" s="19" t="n">
        <v>312569.1059574196</v>
      </c>
      <c r="K4821" s="37" t="n">
        <v>0.024966883523867</v>
      </c>
    </row>
    <row r="4822">
      <c r="A4822" s="34" t="inlineStr">
        <is>
          <t>Overtid midl./vik.</t>
        </is>
      </c>
      <c r="B4822" s="34" t="inlineStr">
        <is>
          <t>Region Vest</t>
        </is>
      </c>
      <c r="C4822" s="34" t="inlineStr">
        <is>
          <t>Sogn og fjordane ungdomssenter avdeling Bregnetunet behandling høy</t>
        </is>
      </c>
      <c r="D4822" s="18" t="n"/>
      <c r="E4822" s="18" t="n"/>
      <c r="F4822" s="18" t="n"/>
      <c r="G4822" s="18" t="n"/>
      <c r="H4822" s="18" t="n">
        <v>5044</v>
      </c>
      <c r="I4822" s="18" t="n">
        <v>157849</v>
      </c>
      <c r="J4822" s="19" t="n">
        <v>179036.282025</v>
      </c>
      <c r="K4822" s="35" t="n">
        <v>0.065</v>
      </c>
    </row>
    <row r="4823">
      <c r="A4823" s="36" t="inlineStr">
        <is>
          <t>Overtid midl./vik.</t>
        </is>
      </c>
      <c r="B4823" s="36" t="inlineStr">
        <is>
          <t>Region Vest</t>
        </is>
      </c>
      <c r="C4823" s="36" t="inlineStr">
        <is>
          <t>Sogndal ungdomsenter-adm.</t>
        </is>
      </c>
      <c r="D4823" s="26" t="n">
        <v>139865</v>
      </c>
      <c r="E4823" s="26" t="n">
        <v>158076</v>
      </c>
      <c r="F4823" s="26" t="n">
        <v>170911</v>
      </c>
      <c r="G4823" s="26" t="n">
        <v>176029</v>
      </c>
      <c r="H4823" s="26" t="n">
        <v>296224</v>
      </c>
      <c r="I4823" s="26" t="n">
        <v>250283</v>
      </c>
      <c r="J4823" s="19" t="n">
        <v>315878.6497385556</v>
      </c>
      <c r="K4823" s="37" t="n">
        <v>0.1234259733936149</v>
      </c>
    </row>
    <row r="4824">
      <c r="A4824" s="34" t="inlineStr">
        <is>
          <t>Overtid midl./vik.</t>
        </is>
      </c>
      <c r="B4824" s="34" t="inlineStr">
        <is>
          <t>Region Vest</t>
        </is>
      </c>
      <c r="C4824" s="34" t="inlineStr">
        <is>
          <t>Stavanger akuttsenter - Heimly</t>
        </is>
      </c>
      <c r="D4824" s="18" t="n">
        <v>4519</v>
      </c>
      <c r="E4824" s="18" t="n"/>
      <c r="F4824" s="18" t="n"/>
      <c r="G4824" s="18" t="n"/>
      <c r="H4824" s="18" t="n"/>
      <c r="I4824" s="18" t="n"/>
      <c r="J4824" s="19" t="n">
        <v>0</v>
      </c>
      <c r="K4824" s="35" t="n">
        <v>0.065</v>
      </c>
    </row>
    <row r="4825">
      <c r="A4825" s="36" t="inlineStr">
        <is>
          <t>Overtid midl./vik.</t>
        </is>
      </c>
      <c r="B4825" s="36" t="inlineStr">
        <is>
          <t>Region Vest</t>
        </is>
      </c>
      <c r="C4825" s="36" t="inlineStr">
        <is>
          <t>Stavanger akuttsenter - Madla</t>
        </is>
      </c>
      <c r="D4825" s="26" t="n">
        <v>536820</v>
      </c>
      <c r="E4825" s="26" t="n">
        <v>346462</v>
      </c>
      <c r="F4825" s="26" t="n">
        <v>529266</v>
      </c>
      <c r="G4825" s="26" t="n">
        <v>1122682</v>
      </c>
      <c r="H4825" s="26" t="n">
        <v>1023557</v>
      </c>
      <c r="I4825" s="26" t="n">
        <v>659595</v>
      </c>
      <c r="J4825" s="19" t="n">
        <v>716237.1142648646</v>
      </c>
      <c r="K4825" s="37" t="n">
        <v>0.04205282049827552</v>
      </c>
    </row>
    <row r="4826">
      <c r="A4826" s="34" t="inlineStr">
        <is>
          <t>Overtid midl./vik.</t>
        </is>
      </c>
      <c r="B4826" s="34" t="inlineStr">
        <is>
          <t>Region Vest</t>
        </is>
      </c>
      <c r="C4826" s="34" t="inlineStr">
        <is>
          <t>Stavanger akuttsenter - Røyneberg</t>
        </is>
      </c>
      <c r="D4826" s="18" t="n">
        <v>154218</v>
      </c>
      <c r="E4826" s="18" t="n">
        <v>162300</v>
      </c>
      <c r="F4826" s="18" t="n">
        <v>239185</v>
      </c>
      <c r="G4826" s="18" t="n">
        <v>138145</v>
      </c>
      <c r="H4826" s="18" t="n">
        <v>178324</v>
      </c>
      <c r="I4826" s="18" t="n">
        <v>167743</v>
      </c>
      <c r="J4826" s="19" t="n">
        <v>173479.491947995</v>
      </c>
      <c r="K4826" s="35" t="n">
        <v>0.01695530892752206</v>
      </c>
    </row>
    <row r="4827">
      <c r="A4827" s="36" t="inlineStr">
        <is>
          <t>Overtid midl./vik.</t>
        </is>
      </c>
      <c r="B4827" s="36" t="inlineStr">
        <is>
          <t>Region Vest</t>
        </is>
      </c>
      <c r="C4827" s="36" t="inlineStr">
        <is>
          <t>Stavanger ungdomssenter - avd. Lindøy</t>
        </is>
      </c>
      <c r="D4827" s="26" t="n">
        <v>47459</v>
      </c>
      <c r="E4827" s="26" t="n">
        <v>43230</v>
      </c>
      <c r="F4827" s="26" t="n">
        <v>117719</v>
      </c>
      <c r="G4827" s="26" t="n">
        <v>85769</v>
      </c>
      <c r="H4827" s="26" t="n">
        <v>140565</v>
      </c>
      <c r="I4827" s="26" t="n">
        <v>126035</v>
      </c>
      <c r="J4827" s="19" t="n">
        <v>186277.4133972515</v>
      </c>
      <c r="K4827" s="37" t="n">
        <v>0.2157226737087827</v>
      </c>
    </row>
    <row r="4828">
      <c r="A4828" s="34" t="inlineStr">
        <is>
          <t>Overtid midl./vik.</t>
        </is>
      </c>
      <c r="B4828" s="34" t="inlineStr">
        <is>
          <t>Region Vest</t>
        </is>
      </c>
      <c r="C4828" s="34" t="inlineStr">
        <is>
          <t>Stavanger ungdomssenter - avd. Våland</t>
        </is>
      </c>
      <c r="D4828" s="18" t="n">
        <v>96948</v>
      </c>
      <c r="E4828" s="18" t="n">
        <v>150324</v>
      </c>
      <c r="F4828" s="18" t="n">
        <v>121197</v>
      </c>
      <c r="G4828" s="18" t="n">
        <v>45878</v>
      </c>
      <c r="H4828" s="18" t="n">
        <v>32664</v>
      </c>
      <c r="I4828" s="18" t="n">
        <v>68335</v>
      </c>
      <c r="J4828" s="19" t="n">
        <v>59413.47257449128</v>
      </c>
      <c r="K4828" s="35" t="n">
        <v>-0.06756005750911742</v>
      </c>
    </row>
    <row r="4829">
      <c r="A4829" s="36" t="inlineStr">
        <is>
          <t>Overtid midl./vik.</t>
        </is>
      </c>
      <c r="B4829" s="36" t="inlineStr">
        <is>
          <t>Region Vest</t>
        </is>
      </c>
      <c r="C4829" s="36" t="inlineStr">
        <is>
          <t>TFCO Bergen, avdeling fosterhjem</t>
        </is>
      </c>
      <c r="D4829" s="26" t="n"/>
      <c r="E4829" s="26" t="n"/>
      <c r="F4829" s="26" t="n">
        <v>8104</v>
      </c>
      <c r="G4829" s="26" t="n">
        <v>6374</v>
      </c>
      <c r="H4829" s="26" t="n"/>
      <c r="I4829" s="26" t="n"/>
      <c r="J4829" s="19" t="n">
        <v>0</v>
      </c>
      <c r="K4829" s="37" t="n">
        <v>0.065</v>
      </c>
    </row>
    <row r="4830">
      <c r="A4830" s="34" t="inlineStr">
        <is>
          <t>Overtid midl./vik.</t>
        </is>
      </c>
      <c r="B4830" s="34" t="inlineStr">
        <is>
          <t>Region Øst</t>
        </is>
      </c>
      <c r="C4830" s="34" t="inlineStr">
        <is>
          <t>Akershus ungdoms- og familiesenter - akutt  Adminstrasjon</t>
        </is>
      </c>
      <c r="D4830" s="18" t="n"/>
      <c r="E4830" s="18" t="n"/>
      <c r="F4830" s="18" t="n"/>
      <c r="G4830" s="18" t="n"/>
      <c r="H4830" s="18" t="n">
        <v>10430</v>
      </c>
      <c r="I4830" s="18" t="n">
        <v>79</v>
      </c>
      <c r="J4830" s="19" t="n">
        <v>89.60377499999998</v>
      </c>
      <c r="K4830" s="35" t="n">
        <v>0.065</v>
      </c>
    </row>
    <row r="4831">
      <c r="A4831" s="36" t="inlineStr">
        <is>
          <t>Overtid midl./vik.</t>
        </is>
      </c>
      <c r="B4831" s="36" t="inlineStr">
        <is>
          <t>Region Øst</t>
        </is>
      </c>
      <c r="C4831" s="36" t="inlineStr">
        <is>
          <t>Akershus ungdoms- og familiesenter - akutt  Avdeling Sole</t>
        </is>
      </c>
      <c r="D4831" s="26" t="n">
        <v>577628</v>
      </c>
      <c r="E4831" s="26" t="n">
        <v>628633</v>
      </c>
      <c r="F4831" s="26" t="n">
        <v>667306</v>
      </c>
      <c r="G4831" s="26" t="n">
        <v>934369</v>
      </c>
      <c r="H4831" s="26" t="n">
        <v>1008386</v>
      </c>
      <c r="I4831" s="26" t="n">
        <v>34972</v>
      </c>
      <c r="J4831" s="19" t="n">
        <v>19671.75</v>
      </c>
      <c r="K4831" s="37" t="n">
        <v>-0.25</v>
      </c>
    </row>
    <row r="4832">
      <c r="A4832" s="34" t="inlineStr">
        <is>
          <t>Overtid midl./vik.</t>
        </is>
      </c>
      <c r="B4832" s="34" t="inlineStr">
        <is>
          <t>Region Øst</t>
        </is>
      </c>
      <c r="C4832" s="34" t="inlineStr">
        <is>
          <t>Akershus ungdoms- og familiesenter - akutt  Avdeling Tjernlia</t>
        </is>
      </c>
      <c r="D4832" s="18" t="n">
        <v>65958</v>
      </c>
      <c r="E4832" s="18" t="n">
        <v>164082</v>
      </c>
      <c r="F4832" s="18" t="n">
        <v>193977</v>
      </c>
      <c r="G4832" s="18" t="n">
        <v>505917</v>
      </c>
      <c r="H4832" s="18" t="n">
        <v>556976</v>
      </c>
      <c r="I4832" s="18" t="n">
        <v>37924</v>
      </c>
      <c r="J4832" s="19" t="n">
        <v>30392.94622900833</v>
      </c>
      <c r="K4832" s="35" t="n">
        <v>-0.1047809157165391</v>
      </c>
    </row>
    <row r="4833">
      <c r="A4833" s="36" t="inlineStr">
        <is>
          <t>Overtid midl./vik.</t>
        </is>
      </c>
      <c r="B4833" s="36" t="inlineStr">
        <is>
          <t>Region Øst</t>
        </is>
      </c>
      <c r="C4833" s="36" t="inlineStr">
        <is>
          <t>Akershus ungdoms- og familiesenter - akutt Avdeling Bjørlien</t>
        </is>
      </c>
      <c r="D4833" s="26" t="n">
        <v>111791</v>
      </c>
      <c r="E4833" s="26" t="n">
        <v>244895</v>
      </c>
      <c r="F4833" s="26" t="n">
        <v>214320</v>
      </c>
      <c r="G4833" s="26" t="n">
        <v>407561</v>
      </c>
      <c r="H4833" s="26" t="n">
        <v>239570</v>
      </c>
      <c r="I4833" s="26" t="n">
        <v>2178</v>
      </c>
      <c r="J4833" s="19" t="n">
        <v>1225.125</v>
      </c>
      <c r="K4833" s="37" t="n">
        <v>-0.25</v>
      </c>
    </row>
    <row r="4834">
      <c r="A4834" s="34" t="inlineStr">
        <is>
          <t>Overtid midl./vik.</t>
        </is>
      </c>
      <c r="B4834" s="34" t="inlineStr">
        <is>
          <t>Region Øst</t>
        </is>
      </c>
      <c r="C4834" s="34" t="inlineStr">
        <is>
          <t>Akershus ungdoms- og familiesenter - akutt Avdeling Follo</t>
        </is>
      </c>
      <c r="D4834" s="18" t="n">
        <v>17750</v>
      </c>
      <c r="E4834" s="18" t="n">
        <v>248601</v>
      </c>
      <c r="F4834" s="18" t="n">
        <v>502</v>
      </c>
      <c r="G4834" s="18" t="n"/>
      <c r="H4834" s="18" t="n"/>
      <c r="I4834" s="18" t="n"/>
      <c r="J4834" s="19" t="n">
        <v>0</v>
      </c>
      <c r="K4834" s="35" t="n">
        <v>0.065</v>
      </c>
    </row>
    <row r="4835">
      <c r="A4835" s="36" t="inlineStr">
        <is>
          <t>Overtid midl./vik.</t>
        </is>
      </c>
      <c r="B4835" s="36" t="inlineStr">
        <is>
          <t>Region Øst</t>
        </is>
      </c>
      <c r="C4835" s="36" t="inlineStr">
        <is>
          <t>Akershus ungdoms- og familiesenter - akutt Avdeling Jibbe</t>
        </is>
      </c>
      <c r="D4835" s="26" t="n">
        <v>14090</v>
      </c>
      <c r="E4835" s="26" t="n">
        <v>63549</v>
      </c>
      <c r="F4835" s="26" t="n">
        <v>122893</v>
      </c>
      <c r="G4835" s="26" t="n">
        <v>218380</v>
      </c>
      <c r="H4835" s="26" t="n">
        <v>39803</v>
      </c>
      <c r="I4835" s="26" t="n">
        <v>953</v>
      </c>
      <c r="J4835" s="19" t="n">
        <v>536.0625</v>
      </c>
      <c r="K4835" s="37" t="n">
        <v>-0.25</v>
      </c>
    </row>
    <row r="4836">
      <c r="A4836" s="34" t="inlineStr">
        <is>
          <t>Overtid midl./vik.</t>
        </is>
      </c>
      <c r="B4836" s="34" t="inlineStr">
        <is>
          <t>Region Øst</t>
        </is>
      </c>
      <c r="C4836" s="34" t="inlineStr">
        <is>
          <t>Akershus ungdoms- og familiesenter - akutt, avd Bjørlien</t>
        </is>
      </c>
      <c r="D4836" s="18" t="n"/>
      <c r="E4836" s="18" t="n"/>
      <c r="F4836" s="18" t="n"/>
      <c r="G4836" s="18" t="n"/>
      <c r="H4836" s="18" t="n"/>
      <c r="I4836" s="18" t="n">
        <v>16830</v>
      </c>
      <c r="J4836" s="19" t="n">
        <v>19089.00675</v>
      </c>
      <c r="K4836" s="35" t="n">
        <v>0.065</v>
      </c>
    </row>
    <row r="4837">
      <c r="A4837" s="36" t="inlineStr">
        <is>
          <t>Overtid midl./vik.</t>
        </is>
      </c>
      <c r="B4837" s="36" t="inlineStr">
        <is>
          <t>Region Øst</t>
        </is>
      </c>
      <c r="C4837" s="36" t="inlineStr">
        <is>
          <t>Akershus ungdoms- og familiesenter - akutt, avd Jibbe</t>
        </is>
      </c>
      <c r="D4837" s="26" t="n"/>
      <c r="E4837" s="26" t="n"/>
      <c r="F4837" s="26" t="n"/>
      <c r="G4837" s="26" t="n"/>
      <c r="H4837" s="26" t="n"/>
      <c r="I4837" s="26" t="n">
        <v>46503</v>
      </c>
      <c r="J4837" s="19" t="n">
        <v>52744.86517499999</v>
      </c>
      <c r="K4837" s="37" t="n">
        <v>0.065</v>
      </c>
    </row>
    <row r="4838">
      <c r="A4838" s="34" t="inlineStr">
        <is>
          <t>Overtid midl./vik.</t>
        </is>
      </c>
      <c r="B4838" s="34" t="inlineStr">
        <is>
          <t>Region Øst</t>
        </is>
      </c>
      <c r="C4838" s="34" t="inlineStr">
        <is>
          <t>Akershus ungdoms- og familiesenter - akutt, avd Sole</t>
        </is>
      </c>
      <c r="D4838" s="18" t="n"/>
      <c r="E4838" s="18" t="n"/>
      <c r="F4838" s="18" t="n"/>
      <c r="G4838" s="18" t="n"/>
      <c r="H4838" s="18" t="n"/>
      <c r="I4838" s="18" t="n">
        <v>104806</v>
      </c>
      <c r="J4838" s="19" t="n">
        <v>118873.58535</v>
      </c>
      <c r="K4838" s="35" t="n">
        <v>0.065</v>
      </c>
    </row>
    <row r="4839">
      <c r="A4839" s="36" t="inlineStr">
        <is>
          <t>Overtid midl./vik.</t>
        </is>
      </c>
      <c r="B4839" s="36" t="inlineStr">
        <is>
          <t>Region Øst</t>
        </is>
      </c>
      <c r="C4839" s="36" t="inlineStr">
        <is>
          <t>Akershus ungdoms- og familiesenter - akutt, avd Tjernlia</t>
        </is>
      </c>
      <c r="D4839" s="26" t="n"/>
      <c r="E4839" s="26" t="n"/>
      <c r="F4839" s="26" t="n"/>
      <c r="G4839" s="26" t="n"/>
      <c r="H4839" s="26" t="n"/>
      <c r="I4839" s="26" t="n">
        <v>173696</v>
      </c>
      <c r="J4839" s="19" t="n">
        <v>197010.3456</v>
      </c>
      <c r="K4839" s="37" t="n">
        <v>0.065</v>
      </c>
    </row>
    <row r="4840">
      <c r="A4840" s="34" t="inlineStr">
        <is>
          <t>Overtid midl./vik.</t>
        </is>
      </c>
      <c r="B4840" s="34" t="inlineStr">
        <is>
          <t>Region Øst</t>
        </is>
      </c>
      <c r="C4840" s="34" t="inlineStr">
        <is>
          <t>Bufetats behandlingssenter Akershus/Østfold - Administrasjon</t>
        </is>
      </c>
      <c r="D4840" s="18" t="n"/>
      <c r="E4840" s="18" t="n"/>
      <c r="F4840" s="18" t="n"/>
      <c r="G4840" s="18" t="n">
        <v>4518</v>
      </c>
      <c r="H4840" s="18" t="n"/>
      <c r="I4840" s="18" t="n"/>
      <c r="J4840" s="19" t="n">
        <v>0</v>
      </c>
      <c r="K4840" s="35" t="n">
        <v>0.065</v>
      </c>
    </row>
    <row r="4841">
      <c r="A4841" s="36" t="inlineStr">
        <is>
          <t>Overtid midl./vik.</t>
        </is>
      </c>
      <c r="B4841" s="36" t="inlineStr">
        <is>
          <t>Region Øst</t>
        </is>
      </c>
      <c r="C4841" s="36" t="inlineStr">
        <is>
          <t>Bufetats behandlingssenter Akershus/Østfold, Avdeling Kroerveien Institusjon</t>
        </is>
      </c>
      <c r="D4841" s="26" t="n"/>
      <c r="E4841" s="26" t="n"/>
      <c r="F4841" s="26" t="n"/>
      <c r="G4841" s="26" t="n">
        <v>82785</v>
      </c>
      <c r="H4841" s="26" t="n">
        <v>275934</v>
      </c>
      <c r="I4841" s="26" t="n">
        <v>31162</v>
      </c>
      <c r="J4841" s="19" t="n">
        <v>35344.71945</v>
      </c>
      <c r="K4841" s="37" t="n">
        <v>0.065</v>
      </c>
    </row>
    <row r="4842">
      <c r="A4842" s="34" t="inlineStr">
        <is>
          <t>Overtid midl./vik.</t>
        </is>
      </c>
      <c r="B4842" s="34" t="inlineStr">
        <is>
          <t>Region Øst</t>
        </is>
      </c>
      <c r="C4842" s="34" t="inlineStr">
        <is>
          <t>Bufetats behandlingssenter Akershus/Østfold, Avdeling Ressursteam</t>
        </is>
      </c>
      <c r="D4842" s="18" t="n"/>
      <c r="E4842" s="18" t="n"/>
      <c r="F4842" s="18" t="n"/>
      <c r="G4842" s="18" t="n">
        <v>1074</v>
      </c>
      <c r="H4842" s="18" t="n"/>
      <c r="I4842" s="18" t="n"/>
      <c r="J4842" s="19" t="n">
        <v>0</v>
      </c>
      <c r="K4842" s="35" t="n">
        <v>0.065</v>
      </c>
    </row>
    <row r="4843">
      <c r="A4843" s="36" t="inlineStr">
        <is>
          <t>Overtid midl./vik.</t>
        </is>
      </c>
      <c r="B4843" s="36" t="inlineStr">
        <is>
          <t>Region Øst</t>
        </is>
      </c>
      <c r="C4843" s="36" t="inlineStr">
        <is>
          <t>Bufetats behandlingssenter Akershus/Østfold, Avdeling Ås</t>
        </is>
      </c>
      <c r="D4843" s="26" t="n"/>
      <c r="E4843" s="26" t="n"/>
      <c r="F4843" s="26" t="n"/>
      <c r="G4843" s="26" t="n">
        <v>574268</v>
      </c>
      <c r="H4843" s="26" t="n">
        <v>279186</v>
      </c>
      <c r="I4843" s="26" t="n">
        <v>8549</v>
      </c>
      <c r="J4843" s="19" t="n">
        <v>9696.489524999999</v>
      </c>
      <c r="K4843" s="37" t="n">
        <v>0.065</v>
      </c>
    </row>
    <row r="4844">
      <c r="A4844" s="34" t="inlineStr">
        <is>
          <t>Overtid midl./vik.</t>
        </is>
      </c>
      <c r="B4844" s="34" t="inlineStr">
        <is>
          <t>Region Øst</t>
        </is>
      </c>
      <c r="C4844" s="34" t="inlineStr">
        <is>
          <t>Bufetats behandlingssenter Akershus/Østfold, Avdeling Østheim</t>
        </is>
      </c>
      <c r="D4844" s="18" t="n"/>
      <c r="E4844" s="18" t="n"/>
      <c r="F4844" s="18" t="n"/>
      <c r="G4844" s="18" t="n">
        <v>54840</v>
      </c>
      <c r="H4844" s="18" t="n">
        <v>123077</v>
      </c>
      <c r="I4844" s="18" t="n">
        <v>15490</v>
      </c>
      <c r="J4844" s="19" t="n">
        <v>17569.14525</v>
      </c>
      <c r="K4844" s="35" t="n">
        <v>0.065</v>
      </c>
    </row>
    <row r="4845">
      <c r="A4845" s="36" t="inlineStr">
        <is>
          <t>Overtid midl./vik.</t>
        </is>
      </c>
      <c r="B4845" s="36" t="inlineStr">
        <is>
          <t>Region Øst</t>
        </is>
      </c>
      <c r="C4845" s="36" t="inlineStr">
        <is>
          <t>Bufetats behandlingssenter Akershus/Østfold, Avdeling Østlund</t>
        </is>
      </c>
      <c r="D4845" s="26" t="n"/>
      <c r="E4845" s="26" t="n"/>
      <c r="F4845" s="26" t="n"/>
      <c r="G4845" s="26" t="n">
        <v>53159</v>
      </c>
      <c r="H4845" s="26" t="n">
        <v>242805</v>
      </c>
      <c r="I4845" s="26" t="n">
        <v>7111</v>
      </c>
      <c r="J4845" s="19" t="n">
        <v>8065.473974999999</v>
      </c>
      <c r="K4845" s="37" t="n">
        <v>0.065</v>
      </c>
    </row>
    <row r="4846">
      <c r="A4846" s="34" t="inlineStr">
        <is>
          <t>Overtid midl./vik.</t>
        </is>
      </c>
      <c r="B4846" s="34" t="inlineStr">
        <is>
          <t>Region Øst</t>
        </is>
      </c>
      <c r="C4846" s="34" t="inlineStr">
        <is>
          <t>Bufetats behandlingssenter Akershus_Østfold, avd Kroerveien</t>
        </is>
      </c>
      <c r="D4846" s="18" t="n"/>
      <c r="E4846" s="18" t="n"/>
      <c r="F4846" s="18" t="n"/>
      <c r="G4846" s="18" t="n"/>
      <c r="H4846" s="18" t="n"/>
      <c r="I4846" s="18" t="n">
        <v>276863</v>
      </c>
      <c r="J4846" s="19" t="n">
        <v>314024.9361749999</v>
      </c>
      <c r="K4846" s="35" t="n">
        <v>0.065</v>
      </c>
    </row>
    <row r="4847">
      <c r="A4847" s="36" t="inlineStr">
        <is>
          <t>Overtid midl./vik.</t>
        </is>
      </c>
      <c r="B4847" s="36" t="inlineStr">
        <is>
          <t>Region Øst</t>
        </is>
      </c>
      <c r="C4847" s="36" t="inlineStr">
        <is>
          <t>Bufetats behandlingssenter Akershus_Østfold, avd Ås</t>
        </is>
      </c>
      <c r="D4847" s="26" t="n"/>
      <c r="E4847" s="26" t="n"/>
      <c r="F4847" s="26" t="n"/>
      <c r="G4847" s="26" t="n"/>
      <c r="H4847" s="26" t="n"/>
      <c r="I4847" s="26" t="n">
        <v>174510</v>
      </c>
      <c r="J4847" s="19" t="n">
        <v>197933.60475</v>
      </c>
      <c r="K4847" s="37" t="n">
        <v>0.065</v>
      </c>
    </row>
    <row r="4848">
      <c r="A4848" s="34" t="inlineStr">
        <is>
          <t>Overtid midl./vik.</t>
        </is>
      </c>
      <c r="B4848" s="34" t="inlineStr">
        <is>
          <t>Region Øst</t>
        </is>
      </c>
      <c r="C4848" s="34" t="inlineStr">
        <is>
          <t>Bufetats behandlingssenter Akershus_Østfold, avd Østheim</t>
        </is>
      </c>
      <c r="D4848" s="18" t="n"/>
      <c r="E4848" s="18" t="n"/>
      <c r="F4848" s="18" t="n"/>
      <c r="G4848" s="18" t="n"/>
      <c r="H4848" s="18" t="n"/>
      <c r="I4848" s="18" t="n">
        <v>118020</v>
      </c>
      <c r="J4848" s="19" t="n">
        <v>133861.2345</v>
      </c>
      <c r="K4848" s="35" t="n">
        <v>0.065</v>
      </c>
    </row>
    <row r="4849">
      <c r="A4849" s="36" t="inlineStr">
        <is>
          <t>Overtid midl./vik.</t>
        </is>
      </c>
      <c r="B4849" s="36" t="inlineStr">
        <is>
          <t>Region Øst</t>
        </is>
      </c>
      <c r="C4849" s="36" t="inlineStr">
        <is>
          <t>Bufetats behandlingssenter Akershus_Østfold, avd Østlund</t>
        </is>
      </c>
      <c r="D4849" s="26" t="n"/>
      <c r="E4849" s="26" t="n"/>
      <c r="F4849" s="26" t="n"/>
      <c r="G4849" s="26" t="n"/>
      <c r="H4849" s="26" t="n"/>
      <c r="I4849" s="26" t="n">
        <v>55262</v>
      </c>
      <c r="J4849" s="19" t="n">
        <v>62679.54194999999</v>
      </c>
      <c r="K4849" s="37" t="n">
        <v>0.065</v>
      </c>
    </row>
    <row r="4850">
      <c r="A4850" s="34" t="inlineStr">
        <is>
          <t>Overtid midl./vik.</t>
        </is>
      </c>
      <c r="B4850" s="34" t="inlineStr">
        <is>
          <t>Region Øst</t>
        </is>
      </c>
      <c r="C4850" s="34" t="inlineStr">
        <is>
          <t>Follo ungdoms- og familiesenter - akutt  Avdeling Follo</t>
        </is>
      </c>
      <c r="D4850" s="18" t="n">
        <v>86773</v>
      </c>
      <c r="E4850" s="18" t="n"/>
      <c r="F4850" s="18" t="n"/>
      <c r="G4850" s="18" t="n"/>
      <c r="H4850" s="18" t="n"/>
      <c r="I4850" s="18" t="n"/>
      <c r="J4850" s="19" t="n">
        <v>0</v>
      </c>
      <c r="K4850" s="35" t="n">
        <v>0.065</v>
      </c>
    </row>
    <row r="4851">
      <c r="A4851" s="36" t="inlineStr">
        <is>
          <t>Overtid midl./vik.</t>
        </is>
      </c>
      <c r="B4851" s="36" t="inlineStr">
        <is>
          <t>Region Øst</t>
        </is>
      </c>
      <c r="C4851" s="36" t="inlineStr">
        <is>
          <t>Follo ungdoms- og familiesenter - akutt  Avdeling Jibbe</t>
        </is>
      </c>
      <c r="D4851" s="26" t="n">
        <v>42955</v>
      </c>
      <c r="E4851" s="26" t="n"/>
      <c r="F4851" s="26" t="n"/>
      <c r="G4851" s="26" t="n"/>
      <c r="H4851" s="26" t="n"/>
      <c r="I4851" s="26" t="n"/>
      <c r="J4851" s="19" t="n">
        <v>0</v>
      </c>
      <c r="K4851" s="37" t="n">
        <v>0.065</v>
      </c>
    </row>
    <row r="4852">
      <c r="A4852" s="34" t="inlineStr">
        <is>
          <t>Overtid midl./vik.</t>
        </is>
      </c>
      <c r="B4852" s="34" t="inlineStr">
        <is>
          <t>Region Øst</t>
        </is>
      </c>
      <c r="C4852" s="34" t="inlineStr">
        <is>
          <t>Hedmark ungdoms- og  familiesenter - akutt  Avdeling  Stange 1</t>
        </is>
      </c>
      <c r="D4852" s="18" t="n">
        <v>45181</v>
      </c>
      <c r="E4852" s="18" t="n">
        <v>106044</v>
      </c>
      <c r="F4852" s="18" t="n">
        <v>133115</v>
      </c>
      <c r="G4852" s="18" t="n">
        <v>206436</v>
      </c>
      <c r="H4852" s="18" t="n">
        <v>132907</v>
      </c>
      <c r="I4852" s="18" t="n">
        <v>641</v>
      </c>
      <c r="J4852" s="19" t="n">
        <v>360.5625</v>
      </c>
      <c r="K4852" s="35" t="n">
        <v>-0.25</v>
      </c>
    </row>
    <row r="4853">
      <c r="A4853" s="36" t="inlineStr">
        <is>
          <t>Overtid midl./vik.</t>
        </is>
      </c>
      <c r="B4853" s="36" t="inlineStr">
        <is>
          <t>Region Øst</t>
        </is>
      </c>
      <c r="C4853" s="36" t="inlineStr">
        <is>
          <t>Hedmark ungdoms- og  familiesenter - akutt  Avdeling  Vien 1</t>
        </is>
      </c>
      <c r="D4853" s="26" t="n">
        <v>142387</v>
      </c>
      <c r="E4853" s="26" t="n">
        <v>114752</v>
      </c>
      <c r="F4853" s="26" t="n">
        <v>141536</v>
      </c>
      <c r="G4853" s="26" t="n">
        <v>242979</v>
      </c>
      <c r="H4853" s="26" t="n">
        <v>247787</v>
      </c>
      <c r="I4853" s="26" t="n">
        <v>4888</v>
      </c>
      <c r="J4853" s="19" t="n">
        <v>2749.5</v>
      </c>
      <c r="K4853" s="37" t="n">
        <v>-0.25</v>
      </c>
    </row>
    <row r="4854">
      <c r="A4854" s="34" t="inlineStr">
        <is>
          <t>Overtid midl./vik.</t>
        </is>
      </c>
      <c r="B4854" s="34" t="inlineStr">
        <is>
          <t>Region Øst</t>
        </is>
      </c>
      <c r="C4854" s="34" t="inlineStr">
        <is>
          <t>Hedmark ungdoms- og  familiesenter - akutt  Avdeling  Vien 2</t>
        </is>
      </c>
      <c r="D4854" s="18" t="n">
        <v>122991</v>
      </c>
      <c r="E4854" s="18" t="n">
        <v>178994</v>
      </c>
      <c r="F4854" s="18" t="n">
        <v>314215</v>
      </c>
      <c r="G4854" s="18" t="n">
        <v>450145</v>
      </c>
      <c r="H4854" s="18" t="n">
        <v>310214</v>
      </c>
      <c r="I4854" s="18" t="n">
        <v>8499</v>
      </c>
      <c r="J4854" s="19" t="n">
        <v>4780.6875</v>
      </c>
      <c r="K4854" s="35" t="n">
        <v>-0.25</v>
      </c>
    </row>
    <row r="4855">
      <c r="A4855" s="36" t="inlineStr">
        <is>
          <t>Overtid midl./vik.</t>
        </is>
      </c>
      <c r="B4855" s="36" t="inlineStr">
        <is>
          <t>Region Øst</t>
        </is>
      </c>
      <c r="C4855" s="36" t="inlineStr">
        <is>
          <t>Hedmark ungdoms- og familiesenter - akutt Avdeling Disen</t>
        </is>
      </c>
      <c r="D4855" s="26" t="n"/>
      <c r="E4855" s="26" t="n"/>
      <c r="F4855" s="26" t="n">
        <v>254359</v>
      </c>
      <c r="G4855" s="26" t="n">
        <v>350525</v>
      </c>
      <c r="H4855" s="26" t="n">
        <v>188164</v>
      </c>
      <c r="I4855" s="26" t="n">
        <v>837</v>
      </c>
      <c r="J4855" s="19" t="n">
        <v>949.3463249999999</v>
      </c>
      <c r="K4855" s="37" t="n">
        <v>0.065</v>
      </c>
    </row>
    <row r="4856">
      <c r="A4856" s="34" t="inlineStr">
        <is>
          <t>Overtid midl./vik.</t>
        </is>
      </c>
      <c r="B4856" s="34" t="inlineStr">
        <is>
          <t>Region Øst</t>
        </is>
      </c>
      <c r="C4856" s="34" t="inlineStr">
        <is>
          <t>Hedmark ungdoms- og familiesenter - akutt Avdeling Irstad</t>
        </is>
      </c>
      <c r="D4856" s="18" t="n">
        <v>135581</v>
      </c>
      <c r="E4856" s="18" t="n">
        <v>133094</v>
      </c>
      <c r="F4856" s="18" t="n">
        <v>8522</v>
      </c>
      <c r="G4856" s="18" t="n"/>
      <c r="H4856" s="18" t="n"/>
      <c r="I4856" s="18" t="n"/>
      <c r="J4856" s="19" t="n">
        <v>0</v>
      </c>
      <c r="K4856" s="35" t="n">
        <v>0.065</v>
      </c>
    </row>
    <row r="4857">
      <c r="A4857" s="36" t="inlineStr">
        <is>
          <t>Overtid midl./vik.</t>
        </is>
      </c>
      <c r="B4857" s="36" t="inlineStr">
        <is>
          <t>Region Øst</t>
        </is>
      </c>
      <c r="C4857" s="36" t="inlineStr">
        <is>
          <t>Hedmark ungdoms- og familiesenter - akutt, avd Disen</t>
        </is>
      </c>
      <c r="D4857" s="26" t="n"/>
      <c r="E4857" s="26" t="n"/>
      <c r="F4857" s="26" t="n"/>
      <c r="G4857" s="26" t="n"/>
      <c r="H4857" s="26" t="n"/>
      <c r="I4857" s="26" t="n">
        <v>247621</v>
      </c>
      <c r="J4857" s="19" t="n">
        <v>280857.9287249999</v>
      </c>
      <c r="K4857" s="37" t="n">
        <v>0.065</v>
      </c>
    </row>
    <row r="4858">
      <c r="A4858" s="34" t="inlineStr">
        <is>
          <t>Overtid midl./vik.</t>
        </is>
      </c>
      <c r="B4858" s="34" t="inlineStr">
        <is>
          <t>Region Øst</t>
        </is>
      </c>
      <c r="C4858" s="34" t="inlineStr">
        <is>
          <t>Hedmark ungdoms- og familiesenter - akutt, avd Stange 1</t>
        </is>
      </c>
      <c r="D4858" s="18" t="n"/>
      <c r="E4858" s="18" t="n"/>
      <c r="F4858" s="18" t="n"/>
      <c r="G4858" s="18" t="n"/>
      <c r="H4858" s="18" t="n"/>
      <c r="I4858" s="18" t="n">
        <v>203740</v>
      </c>
      <c r="J4858" s="19" t="n">
        <v>231087.0015</v>
      </c>
      <c r="K4858" s="35" t="n">
        <v>0.065</v>
      </c>
    </row>
    <row r="4859">
      <c r="A4859" s="36" t="inlineStr">
        <is>
          <t>Overtid midl./vik.</t>
        </is>
      </c>
      <c r="B4859" s="36" t="inlineStr">
        <is>
          <t>Region Øst</t>
        </is>
      </c>
      <c r="C4859" s="36" t="inlineStr">
        <is>
          <t>Hedmark ungdoms- og familiesenter - akutt, avd Vien 1</t>
        </is>
      </c>
      <c r="D4859" s="26" t="n"/>
      <c r="E4859" s="26" t="n"/>
      <c r="F4859" s="26" t="n"/>
      <c r="G4859" s="26" t="n"/>
      <c r="H4859" s="26" t="n"/>
      <c r="I4859" s="26" t="n">
        <v>208923</v>
      </c>
      <c r="J4859" s="19" t="n">
        <v>236965.689675</v>
      </c>
      <c r="K4859" s="37" t="n">
        <v>0.065</v>
      </c>
    </row>
    <row r="4860">
      <c r="A4860" s="34" t="inlineStr">
        <is>
          <t>Overtid midl./vik.</t>
        </is>
      </c>
      <c r="B4860" s="34" t="inlineStr">
        <is>
          <t>Region Øst</t>
        </is>
      </c>
      <c r="C4860" s="34" t="inlineStr">
        <is>
          <t>Hedmark ungdoms- og familiesenter - akutt, avd Vien 2</t>
        </is>
      </c>
      <c r="D4860" s="18" t="n"/>
      <c r="E4860" s="18" t="n"/>
      <c r="F4860" s="18" t="n"/>
      <c r="G4860" s="18" t="n"/>
      <c r="H4860" s="18" t="n"/>
      <c r="I4860" s="18" t="n">
        <v>261999</v>
      </c>
      <c r="J4860" s="19" t="n">
        <v>297165.815775</v>
      </c>
      <c r="K4860" s="35" t="n">
        <v>0.065</v>
      </c>
    </row>
    <row r="4861">
      <c r="A4861" s="36" t="inlineStr">
        <is>
          <t>Overtid midl./vik.</t>
        </is>
      </c>
      <c r="B4861" s="36" t="inlineStr">
        <is>
          <t>Region Øst</t>
        </is>
      </c>
      <c r="C4861" s="36" t="inlineStr">
        <is>
          <t>Innlandet Barnevernsenter avdeling Sandvig</t>
        </is>
      </c>
      <c r="D4861" s="26" t="n">
        <v>37817</v>
      </c>
      <c r="E4861" s="26" t="n">
        <v>64752</v>
      </c>
      <c r="F4861" s="26" t="n">
        <v>243128</v>
      </c>
      <c r="G4861" s="26" t="n">
        <v>195534</v>
      </c>
      <c r="H4861" s="26" t="n">
        <v>231499</v>
      </c>
      <c r="I4861" s="26" t="n">
        <v>198141</v>
      </c>
      <c r="J4861" s="19" t="n">
        <v>309595.3125</v>
      </c>
      <c r="K4861" s="37" t="n">
        <v>0.25</v>
      </c>
    </row>
    <row r="4862">
      <c r="A4862" s="34" t="inlineStr">
        <is>
          <t>Overtid midl./vik.</t>
        </is>
      </c>
      <c r="B4862" s="34" t="inlineStr">
        <is>
          <t>Region Øst</t>
        </is>
      </c>
      <c r="C4862" s="34" t="inlineStr">
        <is>
          <t>Innlandet barnevernsenter avdeling Aukrust</t>
        </is>
      </c>
      <c r="D4862" s="18" t="n">
        <v>99874</v>
      </c>
      <c r="E4862" s="18" t="n">
        <v>28797</v>
      </c>
      <c r="F4862" s="18" t="n">
        <v>89591</v>
      </c>
      <c r="G4862" s="18" t="n">
        <v>41272</v>
      </c>
      <c r="H4862" s="18" t="n">
        <v>102959</v>
      </c>
      <c r="I4862" s="18" t="n">
        <v>287311</v>
      </c>
      <c r="J4862" s="19" t="n">
        <v>438442.0277473864</v>
      </c>
      <c r="K4862" s="35" t="n">
        <v>0.2353213914881276</v>
      </c>
    </row>
    <row r="4863">
      <c r="A4863" s="36" t="inlineStr">
        <is>
          <t>Overtid midl./vik.</t>
        </is>
      </c>
      <c r="B4863" s="36" t="inlineStr">
        <is>
          <t>Region Øst</t>
        </is>
      </c>
      <c r="C4863" s="36" t="inlineStr">
        <is>
          <t>Innlandet barnevernsenter avdeling Kauffeldt</t>
        </is>
      </c>
      <c r="D4863" s="26" t="n"/>
      <c r="E4863" s="26" t="n"/>
      <c r="F4863" s="26" t="n"/>
      <c r="G4863" s="26" t="n">
        <v>13549</v>
      </c>
      <c r="H4863" s="26" t="n">
        <v>262692</v>
      </c>
      <c r="I4863" s="26" t="n">
        <v>98649</v>
      </c>
      <c r="J4863" s="19" t="n">
        <v>111890.162025</v>
      </c>
      <c r="K4863" s="37" t="n">
        <v>0.065</v>
      </c>
    </row>
    <row r="4864">
      <c r="A4864" s="34" t="inlineStr">
        <is>
          <t>Overtid midl./vik.</t>
        </is>
      </c>
      <c r="B4864" s="34" t="inlineStr">
        <is>
          <t>Region Øst</t>
        </is>
      </c>
      <c r="C4864" s="34" t="inlineStr">
        <is>
          <t>Innlandet barnevernsenter avdeling Prøysen</t>
        </is>
      </c>
      <c r="D4864" s="18" t="n">
        <v>121699</v>
      </c>
      <c r="E4864" s="18" t="n">
        <v>169474</v>
      </c>
      <c r="F4864" s="18" t="n">
        <v>179335</v>
      </c>
      <c r="G4864" s="18" t="n">
        <v>282158</v>
      </c>
      <c r="H4864" s="18" t="n">
        <v>215570</v>
      </c>
      <c r="I4864" s="18" t="n">
        <v>151387</v>
      </c>
      <c r="J4864" s="19" t="n">
        <v>165199.6839037726</v>
      </c>
      <c r="K4864" s="35" t="n">
        <v>0.04462475813360411</v>
      </c>
    </row>
    <row r="4865">
      <c r="A4865" s="36" t="inlineStr">
        <is>
          <t>Overtid midl./vik.</t>
        </is>
      </c>
      <c r="B4865" s="36" t="inlineStr">
        <is>
          <t>Region Øst</t>
        </is>
      </c>
      <c r="C4865" s="36" t="inlineStr">
        <is>
          <t>Innlandet barnevernsenter avdeling Vestly</t>
        </is>
      </c>
      <c r="D4865" s="26" t="n">
        <v>28225</v>
      </c>
      <c r="E4865" s="26" t="n">
        <v>44125</v>
      </c>
      <c r="F4865" s="26" t="n">
        <v>255279</v>
      </c>
      <c r="G4865" s="26" t="n">
        <v>278986</v>
      </c>
      <c r="H4865" s="26" t="n">
        <v>181507</v>
      </c>
      <c r="I4865" s="26" t="n">
        <v>167918</v>
      </c>
      <c r="J4865" s="19" t="n">
        <v>262371.875</v>
      </c>
      <c r="K4865" s="37" t="n">
        <v>0.25</v>
      </c>
    </row>
    <row r="4866">
      <c r="A4866" s="34" t="inlineStr">
        <is>
          <t>Overtid midl./vik.</t>
        </is>
      </c>
      <c r="B4866" s="34" t="inlineStr">
        <is>
          <t>Region Øst</t>
        </is>
      </c>
      <c r="C4866" s="34" t="inlineStr">
        <is>
          <t>Jong ungdoms- og familiesenter, avd Åsen</t>
        </is>
      </c>
      <c r="D4866" s="18" t="n"/>
      <c r="E4866" s="18" t="n"/>
      <c r="F4866" s="18" t="n"/>
      <c r="G4866" s="18" t="n"/>
      <c r="H4866" s="18" t="n"/>
      <c r="I4866" s="18" t="n">
        <v>544664</v>
      </c>
      <c r="J4866" s="19" t="n">
        <v>617771.5253999999</v>
      </c>
      <c r="K4866" s="35" t="n">
        <v>0.065</v>
      </c>
    </row>
    <row r="4867">
      <c r="A4867" s="36" t="inlineStr">
        <is>
          <t>Overtid midl./vik.</t>
        </is>
      </c>
      <c r="B4867" s="36" t="inlineStr">
        <is>
          <t>Region Øst</t>
        </is>
      </c>
      <c r="C4867" s="36" t="inlineStr">
        <is>
          <t>Jong ungdoms- og familiesenter, avd. Kollen</t>
        </is>
      </c>
      <c r="D4867" s="26" t="n"/>
      <c r="E4867" s="26" t="n"/>
      <c r="F4867" s="26" t="n"/>
      <c r="G4867" s="26" t="n"/>
      <c r="H4867" s="26" t="n"/>
      <c r="I4867" s="26" t="n">
        <v>271871</v>
      </c>
      <c r="J4867" s="19" t="n">
        <v>308362.8849749999</v>
      </c>
      <c r="K4867" s="37" t="n">
        <v>0.065</v>
      </c>
    </row>
    <row r="4868">
      <c r="A4868" s="34" t="inlineStr">
        <is>
          <t>Overtid midl./vik.</t>
        </is>
      </c>
      <c r="B4868" s="34" t="inlineStr">
        <is>
          <t>Region Øst</t>
        </is>
      </c>
      <c r="C4868" s="34" t="inlineStr">
        <is>
          <t>Jong ungdoms- og familiesenter, avdeling Kollen</t>
        </is>
      </c>
      <c r="D4868" s="18" t="n"/>
      <c r="E4868" s="18" t="n"/>
      <c r="F4868" s="18" t="n"/>
      <c r="G4868" s="18" t="n"/>
      <c r="H4868" s="18" t="n">
        <v>67850</v>
      </c>
      <c r="I4868" s="18" t="n"/>
      <c r="J4868" s="19" t="n">
        <v>0</v>
      </c>
      <c r="K4868" s="35" t="n">
        <v>0.065</v>
      </c>
    </row>
    <row r="4869">
      <c r="A4869" s="36" t="inlineStr">
        <is>
          <t>Overtid midl./vik.</t>
        </is>
      </c>
      <c r="B4869" s="36" t="inlineStr">
        <is>
          <t>Region Øst</t>
        </is>
      </c>
      <c r="C4869" s="36" t="inlineStr">
        <is>
          <t>Jong ungdoms- og familiesenter, avdeling Åsen</t>
        </is>
      </c>
      <c r="D4869" s="26" t="n">
        <v>165072</v>
      </c>
      <c r="E4869" s="26" t="n">
        <v>150775</v>
      </c>
      <c r="F4869" s="26" t="n">
        <v>543667</v>
      </c>
      <c r="G4869" s="26" t="n">
        <v>536331</v>
      </c>
      <c r="H4869" s="26" t="n">
        <v>521273</v>
      </c>
      <c r="I4869" s="26" t="n"/>
      <c r="J4869" s="19" t="n">
        <v>0</v>
      </c>
      <c r="K4869" s="37" t="n">
        <v>0.065</v>
      </c>
    </row>
    <row r="4870">
      <c r="A4870" s="34" t="inlineStr">
        <is>
          <t>Overtid midl./vik.</t>
        </is>
      </c>
      <c r="B4870" s="34" t="inlineStr">
        <is>
          <t>Region Øst</t>
        </is>
      </c>
      <c r="C4870" s="34" t="inlineStr">
        <is>
          <t>Kirkenær barnever- og omsorgssenter Avdeling Frigg</t>
        </is>
      </c>
      <c r="D4870" s="18" t="n"/>
      <c r="E4870" s="18" t="n">
        <v>46814</v>
      </c>
      <c r="F4870" s="18" t="n">
        <v>208767</v>
      </c>
      <c r="G4870" s="18" t="n">
        <v>174513</v>
      </c>
      <c r="H4870" s="18" t="n">
        <v>147026</v>
      </c>
      <c r="I4870" s="18" t="n">
        <v>79689</v>
      </c>
      <c r="J4870" s="19" t="n">
        <v>103970.3940807082</v>
      </c>
      <c r="K4870" s="35" t="n">
        <v>0.1422355076158173</v>
      </c>
    </row>
    <row r="4871">
      <c r="A4871" s="36" t="inlineStr">
        <is>
          <t>Overtid midl./vik.</t>
        </is>
      </c>
      <c r="B4871" s="36" t="inlineStr">
        <is>
          <t>Region Øst</t>
        </is>
      </c>
      <c r="C4871" s="36" t="inlineStr">
        <is>
          <t>Kirkenær barnevern- og omsorgssenter  Avdeling Frydenlund</t>
        </is>
      </c>
      <c r="D4871" s="26" t="n">
        <v>2049</v>
      </c>
      <c r="E4871" s="26" t="n">
        <v>20214</v>
      </c>
      <c r="F4871" s="26" t="n"/>
      <c r="G4871" s="26" t="n"/>
      <c r="H4871" s="26" t="n"/>
      <c r="I4871" s="26" t="n">
        <v>650</v>
      </c>
      <c r="J4871" s="19" t="n">
        <v>410.6406284841584</v>
      </c>
      <c r="K4871" s="37" t="n">
        <v>-0.2051699470625489</v>
      </c>
    </row>
    <row r="4872">
      <c r="A4872" s="34" t="inlineStr">
        <is>
          <t>Overtid midl./vik.</t>
        </is>
      </c>
      <c r="B4872" s="34" t="inlineStr">
        <is>
          <t>Region Øst</t>
        </is>
      </c>
      <c r="C4872" s="34" t="inlineStr">
        <is>
          <t>Kirkenær barnevern- og omsorgssenter  Avdeling Furubo</t>
        </is>
      </c>
      <c r="D4872" s="18" t="n"/>
      <c r="E4872" s="18" t="n">
        <v>46079</v>
      </c>
      <c r="F4872" s="18" t="n"/>
      <c r="G4872" s="18" t="n"/>
      <c r="H4872" s="18" t="n"/>
      <c r="I4872" s="18" t="n"/>
      <c r="J4872" s="19" t="n">
        <v>0</v>
      </c>
      <c r="K4872" s="35" t="n">
        <v>0.065</v>
      </c>
    </row>
    <row r="4873">
      <c r="A4873" s="36" t="inlineStr">
        <is>
          <t>Overtid midl./vik.</t>
        </is>
      </c>
      <c r="B4873" s="36" t="inlineStr">
        <is>
          <t>Region Øst</t>
        </is>
      </c>
      <c r="C4873" s="36" t="inlineStr">
        <is>
          <t>Kirkenær barnevern- og omsorgssenter  Edda ungdomshjem</t>
        </is>
      </c>
      <c r="D4873" s="26" t="n">
        <v>69028</v>
      </c>
      <c r="E4873" s="26" t="n">
        <v>66478</v>
      </c>
      <c r="F4873" s="26" t="n">
        <v>143572</v>
      </c>
      <c r="G4873" s="26" t="n">
        <v>249473</v>
      </c>
      <c r="H4873" s="26" t="n">
        <v>233642</v>
      </c>
      <c r="I4873" s="26" t="n">
        <v>178590</v>
      </c>
      <c r="J4873" s="19" t="n">
        <v>261210.0462090992</v>
      </c>
      <c r="K4873" s="37" t="n">
        <v>0.2093899891514672</v>
      </c>
    </row>
    <row r="4874">
      <c r="A4874" s="34" t="inlineStr">
        <is>
          <t>Overtid midl./vik.</t>
        </is>
      </c>
      <c r="B4874" s="34" t="inlineStr">
        <is>
          <t>Region Øst</t>
        </is>
      </c>
      <c r="C4874" s="34" t="inlineStr">
        <is>
          <t>Kirkenær barnevern- og omsorgssenter  Snorre ungdomshjem</t>
        </is>
      </c>
      <c r="D4874" s="18" t="n">
        <v>48010</v>
      </c>
      <c r="E4874" s="18" t="n">
        <v>78967</v>
      </c>
      <c r="F4874" s="18" t="n">
        <v>117423</v>
      </c>
      <c r="G4874" s="18" t="n">
        <v>83453</v>
      </c>
      <c r="H4874" s="18" t="n">
        <v>150741</v>
      </c>
      <c r="I4874" s="18" t="n">
        <v>132495</v>
      </c>
      <c r="J4874" s="19" t="n">
        <v>198859.618953229</v>
      </c>
      <c r="K4874" s="35" t="n">
        <v>0.2251056893120473</v>
      </c>
    </row>
    <row r="4875">
      <c r="A4875" s="36" t="inlineStr">
        <is>
          <t>Overtid midl./vik.</t>
        </is>
      </c>
      <c r="B4875" s="36" t="inlineStr">
        <is>
          <t>Region Øst</t>
        </is>
      </c>
      <c r="C4875" s="36" t="inlineStr">
        <is>
          <t>Kirkenær barnevern- og omsorgssenter Avdeling Balder</t>
        </is>
      </c>
      <c r="D4875" s="26" t="n">
        <v>285109</v>
      </c>
      <c r="E4875" s="26" t="n">
        <v>271184</v>
      </c>
      <c r="F4875" s="26" t="n">
        <v>243746</v>
      </c>
      <c r="G4875" s="26" t="n">
        <v>361155</v>
      </c>
      <c r="H4875" s="26" t="n">
        <v>400521</v>
      </c>
      <c r="I4875" s="26" t="n">
        <v>149261</v>
      </c>
      <c r="J4875" s="19" t="n">
        <v>115218.04845916</v>
      </c>
      <c r="K4875" s="37" t="n">
        <v>-0.1214083246410178</v>
      </c>
    </row>
    <row r="4876">
      <c r="A4876" s="34" t="inlineStr">
        <is>
          <t>Overtid midl./vik.</t>
        </is>
      </c>
      <c r="B4876" s="34" t="inlineStr">
        <is>
          <t>Region Øst</t>
        </is>
      </c>
      <c r="C4876" s="34" t="inlineStr">
        <is>
          <t>Lierfoss ungdoms- og familiesenter - avdeling Skogtun</t>
        </is>
      </c>
      <c r="D4876" s="18" t="n"/>
      <c r="E4876" s="18" t="n"/>
      <c r="F4876" s="18" t="n"/>
      <c r="G4876" s="18" t="n"/>
      <c r="H4876" s="18" t="n">
        <v>92554</v>
      </c>
      <c r="I4876" s="18" t="n">
        <v>73166</v>
      </c>
      <c r="J4876" s="19" t="n">
        <v>82986.70634999999</v>
      </c>
      <c r="K4876" s="35" t="n">
        <v>0.065</v>
      </c>
    </row>
    <row r="4877">
      <c r="A4877" s="36" t="inlineStr">
        <is>
          <t>Overtid midl./vik.</t>
        </is>
      </c>
      <c r="B4877" s="36" t="inlineStr">
        <is>
          <t>Region Øst</t>
        </is>
      </c>
      <c r="C4877" s="36" t="inlineStr">
        <is>
          <t>Lierfoss ungdoms- og familiesenter - omsorg  Autentoppen ungdomshjem</t>
        </is>
      </c>
      <c r="D4877" s="26" t="n">
        <v>113627</v>
      </c>
      <c r="E4877" s="26" t="n">
        <v>198381</v>
      </c>
      <c r="F4877" s="26" t="n"/>
      <c r="G4877" s="26" t="n"/>
      <c r="H4877" s="26" t="n"/>
      <c r="I4877" s="26" t="n"/>
      <c r="J4877" s="19" t="n">
        <v>0</v>
      </c>
      <c r="K4877" s="37" t="n">
        <v>0.065</v>
      </c>
    </row>
    <row r="4878">
      <c r="A4878" s="34" t="inlineStr">
        <is>
          <t>Overtid midl./vik.</t>
        </is>
      </c>
      <c r="B4878" s="34" t="inlineStr">
        <is>
          <t>Region Øst</t>
        </is>
      </c>
      <c r="C4878" s="34" t="inlineStr">
        <is>
          <t>Lierfoss ungdoms- og familiesenter - omsorg  Berglia ungdomshjem</t>
        </is>
      </c>
      <c r="D4878" s="18" t="n">
        <v>143117</v>
      </c>
      <c r="E4878" s="18" t="n">
        <v>243557</v>
      </c>
      <c r="F4878" s="18" t="n">
        <v>63275</v>
      </c>
      <c r="G4878" s="18" t="n">
        <v>202161</v>
      </c>
      <c r="H4878" s="18" t="n">
        <v>101718</v>
      </c>
      <c r="I4878" s="18" t="n">
        <v>267737</v>
      </c>
      <c r="J4878" s="19" t="n">
        <v>343965.7974912059</v>
      </c>
      <c r="K4878" s="35" t="n">
        <v>0.1334527845914995</v>
      </c>
    </row>
    <row r="4879">
      <c r="A4879" s="36" t="inlineStr">
        <is>
          <t>Overtid midl./vik.</t>
        </is>
      </c>
      <c r="B4879" s="36" t="inlineStr">
        <is>
          <t>Region Øst</t>
        </is>
      </c>
      <c r="C4879" s="36" t="inlineStr">
        <is>
          <t>Lierfoss ungdoms- og familiesenter - omsorg  Furulia ungdomshjem</t>
        </is>
      </c>
      <c r="D4879" s="26" t="n">
        <v>66596</v>
      </c>
      <c r="E4879" s="26" t="n">
        <v>34844</v>
      </c>
      <c r="F4879" s="26" t="n">
        <v>235613</v>
      </c>
      <c r="G4879" s="26" t="n">
        <v>335918</v>
      </c>
      <c r="H4879" s="26" t="n">
        <v>56338</v>
      </c>
      <c r="I4879" s="26" t="n">
        <v>181877</v>
      </c>
      <c r="J4879" s="19" t="n">
        <v>271837.6687111767</v>
      </c>
      <c r="K4879" s="37" t="n">
        <v>0.222548022433126</v>
      </c>
    </row>
    <row r="4880">
      <c r="A4880" s="34" t="inlineStr">
        <is>
          <t>Overtid midl./vik.</t>
        </is>
      </c>
      <c r="B4880" s="34" t="inlineStr">
        <is>
          <t>Region Øst</t>
        </is>
      </c>
      <c r="C4880" s="34" t="inlineStr">
        <is>
          <t>Lierfoss ungdoms- og familiesenter - omsorg Lillehagen</t>
        </is>
      </c>
      <c r="D4880" s="18" t="n">
        <v>42206</v>
      </c>
      <c r="E4880" s="18" t="n">
        <v>140387</v>
      </c>
      <c r="F4880" s="18" t="n"/>
      <c r="G4880" s="18" t="n"/>
      <c r="H4880" s="18" t="n"/>
      <c r="I4880" s="18" t="n"/>
      <c r="J4880" s="19" t="n">
        <v>0</v>
      </c>
      <c r="K4880" s="35" t="n">
        <v>0.065</v>
      </c>
    </row>
    <row r="4881">
      <c r="A4881" s="36" t="inlineStr">
        <is>
          <t>Overtid midl./vik.</t>
        </is>
      </c>
      <c r="B4881" s="36" t="inlineStr">
        <is>
          <t>Region Øst</t>
        </is>
      </c>
      <c r="C4881" s="36" t="inlineStr">
        <is>
          <t>Lierfoss ungdoms- og familiesenter, avdeling Riserhagen</t>
        </is>
      </c>
      <c r="D4881" s="26" t="n"/>
      <c r="E4881" s="26" t="n">
        <v>11484</v>
      </c>
      <c r="F4881" s="26" t="n">
        <v>529722</v>
      </c>
      <c r="G4881" s="26" t="n">
        <v>586666</v>
      </c>
      <c r="H4881" s="26" t="n">
        <v>289741</v>
      </c>
      <c r="I4881" s="26" t="n">
        <v>363172</v>
      </c>
      <c r="J4881" s="19" t="n">
        <v>567456.25</v>
      </c>
      <c r="K4881" s="37" t="n">
        <v>0.25</v>
      </c>
    </row>
    <row r="4882">
      <c r="A4882" s="34" t="inlineStr">
        <is>
          <t>Overtid midl./vik.</t>
        </is>
      </c>
      <c r="B4882" s="34" t="inlineStr">
        <is>
          <t>Region Øst</t>
        </is>
      </c>
      <c r="C4882" s="34" t="inlineStr">
        <is>
          <t>Sarpsborg ungdoms og familiesenter - behandling  Avdeling Østheim</t>
        </is>
      </c>
      <c r="D4882" s="18" t="n">
        <v>391901</v>
      </c>
      <c r="E4882" s="18" t="n">
        <v>62293</v>
      </c>
      <c r="F4882" s="18" t="n">
        <v>336698</v>
      </c>
      <c r="G4882" s="18" t="n">
        <v>393569</v>
      </c>
      <c r="H4882" s="18" t="n"/>
      <c r="I4882" s="18" t="n"/>
      <c r="J4882" s="19" t="n">
        <v>0</v>
      </c>
      <c r="K4882" s="35" t="n">
        <v>0.065</v>
      </c>
    </row>
    <row r="4883">
      <c r="A4883" s="36" t="inlineStr">
        <is>
          <t>Overtid midl./vik.</t>
        </is>
      </c>
      <c r="B4883" s="36" t="inlineStr">
        <is>
          <t>Region Øst</t>
        </is>
      </c>
      <c r="C4883" s="36" t="inlineStr">
        <is>
          <t>Sarpsborg ungdoms og familiesenter - behandling  Avdeling Østlund</t>
        </is>
      </c>
      <c r="D4883" s="26" t="n">
        <v>65112</v>
      </c>
      <c r="E4883" s="26" t="n">
        <v>59128</v>
      </c>
      <c r="F4883" s="26" t="n">
        <v>204998</v>
      </c>
      <c r="G4883" s="26" t="n">
        <v>66487</v>
      </c>
      <c r="H4883" s="26" t="n"/>
      <c r="I4883" s="26" t="n"/>
      <c r="J4883" s="19" t="n">
        <v>0</v>
      </c>
      <c r="K4883" s="37" t="n">
        <v>0.065</v>
      </c>
    </row>
    <row r="4884">
      <c r="A4884" s="34" t="inlineStr">
        <is>
          <t>Overtid midl./vik.</t>
        </is>
      </c>
      <c r="B4884" s="34" t="inlineStr">
        <is>
          <t>Region Øst</t>
        </is>
      </c>
      <c r="C4884" s="34" t="inlineStr">
        <is>
          <t>Støttespillerne - Huset</t>
        </is>
      </c>
      <c r="D4884" s="18" t="n"/>
      <c r="E4884" s="18" t="n">
        <v>460489</v>
      </c>
      <c r="F4884" s="18" t="n">
        <v>1044650</v>
      </c>
      <c r="G4884" s="18" t="n">
        <v>755110</v>
      </c>
      <c r="H4884" s="18" t="n">
        <v>-2052</v>
      </c>
      <c r="I4884" s="18" t="n"/>
      <c r="J4884" s="19" t="n">
        <v>0</v>
      </c>
      <c r="K4884" s="35" t="n">
        <v>0.065</v>
      </c>
    </row>
    <row r="4885">
      <c r="A4885" s="36" t="inlineStr">
        <is>
          <t>Overtid midl./vik.</t>
        </is>
      </c>
      <c r="B4885" s="36" t="inlineStr">
        <is>
          <t>Region Øst</t>
        </is>
      </c>
      <c r="C4885" s="36" t="inlineStr">
        <is>
          <t>Ås ungdomssenter  - MulitifunC-behandling  Avdeling Institusjon</t>
        </is>
      </c>
      <c r="D4885" s="26" t="n">
        <v>146233</v>
      </c>
      <c r="E4885" s="26" t="n">
        <v>272081</v>
      </c>
      <c r="F4885" s="26" t="n">
        <v>809929</v>
      </c>
      <c r="G4885" s="26" t="n">
        <v>958186</v>
      </c>
      <c r="H4885" s="26" t="n"/>
      <c r="I4885" s="26" t="n"/>
      <c r="J4885" s="19" t="n">
        <v>0</v>
      </c>
      <c r="K4885" s="37" t="n">
        <v>0.065</v>
      </c>
    </row>
    <row r="4886">
      <c r="A4886" s="34" t="inlineStr">
        <is>
          <t>Overtid midl./vik.</t>
        </is>
      </c>
      <c r="B4886" s="34" t="inlineStr">
        <is>
          <t>Region Øst</t>
        </is>
      </c>
      <c r="C4886" s="34" t="inlineStr">
        <is>
          <t>Østfold ungdoms - og familiesenter - omsorg  avdeling Eika</t>
        </is>
      </c>
      <c r="D4886" s="18" t="n">
        <v>2043</v>
      </c>
      <c r="E4886" s="18" t="n"/>
      <c r="F4886" s="18" t="n"/>
      <c r="G4886" s="18" t="n"/>
      <c r="H4886" s="18" t="n"/>
      <c r="I4886" s="18" t="n"/>
      <c r="J4886" s="19" t="n">
        <v>0</v>
      </c>
      <c r="K4886" s="35" t="n">
        <v>0.065</v>
      </c>
    </row>
    <row r="4887">
      <c r="A4887" s="36" t="inlineStr">
        <is>
          <t>Overtid midl./vik.</t>
        </is>
      </c>
      <c r="B4887" s="36" t="inlineStr">
        <is>
          <t>Region Øst</t>
        </is>
      </c>
      <c r="C4887" s="36" t="inlineStr">
        <is>
          <t>Østfold ungdoms - og familiesenter - omsorg, avdeling Kurland ungdomshjem</t>
        </is>
      </c>
      <c r="D4887" s="26" t="n">
        <v>10897</v>
      </c>
      <c r="E4887" s="26" t="n">
        <v>3038</v>
      </c>
      <c r="F4887" s="26" t="n"/>
      <c r="G4887" s="26" t="n">
        <v>339505</v>
      </c>
      <c r="H4887" s="26" t="n">
        <v>71566</v>
      </c>
      <c r="I4887" s="26" t="n">
        <v>48615</v>
      </c>
      <c r="J4887" s="19" t="n">
        <v>75960.9375</v>
      </c>
      <c r="K4887" s="37" t="n">
        <v>0.25</v>
      </c>
    </row>
    <row r="4888">
      <c r="A4888" s="34" t="inlineStr">
        <is>
          <t>Overtid midl./vik.</t>
        </is>
      </c>
      <c r="B4888" s="34" t="inlineStr">
        <is>
          <t>Region Øst</t>
        </is>
      </c>
      <c r="C4888" s="34" t="inlineStr">
        <is>
          <t>Østfold ungdoms- og familiesenter - avdeling Fossen</t>
        </is>
      </c>
      <c r="D4888" s="18" t="n"/>
      <c r="E4888" s="18" t="n"/>
      <c r="F4888" s="18" t="n"/>
      <c r="G4888" s="18" t="n"/>
      <c r="H4888" s="18" t="n">
        <v>90633</v>
      </c>
      <c r="I4888" s="18" t="n">
        <v>95180</v>
      </c>
      <c r="J4888" s="19" t="n">
        <v>107955.5355</v>
      </c>
      <c r="K4888" s="35" t="n">
        <v>0.065</v>
      </c>
    </row>
    <row r="4889">
      <c r="A4889" s="36" t="inlineStr">
        <is>
          <t>Overtid midl./vik.</t>
        </is>
      </c>
      <c r="B4889" s="36" t="inlineStr">
        <is>
          <t>Region Øst</t>
        </is>
      </c>
      <c r="C4889" s="36" t="inlineStr">
        <is>
          <t>Østfold ungdoms- og familiesenter - omsorg, avdeling Alfheim ungdomshjem</t>
        </is>
      </c>
      <c r="D4889" s="26" t="n">
        <v>107570</v>
      </c>
      <c r="E4889" s="26" t="n">
        <v>107905</v>
      </c>
      <c r="F4889" s="26" t="n">
        <v>111390</v>
      </c>
      <c r="G4889" s="26" t="n">
        <v>132804</v>
      </c>
      <c r="H4889" s="26" t="n">
        <v>122102</v>
      </c>
      <c r="I4889" s="26" t="n">
        <v>88221</v>
      </c>
      <c r="J4889" s="19" t="n">
        <v>81493.7493731276</v>
      </c>
      <c r="K4889" s="37" t="n">
        <v>-0.03888321573525477</v>
      </c>
    </row>
    <row r="4890">
      <c r="A4890" s="34" t="inlineStr">
        <is>
          <t>Overtid midl./vik.</t>
        </is>
      </c>
      <c r="B4890" s="34" t="inlineStr">
        <is>
          <t>Region Øst</t>
        </is>
      </c>
      <c r="C4890" s="34" t="inlineStr">
        <is>
          <t>Østfold ungdoms- og familiesenter - omsorg, avdeling Dal</t>
        </is>
      </c>
      <c r="D4890" s="18" t="n"/>
      <c r="E4890" s="18" t="n">
        <v>41422</v>
      </c>
      <c r="F4890" s="18" t="n">
        <v>77067</v>
      </c>
      <c r="G4890" s="18" t="n">
        <v>126539</v>
      </c>
      <c r="H4890" s="18" t="n">
        <v>207656</v>
      </c>
      <c r="I4890" s="18" t="n">
        <v>13726</v>
      </c>
      <c r="J4890" s="19" t="n">
        <v>7901.33471448281</v>
      </c>
      <c r="K4890" s="35" t="n">
        <v>-0.2412857646846959</v>
      </c>
    </row>
    <row r="4891">
      <c r="A4891" s="36" t="inlineStr">
        <is>
          <t>Overtid midl./vik.</t>
        </is>
      </c>
      <c r="B4891" s="36" t="inlineStr">
        <is>
          <t>Region Øst</t>
        </is>
      </c>
      <c r="C4891" s="36" t="inlineStr">
        <is>
          <t>Østfold ungdoms- og familiesenter - omsorg, avdeling Rokkeveien ungdomshjem</t>
        </is>
      </c>
      <c r="D4891" s="26" t="n">
        <v>55422</v>
      </c>
      <c r="E4891" s="26" t="n">
        <v>69078</v>
      </c>
      <c r="F4891" s="26" t="n">
        <v>115627</v>
      </c>
      <c r="G4891" s="26" t="n">
        <v>97005</v>
      </c>
      <c r="H4891" s="26" t="n">
        <v>243212</v>
      </c>
      <c r="I4891" s="26" t="n">
        <v>128979</v>
      </c>
      <c r="J4891" s="19" t="n">
        <v>180823.0248785265</v>
      </c>
      <c r="K4891" s="37" t="n">
        <v>0.1840426937411732</v>
      </c>
    </row>
    <row r="4892">
      <c r="A4892" s="34" t="inlineStr">
        <is>
          <t>Overtid midl./vik.</t>
        </is>
      </c>
      <c r="B4892" s="34" t="inlineStr">
        <is>
          <t>Region Øst</t>
        </is>
      </c>
      <c r="C4892" s="34" t="inlineStr">
        <is>
          <t>Østfold ungdoms- og familiesenter - omsorg, avdeling Tune ungdomshjem</t>
        </is>
      </c>
      <c r="D4892" s="18" t="n">
        <v>44047</v>
      </c>
      <c r="E4892" s="18" t="n">
        <v>30914</v>
      </c>
      <c r="F4892" s="18" t="n">
        <v>47935</v>
      </c>
      <c r="G4892" s="18" t="n">
        <v>85101</v>
      </c>
      <c r="H4892" s="18" t="n">
        <v>84820</v>
      </c>
      <c r="I4892" s="18" t="n">
        <v>85565</v>
      </c>
      <c r="J4892" s="19" t="n">
        <v>111595.8598551252</v>
      </c>
      <c r="K4892" s="35" t="n">
        <v>0.1420259280851246</v>
      </c>
    </row>
    <row r="4893">
      <c r="A4893" s="36" t="inlineStr">
        <is>
          <t>Pensjonspremie SPK</t>
        </is>
      </c>
      <c r="B4893" s="36" t="inlineStr">
        <is>
          <t>Region Midt-Norge</t>
        </is>
      </c>
      <c r="C4893" s="36" t="inlineStr">
        <is>
          <t>Avdeling for tjenestestøtte barnevern</t>
        </is>
      </c>
      <c r="D4893" s="26" t="n"/>
      <c r="E4893" s="26" t="n"/>
      <c r="F4893" s="26" t="n"/>
      <c r="G4893" s="26" t="n">
        <v>272714</v>
      </c>
      <c r="H4893" s="26" t="n">
        <v>305202</v>
      </c>
      <c r="I4893" s="26" t="n">
        <v>292864</v>
      </c>
      <c r="J4893" s="19" t="n">
        <v>332173.6703999999</v>
      </c>
      <c r="K4893" s="37" t="n">
        <v>0.065</v>
      </c>
    </row>
    <row r="4894">
      <c r="A4894" s="34" t="inlineStr">
        <is>
          <t>Pensjonspremie SPK</t>
        </is>
      </c>
      <c r="B4894" s="34" t="inlineStr">
        <is>
          <t>Region Midt-Norge</t>
        </is>
      </c>
      <c r="C4894" s="34" t="inlineStr">
        <is>
          <t>Buvika ungdomssenter</t>
        </is>
      </c>
      <c r="D4894" s="18" t="n">
        <v>342283</v>
      </c>
      <c r="E4894" s="18" t="n">
        <v>1167360</v>
      </c>
      <c r="F4894" s="18" t="n">
        <v>1124356</v>
      </c>
      <c r="G4894" s="18" t="n">
        <v>1182850</v>
      </c>
      <c r="H4894" s="18" t="n">
        <v>1397665</v>
      </c>
      <c r="I4894" s="18" t="n">
        <v>1516015</v>
      </c>
      <c r="J4894" s="19" t="n">
        <v>2368773.4375</v>
      </c>
      <c r="K4894" s="35" t="n">
        <v>0.25</v>
      </c>
    </row>
    <row r="4895">
      <c r="A4895" s="36" t="inlineStr">
        <is>
          <t>Pensjonspremie SPK</t>
        </is>
      </c>
      <c r="B4895" s="36" t="inlineStr">
        <is>
          <t>Region Midt-Norge</t>
        </is>
      </c>
      <c r="C4895" s="36" t="inlineStr">
        <is>
          <t>Clausenengen ungdomshjem</t>
        </is>
      </c>
      <c r="D4895" s="26" t="n">
        <v>1041980</v>
      </c>
      <c r="E4895" s="26" t="n">
        <v>968786</v>
      </c>
      <c r="F4895" s="26" t="n">
        <v>906050</v>
      </c>
      <c r="G4895" s="26" t="n">
        <v>987764</v>
      </c>
      <c r="H4895" s="26" t="n">
        <v>1064872</v>
      </c>
      <c r="I4895" s="26" t="n">
        <v>1118838</v>
      </c>
      <c r="J4895" s="19" t="n">
        <v>1151145.813275086</v>
      </c>
      <c r="K4895" s="37" t="n">
        <v>0.01433535920422879</v>
      </c>
    </row>
    <row r="4896">
      <c r="A4896" s="34" t="inlineStr">
        <is>
          <t>Pensjonspremie SPK</t>
        </is>
      </c>
      <c r="B4896" s="34" t="inlineStr">
        <is>
          <t>Region Midt-Norge</t>
        </is>
      </c>
      <c r="C4896" s="34" t="inlineStr">
        <is>
          <t>Gilantunet ungdomshjem</t>
        </is>
      </c>
      <c r="D4896" s="18" t="n">
        <v>2583706</v>
      </c>
      <c r="E4896" s="18" t="n">
        <v>2089909</v>
      </c>
      <c r="F4896" s="18" t="n">
        <v>1933969</v>
      </c>
      <c r="G4896" s="18" t="n">
        <v>2096150</v>
      </c>
      <c r="H4896" s="18" t="n">
        <v>2172418</v>
      </c>
      <c r="I4896" s="18" t="n">
        <v>1980690</v>
      </c>
      <c r="J4896" s="19" t="n">
        <v>1780926.003012164</v>
      </c>
      <c r="K4896" s="35" t="n">
        <v>-0.05176783479206437</v>
      </c>
    </row>
    <row r="4897">
      <c r="A4897" s="36" t="inlineStr">
        <is>
          <t>Pensjonspremie SPK</t>
        </is>
      </c>
      <c r="B4897" s="36" t="inlineStr">
        <is>
          <t>Region Midt-Norge</t>
        </is>
      </c>
      <c r="C4897" s="36" t="inlineStr">
        <is>
          <t>Humla Akuttsenter</t>
        </is>
      </c>
      <c r="D4897" s="26" t="n">
        <v>1225163</v>
      </c>
      <c r="E4897" s="26" t="n">
        <v>1058647</v>
      </c>
      <c r="F4897" s="26" t="n">
        <v>1001507</v>
      </c>
      <c r="G4897" s="26" t="n">
        <v>1051931</v>
      </c>
      <c r="H4897" s="26" t="n">
        <v>1159587</v>
      </c>
      <c r="I4897" s="26" t="n">
        <v>1115993</v>
      </c>
      <c r="J4897" s="19" t="n">
        <v>1075099.128197942</v>
      </c>
      <c r="K4897" s="37" t="n">
        <v>-0.01849273265327345</v>
      </c>
    </row>
    <row r="4898">
      <c r="A4898" s="34" t="inlineStr">
        <is>
          <t>Pensjonspremie SPK</t>
        </is>
      </c>
      <c r="B4898" s="34" t="inlineStr">
        <is>
          <t>Region Midt-Norge</t>
        </is>
      </c>
      <c r="C4898" s="34" t="inlineStr">
        <is>
          <t>Husafjellheimen ungdomsheim</t>
        </is>
      </c>
      <c r="D4898" s="18" t="n">
        <v>1275041</v>
      </c>
      <c r="E4898" s="18" t="n">
        <v>1111720</v>
      </c>
      <c r="F4898" s="18" t="n">
        <v>1020332</v>
      </c>
      <c r="G4898" s="18" t="n">
        <v>1124661</v>
      </c>
      <c r="H4898" s="18" t="n">
        <v>1161898</v>
      </c>
      <c r="I4898" s="18" t="n">
        <v>1339059</v>
      </c>
      <c r="J4898" s="19" t="n">
        <v>1365557.330282127</v>
      </c>
      <c r="K4898" s="35" t="n">
        <v>0.009845913883369528</v>
      </c>
    </row>
    <row r="4899">
      <c r="A4899" s="36" t="inlineStr">
        <is>
          <t>Pensjonspremie SPK</t>
        </is>
      </c>
      <c r="B4899" s="36" t="inlineStr">
        <is>
          <t>Region Midt-Norge</t>
        </is>
      </c>
      <c r="C4899" s="36" t="inlineStr">
        <is>
          <t>Karienborg ungdomsheim</t>
        </is>
      </c>
      <c r="D4899" s="26" t="n">
        <v>1243370</v>
      </c>
      <c r="E4899" s="26" t="n">
        <v>1076594</v>
      </c>
      <c r="F4899" s="26" t="n">
        <v>1100117</v>
      </c>
      <c r="G4899" s="26" t="n">
        <v>1073760</v>
      </c>
      <c r="H4899" s="26" t="n">
        <v>1143573</v>
      </c>
      <c r="I4899" s="26" t="n">
        <v>1218737</v>
      </c>
      <c r="J4899" s="19" t="n">
        <v>1209020.990294342</v>
      </c>
      <c r="K4899" s="37" t="n">
        <v>-0.003994074096178912</v>
      </c>
    </row>
    <row r="4900">
      <c r="A4900" s="34" t="inlineStr">
        <is>
          <t>Pensjonspremie SPK</t>
        </is>
      </c>
      <c r="B4900" s="34" t="inlineStr">
        <is>
          <t>Region Midt-Norge</t>
        </is>
      </c>
      <c r="C4900" s="34" t="inlineStr">
        <is>
          <t>Kollen ungdomsbase</t>
        </is>
      </c>
      <c r="D4900" s="18" t="n">
        <v>2278324</v>
      </c>
      <c r="E4900" s="18" t="n">
        <v>2001080</v>
      </c>
      <c r="F4900" s="18" t="n">
        <v>1797863</v>
      </c>
      <c r="G4900" s="18" t="n">
        <v>1909229</v>
      </c>
      <c r="H4900" s="18" t="n">
        <v>1958894</v>
      </c>
      <c r="I4900" s="18" t="n">
        <v>1909150</v>
      </c>
      <c r="J4900" s="19" t="n">
        <v>1778811.295288397</v>
      </c>
      <c r="K4900" s="35" t="n">
        <v>-0.03473865803768972</v>
      </c>
    </row>
    <row r="4901">
      <c r="A4901" s="36" t="inlineStr">
        <is>
          <t>Pensjonspremie SPK</t>
        </is>
      </c>
      <c r="B4901" s="36" t="inlineStr">
        <is>
          <t>Region Midt-Norge</t>
        </is>
      </c>
      <c r="C4901" s="36" t="inlineStr">
        <is>
          <t>Kvammen akuttsenter</t>
        </is>
      </c>
      <c r="D4901" s="26" t="n">
        <v>1756267</v>
      </c>
      <c r="E4901" s="26" t="n">
        <v>1564101</v>
      </c>
      <c r="F4901" s="26" t="n">
        <v>1481806</v>
      </c>
      <c r="G4901" s="26" t="n">
        <v>1501668</v>
      </c>
      <c r="H4901" s="26" t="n">
        <v>-1823</v>
      </c>
      <c r="I4901" s="26" t="n">
        <v>829</v>
      </c>
      <c r="J4901" s="19" t="n">
        <v>466.3125</v>
      </c>
      <c r="K4901" s="37" t="n">
        <v>-0.25</v>
      </c>
    </row>
    <row r="4902">
      <c r="A4902" s="34" t="inlineStr">
        <is>
          <t>Pensjonspremie SPK</t>
        </is>
      </c>
      <c r="B4902" s="34" t="inlineStr">
        <is>
          <t>Region Midt-Norge</t>
        </is>
      </c>
      <c r="C4902" s="34" t="inlineStr">
        <is>
          <t>Kvammen akuttsenter, avdeling Fannrem</t>
        </is>
      </c>
      <c r="D4902" s="18" t="n"/>
      <c r="E4902" s="18" t="n"/>
      <c r="F4902" s="18" t="n"/>
      <c r="G4902" s="18" t="n"/>
      <c r="H4902" s="18" t="n">
        <v>557284</v>
      </c>
      <c r="I4902" s="18" t="n">
        <v>1327196</v>
      </c>
      <c r="J4902" s="19" t="n">
        <v>1505338.8831</v>
      </c>
      <c r="K4902" s="35" t="n">
        <v>0.065</v>
      </c>
    </row>
    <row r="4903">
      <c r="A4903" s="36" t="inlineStr">
        <is>
          <t>Pensjonspremie SPK</t>
        </is>
      </c>
      <c r="B4903" s="36" t="inlineStr">
        <is>
          <t>Region Midt-Norge</t>
        </is>
      </c>
      <c r="C4903" s="36" t="inlineStr">
        <is>
          <t>Kvammen akuttsenter, avdeling Melhus</t>
        </is>
      </c>
      <c r="D4903" s="26" t="n"/>
      <c r="E4903" s="26" t="n"/>
      <c r="F4903" s="26" t="n"/>
      <c r="G4903" s="26" t="n"/>
      <c r="H4903" s="26" t="n">
        <v>1469450</v>
      </c>
      <c r="I4903" s="26" t="n">
        <v>1517671</v>
      </c>
      <c r="J4903" s="19" t="n">
        <v>1721380.389975</v>
      </c>
      <c r="K4903" s="37" t="n">
        <v>0.065</v>
      </c>
    </row>
    <row r="4904">
      <c r="A4904" s="34" t="inlineStr">
        <is>
          <t>Pensjonspremie SPK</t>
        </is>
      </c>
      <c r="B4904" s="34" t="inlineStr">
        <is>
          <t>Region Midt-Norge</t>
        </is>
      </c>
      <c r="C4904" s="34" t="inlineStr">
        <is>
          <t>Kvammen, avdelig enetiltak</t>
        </is>
      </c>
      <c r="D4904" s="18" t="n"/>
      <c r="E4904" s="18" t="n"/>
      <c r="F4904" s="18" t="n"/>
      <c r="G4904" s="18" t="n"/>
      <c r="H4904" s="18" t="n"/>
      <c r="I4904" s="18" t="n">
        <v>524438</v>
      </c>
      <c r="J4904" s="19" t="n">
        <v>594830.6905499999</v>
      </c>
      <c r="K4904" s="35" t="n">
        <v>0.065</v>
      </c>
    </row>
    <row r="4905">
      <c r="A4905" s="36" t="inlineStr">
        <is>
          <t>Pensjonspremie SPK</t>
        </is>
      </c>
      <c r="B4905" s="36" t="inlineStr">
        <is>
          <t>Region Midt-Norge</t>
        </is>
      </c>
      <c r="C4905" s="36" t="inlineStr">
        <is>
          <t>Moholt ungdomssenter</t>
        </is>
      </c>
      <c r="D4905" s="26" t="n"/>
      <c r="E4905" s="26" t="n"/>
      <c r="F4905" s="26" t="n">
        <v>825165</v>
      </c>
      <c r="G4905" s="26" t="n">
        <v>1202610</v>
      </c>
      <c r="H4905" s="26" t="n">
        <v>1518948</v>
      </c>
      <c r="I4905" s="26" t="n">
        <v>1480210</v>
      </c>
      <c r="J4905" s="19" t="n">
        <v>1678891.18725</v>
      </c>
      <c r="K4905" s="37" t="n">
        <v>0.065</v>
      </c>
    </row>
    <row r="4906">
      <c r="A4906" s="34" t="inlineStr">
        <is>
          <t>Pensjonspremie SPK</t>
        </is>
      </c>
      <c r="B4906" s="34" t="inlineStr">
        <is>
          <t>Region Midt-Norge</t>
        </is>
      </c>
      <c r="C4906" s="34" t="inlineStr">
        <is>
          <t>NABE, avdeling implementering og kvalitetssikring</t>
        </is>
      </c>
      <c r="D4906" s="18" t="n"/>
      <c r="E4906" s="18" t="n"/>
      <c r="F4906" s="18" t="n"/>
      <c r="G4906" s="18" t="n"/>
      <c r="H4906" s="18" t="n"/>
      <c r="I4906" s="18" t="n">
        <v>29201</v>
      </c>
      <c r="J4906" s="19" t="n">
        <v>33120.504225</v>
      </c>
      <c r="K4906" s="35" t="n">
        <v>0.065</v>
      </c>
    </row>
    <row r="4907">
      <c r="A4907" s="36" t="inlineStr">
        <is>
          <t>Pensjonspremie SPK</t>
        </is>
      </c>
      <c r="B4907" s="36" t="inlineStr">
        <is>
          <t>Region Midt-Norge</t>
        </is>
      </c>
      <c r="C4907" s="36" t="inlineStr">
        <is>
          <t>Orkdal barnevernsenter</t>
        </is>
      </c>
      <c r="D4907" s="26" t="n">
        <v>1650320</v>
      </c>
      <c r="E4907" s="26" t="n">
        <v>1360837</v>
      </c>
      <c r="F4907" s="26" t="n">
        <v>909850</v>
      </c>
      <c r="G4907" s="26" t="n">
        <v>827855</v>
      </c>
      <c r="H4907" s="26" t="n">
        <v>843</v>
      </c>
      <c r="I4907" s="26" t="n"/>
      <c r="J4907" s="19" t="n">
        <v>0</v>
      </c>
      <c r="K4907" s="37" t="n">
        <v>0.065</v>
      </c>
    </row>
    <row r="4908">
      <c r="A4908" s="34" t="inlineStr">
        <is>
          <t>Pensjonspremie SPK</t>
        </is>
      </c>
      <c r="B4908" s="34" t="inlineStr">
        <is>
          <t>Region Midt-Norge</t>
        </is>
      </c>
      <c r="C4908" s="34" t="inlineStr">
        <is>
          <t>Ranheim Vestre</t>
        </is>
      </c>
      <c r="D4908" s="18" t="n">
        <v>1572682</v>
      </c>
      <c r="E4908" s="18" t="n">
        <v>1300322</v>
      </c>
      <c r="F4908" s="18" t="n">
        <v>1228348</v>
      </c>
      <c r="G4908" s="18" t="n">
        <v>1400908</v>
      </c>
      <c r="H4908" s="18" t="n">
        <v>1648966</v>
      </c>
      <c r="I4908" s="18" t="n">
        <v>1647019</v>
      </c>
      <c r="J4908" s="19" t="n">
        <v>1677728.516944064</v>
      </c>
      <c r="K4908" s="35" t="n">
        <v>0.00927970091585828</v>
      </c>
    </row>
    <row r="4909">
      <c r="A4909" s="36" t="inlineStr">
        <is>
          <t>Pensjonspremie SPK</t>
        </is>
      </c>
      <c r="B4909" s="36" t="inlineStr">
        <is>
          <t>Region Midt-Norge</t>
        </is>
      </c>
      <c r="C4909" s="36" t="inlineStr">
        <is>
          <t>Ranheim Vestre, familiehjem</t>
        </is>
      </c>
      <c r="D4909" s="26" t="n"/>
      <c r="E4909" s="26" t="n"/>
      <c r="F4909" s="26" t="n"/>
      <c r="G4909" s="26" t="n"/>
      <c r="H4909" s="26" t="n"/>
      <c r="I4909" s="26" t="n">
        <v>675</v>
      </c>
      <c r="J4909" s="19" t="n">
        <v>765.6018749999998</v>
      </c>
      <c r="K4909" s="37" t="n">
        <v>0.065</v>
      </c>
    </row>
    <row r="4910">
      <c r="A4910" s="34" t="inlineStr">
        <is>
          <t>Pensjonspremie SPK</t>
        </is>
      </c>
      <c r="B4910" s="34" t="inlineStr">
        <is>
          <t>Region Midt-Norge</t>
        </is>
      </c>
      <c r="C4910" s="34" t="inlineStr">
        <is>
          <t>Region Midt-Norge felleskostnader barnevern</t>
        </is>
      </c>
      <c r="D4910" s="18" t="n"/>
      <c r="E4910" s="18" t="n"/>
      <c r="F4910" s="18" t="n">
        <v>-2040345</v>
      </c>
      <c r="G4910" s="18" t="n">
        <v>696087</v>
      </c>
      <c r="H4910" s="18" t="n">
        <v>314030</v>
      </c>
      <c r="I4910" s="18" t="n">
        <v>-415556</v>
      </c>
      <c r="J4910" s="19" t="n">
        <v>-471334.0040999999</v>
      </c>
      <c r="K4910" s="35" t="n">
        <v>0.065</v>
      </c>
    </row>
    <row r="4911">
      <c r="A4911" s="36" t="inlineStr">
        <is>
          <t>Pensjonspremie SPK</t>
        </is>
      </c>
      <c r="B4911" s="36" t="inlineStr">
        <is>
          <t>Region Midt-Norge</t>
        </is>
      </c>
      <c r="C4911" s="36" t="inlineStr">
        <is>
          <t>Seksjon fagstøtte inkl adopsjon</t>
        </is>
      </c>
      <c r="D4911" s="26" t="n"/>
      <c r="E4911" s="26" t="n"/>
      <c r="F4911" s="26" t="n"/>
      <c r="G4911" s="26" t="n">
        <v>24331</v>
      </c>
      <c r="H4911" s="26" t="n">
        <v>65985</v>
      </c>
      <c r="I4911" s="26" t="n">
        <v>89898</v>
      </c>
      <c r="J4911" s="19" t="n">
        <v>101964.55905</v>
      </c>
      <c r="K4911" s="37" t="n">
        <v>0.065</v>
      </c>
    </row>
    <row r="4912">
      <c r="A4912" s="34" t="inlineStr">
        <is>
          <t>Pensjonspremie SPK</t>
        </is>
      </c>
      <c r="B4912" s="34" t="inlineStr">
        <is>
          <t>Region Midt-Norge</t>
        </is>
      </c>
      <c r="C4912" s="34" t="inlineStr">
        <is>
          <t>Skatval ungdomssenter</t>
        </is>
      </c>
      <c r="D4912" s="18" t="n"/>
      <c r="E4912" s="18" t="n"/>
      <c r="F4912" s="18" t="n"/>
      <c r="G4912" s="18" t="n"/>
      <c r="H4912" s="18" t="n">
        <v>636756</v>
      </c>
      <c r="I4912" s="18" t="n">
        <v>1796330</v>
      </c>
      <c r="J4912" s="19" t="n">
        <v>2037442.39425</v>
      </c>
      <c r="K4912" s="35" t="n">
        <v>0.065</v>
      </c>
    </row>
    <row r="4913">
      <c r="A4913" s="36" t="inlineStr">
        <is>
          <t>Pensjonspremie SPK</t>
        </is>
      </c>
      <c r="B4913" s="36" t="inlineStr">
        <is>
          <t>Region Midt-Norge</t>
        </is>
      </c>
      <c r="C4913" s="36" t="inlineStr">
        <is>
          <t>Spillumheimen ungdomsheim</t>
        </is>
      </c>
      <c r="D4913" s="26" t="n">
        <v>1705811</v>
      </c>
      <c r="E4913" s="26" t="n">
        <v>1424510</v>
      </c>
      <c r="F4913" s="26" t="n">
        <v>1058839</v>
      </c>
      <c r="G4913" s="26" t="n">
        <v>1098272</v>
      </c>
      <c r="H4913" s="26" t="n">
        <v>822485</v>
      </c>
      <c r="I4913" s="26" t="n">
        <v>178637</v>
      </c>
      <c r="J4913" s="19" t="n">
        <v>100483.3125</v>
      </c>
      <c r="K4913" s="37" t="n">
        <v>-0.25</v>
      </c>
    </row>
    <row r="4914">
      <c r="A4914" s="34" t="inlineStr">
        <is>
          <t>Pensjonspremie SPK</t>
        </is>
      </c>
      <c r="B4914" s="34" t="inlineStr">
        <is>
          <t>Region Midt-Norge</t>
        </is>
      </c>
      <c r="C4914" s="34" t="inlineStr">
        <is>
          <t>SpisskompetansemiljøF4 behandling ungdom</t>
        </is>
      </c>
      <c r="D4914" s="18" t="n"/>
      <c r="E4914" s="18" t="n"/>
      <c r="F4914" s="18" t="n"/>
      <c r="G4914" s="18" t="n">
        <v>349732</v>
      </c>
      <c r="H4914" s="18" t="n">
        <v>366425</v>
      </c>
      <c r="I4914" s="18" t="n">
        <v>309311</v>
      </c>
      <c r="J4914" s="19" t="n">
        <v>350828.268975</v>
      </c>
      <c r="K4914" s="35" t="n">
        <v>0.065</v>
      </c>
    </row>
    <row r="4915">
      <c r="A4915" s="36" t="inlineStr">
        <is>
          <t>Pensjonspremie SPK</t>
        </is>
      </c>
      <c r="B4915" s="36" t="inlineStr">
        <is>
          <t>Region Midt-Norge</t>
        </is>
      </c>
      <c r="C4915" s="36" t="inlineStr">
        <is>
          <t>Stjørdal ungdomssenter</t>
        </is>
      </c>
      <c r="D4915" s="26" t="n">
        <v>2363602</v>
      </c>
      <c r="E4915" s="26" t="n">
        <v>1451268</v>
      </c>
      <c r="F4915" s="26" t="n">
        <v>416331</v>
      </c>
      <c r="G4915" s="26" t="n"/>
      <c r="H4915" s="26" t="n"/>
      <c r="I4915" s="26" t="n"/>
      <c r="J4915" s="19" t="n">
        <v>0</v>
      </c>
      <c r="K4915" s="37" t="n">
        <v>0.065</v>
      </c>
    </row>
    <row r="4916">
      <c r="A4916" s="34" t="inlineStr">
        <is>
          <t>Pensjonspremie SPK</t>
        </is>
      </c>
      <c r="B4916" s="34" t="inlineStr">
        <is>
          <t>Region Midt-Norge</t>
        </is>
      </c>
      <c r="C4916" s="34" t="inlineStr">
        <is>
          <t>Sunnmørsheimen akuttinsitusjon</t>
        </is>
      </c>
      <c r="D4916" s="18" t="n"/>
      <c r="E4916" s="18" t="n"/>
      <c r="F4916" s="18" t="n"/>
      <c r="G4916" s="18" t="n"/>
      <c r="H4916" s="18" t="n"/>
      <c r="I4916" s="18" t="n">
        <v>750</v>
      </c>
      <c r="J4916" s="19" t="n">
        <v>850.6687499999998</v>
      </c>
      <c r="K4916" s="35" t="n">
        <v>0.065</v>
      </c>
    </row>
    <row r="4917">
      <c r="A4917" s="36" t="inlineStr">
        <is>
          <t>Pensjonspremie SPK</t>
        </is>
      </c>
      <c r="B4917" s="36" t="inlineStr">
        <is>
          <t>Region Midt-Norge</t>
        </is>
      </c>
      <c r="C4917" s="36" t="inlineStr">
        <is>
          <t>Sunnmørsheimen akuttinstitusjon, avd. Klatrevegen</t>
        </is>
      </c>
      <c r="D4917" s="26" t="n"/>
      <c r="E4917" s="26" t="n"/>
      <c r="F4917" s="26" t="n">
        <v>558419</v>
      </c>
      <c r="G4917" s="26" t="n">
        <v>1041419</v>
      </c>
      <c r="H4917" s="26" t="n">
        <v>1098870</v>
      </c>
      <c r="I4917" s="26" t="n">
        <v>1269462</v>
      </c>
      <c r="J4917" s="19" t="n">
        <v>1439855.53695</v>
      </c>
      <c r="K4917" s="37" t="n">
        <v>0.065</v>
      </c>
    </row>
    <row r="4918">
      <c r="A4918" s="34" t="inlineStr">
        <is>
          <t>Pensjonspremie SPK</t>
        </is>
      </c>
      <c r="B4918" s="34" t="inlineStr">
        <is>
          <t>Region Midt-Norge</t>
        </is>
      </c>
      <c r="C4918" s="34" t="inlineStr">
        <is>
          <t>Sunnmørsheimen ungdomsheim</t>
        </is>
      </c>
      <c r="D4918" s="18" t="n">
        <v>27035</v>
      </c>
      <c r="E4918" s="18" t="n">
        <v>55957</v>
      </c>
      <c r="F4918" s="18" t="n">
        <v>24171</v>
      </c>
      <c r="G4918" s="18" t="n">
        <v>24739</v>
      </c>
      <c r="H4918" s="18" t="n">
        <v>24688</v>
      </c>
      <c r="I4918" s="18" t="n">
        <v>25887</v>
      </c>
      <c r="J4918" s="19" t="n">
        <v>25441.56739310997</v>
      </c>
      <c r="K4918" s="35" t="n">
        <v>-0.008640734532305627</v>
      </c>
    </row>
    <row r="4919">
      <c r="A4919" s="36" t="inlineStr">
        <is>
          <t>Pensjonspremie SPK</t>
        </is>
      </c>
      <c r="B4919" s="36" t="inlineStr">
        <is>
          <t>Region Midt-Norge</t>
        </is>
      </c>
      <c r="C4919" s="36" t="inlineStr">
        <is>
          <t>Sunnmørsheimen ungdomsheim, avd. Klatrevegen</t>
        </is>
      </c>
      <c r="D4919" s="26" t="n">
        <v>1089087</v>
      </c>
      <c r="E4919" s="26" t="n">
        <v>1078434</v>
      </c>
      <c r="F4919" s="26" t="n">
        <v>390162</v>
      </c>
      <c r="G4919" s="26" t="n"/>
      <c r="H4919" s="26" t="n"/>
      <c r="I4919" s="26" t="n"/>
      <c r="J4919" s="19" t="n">
        <v>0</v>
      </c>
      <c r="K4919" s="37" t="n">
        <v>0.065</v>
      </c>
    </row>
    <row r="4920">
      <c r="A4920" s="34" t="inlineStr">
        <is>
          <t>Pensjonspremie SPK</t>
        </is>
      </c>
      <c r="B4920" s="34" t="inlineStr">
        <is>
          <t>Region Midt-Norge</t>
        </is>
      </c>
      <c r="C4920" s="34" t="inlineStr">
        <is>
          <t>Sunnmørsheimen ungdomsheim, avd. Nygardsvegen</t>
        </is>
      </c>
      <c r="D4920" s="18" t="n">
        <v>1105353</v>
      </c>
      <c r="E4920" s="18" t="n">
        <v>1029473</v>
      </c>
      <c r="F4920" s="18" t="n">
        <v>976190</v>
      </c>
      <c r="G4920" s="18" t="n">
        <v>1073596</v>
      </c>
      <c r="H4920" s="18" t="n">
        <v>1141725</v>
      </c>
      <c r="I4920" s="18" t="n">
        <v>1109889</v>
      </c>
      <c r="J4920" s="19" t="n">
        <v>1111708.607714017</v>
      </c>
      <c r="K4920" s="35" t="n">
        <v>0.0008193893874468561</v>
      </c>
    </row>
    <row r="4921">
      <c r="A4921" s="36" t="inlineStr">
        <is>
          <t>Pensjonspremie SPK</t>
        </is>
      </c>
      <c r="B4921" s="36" t="inlineStr">
        <is>
          <t>Region Midt-Norge</t>
        </is>
      </c>
      <c r="C4921" s="36" t="inlineStr">
        <is>
          <t>TFCO Trondheim</t>
        </is>
      </c>
      <c r="D4921" s="26" t="n">
        <v>299590</v>
      </c>
      <c r="E4921" s="26" t="n">
        <v>545864</v>
      </c>
      <c r="F4921" s="26" t="n">
        <v>337543</v>
      </c>
      <c r="G4921" s="26" t="n">
        <v>367351</v>
      </c>
      <c r="H4921" s="26" t="n">
        <v>207931</v>
      </c>
      <c r="I4921" s="26" t="n">
        <v>4195</v>
      </c>
      <c r="J4921" s="19" t="n">
        <v>2359.6875</v>
      </c>
      <c r="K4921" s="37" t="n">
        <v>-0.25</v>
      </c>
    </row>
    <row r="4922">
      <c r="A4922" s="34" t="inlineStr">
        <is>
          <t>Pensjonspremie SPK</t>
        </is>
      </c>
      <c r="B4922" s="34" t="inlineStr">
        <is>
          <t>Region Midt-Norge</t>
        </is>
      </c>
      <c r="C4922" s="34" t="inlineStr">
        <is>
          <t>Trøndelag behandlingssenter for ungdom</t>
        </is>
      </c>
      <c r="D4922" s="18" t="n">
        <v>197930</v>
      </c>
      <c r="E4922" s="18" t="n">
        <v>533177</v>
      </c>
      <c r="F4922" s="18" t="n">
        <v>572089</v>
      </c>
      <c r="G4922" s="18" t="n">
        <v>241825</v>
      </c>
      <c r="H4922" s="18" t="n">
        <v>267404</v>
      </c>
      <c r="I4922" s="18" t="n">
        <v>217283</v>
      </c>
      <c r="J4922" s="19" t="n">
        <v>225544.0624506003</v>
      </c>
      <c r="K4922" s="35" t="n">
        <v>0.01883258131620691</v>
      </c>
    </row>
    <row r="4923">
      <c r="A4923" s="36" t="inlineStr">
        <is>
          <t>Pensjonspremie SPK</t>
        </is>
      </c>
      <c r="B4923" s="36" t="inlineStr">
        <is>
          <t>Region Midt-Norge</t>
        </is>
      </c>
      <c r="C4923" s="36" t="inlineStr">
        <is>
          <t>Vikhovlia akuttsenter</t>
        </is>
      </c>
      <c r="D4923" s="26" t="n">
        <v>1517340</v>
      </c>
      <c r="E4923" s="26" t="n">
        <v>1464085</v>
      </c>
      <c r="F4923" s="26" t="n">
        <v>1412562</v>
      </c>
      <c r="G4923" s="26" t="n">
        <v>1610503</v>
      </c>
      <c r="H4923" s="26" t="n">
        <v>1735155</v>
      </c>
      <c r="I4923" s="26" t="n">
        <v>1648362</v>
      </c>
      <c r="J4923" s="19" t="n">
        <v>1703885.742875333</v>
      </c>
      <c r="K4923" s="37" t="n">
        <v>0.0167026076854071</v>
      </c>
    </row>
    <row r="4924">
      <c r="A4924" s="34" t="inlineStr">
        <is>
          <t>Pensjonspremie SPK</t>
        </is>
      </c>
      <c r="B4924" s="34" t="inlineStr">
        <is>
          <t>Region Nord</t>
        </is>
      </c>
      <c r="C4924" s="34" t="inlineStr">
        <is>
          <t>Alta Ungdomssenter administrasjon</t>
        </is>
      </c>
      <c r="D4924" s="18" t="n">
        <v>187283</v>
      </c>
      <c r="E4924" s="18" t="n">
        <v>162026</v>
      </c>
      <c r="F4924" s="18" t="n">
        <v>150279</v>
      </c>
      <c r="G4924" s="18" t="n">
        <v>153261</v>
      </c>
      <c r="H4924" s="18" t="n">
        <v>101753</v>
      </c>
      <c r="I4924" s="18" t="n">
        <v>168664</v>
      </c>
      <c r="J4924" s="19" t="n">
        <v>161745.4270983821</v>
      </c>
      <c r="K4924" s="35" t="n">
        <v>-0.02072468399425709</v>
      </c>
    </row>
    <row r="4925">
      <c r="A4925" s="36" t="inlineStr">
        <is>
          <t>Pensjonspremie SPK</t>
        </is>
      </c>
      <c r="B4925" s="36" t="inlineStr">
        <is>
          <t>Region Nord</t>
        </is>
      </c>
      <c r="C4925" s="36" t="inlineStr">
        <is>
          <t>Alta Ungdomssenter sjøtun</t>
        </is>
      </c>
      <c r="D4925" s="26" t="n">
        <v>1323011</v>
      </c>
      <c r="E4925" s="26" t="n">
        <v>947436</v>
      </c>
      <c r="F4925" s="26" t="n">
        <v>950283</v>
      </c>
      <c r="G4925" s="26" t="n">
        <v>1182687</v>
      </c>
      <c r="H4925" s="26" t="n">
        <v>1123257</v>
      </c>
      <c r="I4925" s="26" t="n">
        <v>1016536</v>
      </c>
      <c r="J4925" s="19" t="n">
        <v>914842.8262309197</v>
      </c>
      <c r="K4925" s="37" t="n">
        <v>-0.05133722009463904</v>
      </c>
    </row>
    <row r="4926">
      <c r="A4926" s="34" t="inlineStr">
        <is>
          <t>Pensjonspremie SPK</t>
        </is>
      </c>
      <c r="B4926" s="34" t="inlineStr">
        <is>
          <t>Region Nord</t>
        </is>
      </c>
      <c r="C4926" s="34" t="inlineStr">
        <is>
          <t>Alta Ungdomssenter utsikten</t>
        </is>
      </c>
      <c r="D4926" s="18" t="n">
        <v>93036</v>
      </c>
      <c r="E4926" s="18" t="n">
        <v>1637</v>
      </c>
      <c r="F4926" s="18" t="n"/>
      <c r="G4926" s="18" t="n"/>
      <c r="H4926" s="18" t="n"/>
      <c r="I4926" s="18" t="n"/>
      <c r="J4926" s="19" t="n">
        <v>0</v>
      </c>
      <c r="K4926" s="35" t="n">
        <v>0.065</v>
      </c>
    </row>
    <row r="4927">
      <c r="A4927" s="36" t="inlineStr">
        <is>
          <t>Pensjonspremie SPK</t>
        </is>
      </c>
      <c r="B4927" s="36" t="inlineStr">
        <is>
          <t>Region Nord</t>
        </is>
      </c>
      <c r="C4927" s="36" t="inlineStr">
        <is>
          <t>Alta ungdomssenter Utsikten akutt</t>
        </is>
      </c>
      <c r="D4927" s="26" t="n"/>
      <c r="E4927" s="26" t="n"/>
      <c r="F4927" s="26" t="n"/>
      <c r="G4927" s="26" t="n"/>
      <c r="H4927" s="26" t="n">
        <v>349005</v>
      </c>
      <c r="I4927" s="26" t="n">
        <v>797622</v>
      </c>
      <c r="J4927" s="19" t="n">
        <v>904682.8129499998</v>
      </c>
      <c r="K4927" s="37" t="n">
        <v>0.065</v>
      </c>
    </row>
    <row r="4928">
      <c r="A4928" s="34" t="inlineStr">
        <is>
          <t>Pensjonspremie SPK</t>
        </is>
      </c>
      <c r="B4928" s="34" t="inlineStr">
        <is>
          <t>Region Nord</t>
        </is>
      </c>
      <c r="C4928" s="34" t="inlineStr">
        <is>
          <t>Alta ungdomssenter Utsikten omsorg</t>
        </is>
      </c>
      <c r="D4928" s="18" t="n">
        <v>258206</v>
      </c>
      <c r="E4928" s="18" t="n">
        <v>727055</v>
      </c>
      <c r="F4928" s="18" t="n">
        <v>687131</v>
      </c>
      <c r="G4928" s="18" t="n">
        <v>674291</v>
      </c>
      <c r="H4928" s="18" t="n">
        <v>377247</v>
      </c>
      <c r="I4928" s="18" t="n">
        <v>3007</v>
      </c>
      <c r="J4928" s="19" t="n">
        <v>1691.4375</v>
      </c>
      <c r="K4928" s="35" t="n">
        <v>-0.25</v>
      </c>
    </row>
    <row r="4929">
      <c r="A4929" s="36" t="inlineStr">
        <is>
          <t>Pensjonspremie SPK</t>
        </is>
      </c>
      <c r="B4929" s="36" t="inlineStr">
        <is>
          <t>Region Nord</t>
        </is>
      </c>
      <c r="C4929" s="36" t="inlineStr">
        <is>
          <t>Avdelingsdirektør omsorg for ungdom og behandling av ungdom</t>
        </is>
      </c>
      <c r="D4929" s="26" t="n"/>
      <c r="E4929" s="26" t="n"/>
      <c r="F4929" s="26" t="n"/>
      <c r="G4929" s="26" t="n"/>
      <c r="H4929" s="26" t="n">
        <v>25520</v>
      </c>
      <c r="I4929" s="26" t="n">
        <v>-25520</v>
      </c>
      <c r="J4929" s="19" t="n">
        <v>-28945.422</v>
      </c>
      <c r="K4929" s="37" t="n">
        <v>0.065</v>
      </c>
    </row>
    <row r="4930">
      <c r="A4930" s="34" t="inlineStr">
        <is>
          <t>Pensjonspremie SPK</t>
        </is>
      </c>
      <c r="B4930" s="34" t="inlineStr">
        <is>
          <t>Region Nord</t>
        </is>
      </c>
      <c r="C4930" s="34" t="inlineStr">
        <is>
          <t>Avdelingsdirektør stab</t>
        </is>
      </c>
      <c r="D4930" s="18" t="n"/>
      <c r="E4930" s="18" t="n"/>
      <c r="F4930" s="18" t="n"/>
      <c r="G4930" s="18" t="n"/>
      <c r="H4930" s="18" t="n"/>
      <c r="I4930" s="18" t="n">
        <v>-265585</v>
      </c>
      <c r="J4930" s="19" t="n">
        <v>-301233.1466249999</v>
      </c>
      <c r="K4930" s="35" t="n">
        <v>0.065</v>
      </c>
    </row>
    <row r="4931">
      <c r="A4931" s="36" t="inlineStr">
        <is>
          <t>Pensjonspremie SPK</t>
        </is>
      </c>
      <c r="B4931" s="36" t="inlineStr">
        <is>
          <t>Region Nord</t>
        </is>
      </c>
      <c r="C4931" s="36" t="inlineStr">
        <is>
          <t>Bodø behandlingssenter Landegode</t>
        </is>
      </c>
      <c r="D4931" s="26" t="n"/>
      <c r="E4931" s="26" t="n"/>
      <c r="F4931" s="26" t="n"/>
      <c r="G4931" s="26" t="n">
        <v>4624</v>
      </c>
      <c r="H4931" s="26" t="n">
        <v>51015</v>
      </c>
      <c r="I4931" s="26" t="n">
        <v>38276</v>
      </c>
      <c r="J4931" s="19" t="n">
        <v>43413.5961</v>
      </c>
      <c r="K4931" s="37" t="n">
        <v>0.065</v>
      </c>
    </row>
    <row r="4932">
      <c r="A4932" s="34" t="inlineStr">
        <is>
          <t>Pensjonspremie SPK</t>
        </is>
      </c>
      <c r="B4932" s="34" t="inlineStr">
        <is>
          <t>Region Nord</t>
        </is>
      </c>
      <c r="C4932" s="34" t="inlineStr">
        <is>
          <t>Bodø behandlingssenter Sandhornet</t>
        </is>
      </c>
      <c r="D4932" s="18" t="n">
        <v>1407510</v>
      </c>
      <c r="E4932" s="18" t="n">
        <v>1241365</v>
      </c>
      <c r="F4932" s="18" t="n">
        <v>1264332</v>
      </c>
      <c r="G4932" s="18" t="n">
        <v>1300965</v>
      </c>
      <c r="H4932" s="18" t="n">
        <v>1353002</v>
      </c>
      <c r="I4932" s="18" t="n">
        <v>1297492</v>
      </c>
      <c r="J4932" s="19" t="n">
        <v>1255931.544970896</v>
      </c>
      <c r="K4932" s="35" t="n">
        <v>-0.01614603558716421</v>
      </c>
    </row>
    <row r="4933">
      <c r="A4933" s="36" t="inlineStr">
        <is>
          <t>Pensjonspremie SPK</t>
        </is>
      </c>
      <c r="B4933" s="36" t="inlineStr">
        <is>
          <t>Region Nord</t>
        </is>
      </c>
      <c r="C4933" s="36" t="inlineStr">
        <is>
          <t>Bodø behandlingssenter adm</t>
        </is>
      </c>
      <c r="D4933" s="26" t="n">
        <v>232166</v>
      </c>
      <c r="E4933" s="26" t="n">
        <v>200153</v>
      </c>
      <c r="F4933" s="26" t="n">
        <v>180631</v>
      </c>
      <c r="G4933" s="26" t="n">
        <v>185305</v>
      </c>
      <c r="H4933" s="26" t="n">
        <v>181579</v>
      </c>
      <c r="I4933" s="26" t="n">
        <v>183442</v>
      </c>
      <c r="J4933" s="19" t="n">
        <v>166947.0847652911</v>
      </c>
      <c r="K4933" s="37" t="n">
        <v>-0.04601832695393249</v>
      </c>
    </row>
    <row r="4934">
      <c r="A4934" s="34" t="inlineStr">
        <is>
          <t>Pensjonspremie SPK</t>
        </is>
      </c>
      <c r="B4934" s="34" t="inlineStr">
        <is>
          <t>Region Nord</t>
        </is>
      </c>
      <c r="C4934" s="34" t="inlineStr">
        <is>
          <t>Bodø behandlingssenter avdeling 3</t>
        </is>
      </c>
      <c r="D4934" s="18" t="n"/>
      <c r="E4934" s="18" t="n"/>
      <c r="F4934" s="18" t="n"/>
      <c r="G4934" s="18" t="n"/>
      <c r="H4934" s="18" t="n"/>
      <c r="I4934" s="18" t="n">
        <v>24552</v>
      </c>
      <c r="J4934" s="19" t="n">
        <v>27847.4922</v>
      </c>
      <c r="K4934" s="35" t="n">
        <v>0.065</v>
      </c>
    </row>
    <row r="4935">
      <c r="A4935" s="36" t="inlineStr">
        <is>
          <t>Pensjonspremie SPK</t>
        </is>
      </c>
      <c r="B4935" s="36" t="inlineStr">
        <is>
          <t>Region Nord</t>
        </is>
      </c>
      <c r="C4935" s="36" t="inlineStr">
        <is>
          <t>Enhet for inntak avd. akutt</t>
        </is>
      </c>
      <c r="D4935" s="26" t="n"/>
      <c r="E4935" s="26" t="n"/>
      <c r="F4935" s="26" t="n"/>
      <c r="G4935" s="26" t="n"/>
      <c r="H4935" s="26" t="n">
        <v>54792</v>
      </c>
      <c r="I4935" s="26" t="n">
        <v>57419</v>
      </c>
      <c r="J4935" s="19" t="n">
        <v>65126.06527499999</v>
      </c>
      <c r="K4935" s="37" t="n">
        <v>0.065</v>
      </c>
    </row>
    <row r="4936">
      <c r="A4936" s="34" t="inlineStr">
        <is>
          <t>Pensjonspremie SPK</t>
        </is>
      </c>
      <c r="B4936" s="34" t="inlineStr">
        <is>
          <t>Region Nord</t>
        </is>
      </c>
      <c r="C4936" s="34" t="inlineStr">
        <is>
          <t>FHT RN - formidling/oppfølging</t>
        </is>
      </c>
      <c r="D4936" s="18" t="n"/>
      <c r="E4936" s="18" t="n"/>
      <c r="F4936" s="18" t="n">
        <v>14066</v>
      </c>
      <c r="G4936" s="18" t="n">
        <v>-1154</v>
      </c>
      <c r="H4936" s="18" t="n"/>
      <c r="I4936" s="18" t="n"/>
      <c r="J4936" s="19" t="n">
        <v>0</v>
      </c>
      <c r="K4936" s="35" t="n">
        <v>0.065</v>
      </c>
    </row>
    <row r="4937">
      <c r="A4937" s="36" t="inlineStr">
        <is>
          <t>Pensjonspremie SPK</t>
        </is>
      </c>
      <c r="B4937" s="36" t="inlineStr">
        <is>
          <t>Region Nord</t>
        </is>
      </c>
      <c r="C4937" s="36" t="inlineStr">
        <is>
          <t>KUS SKM Omsorg for ungdom</t>
        </is>
      </c>
      <c r="D4937" s="26" t="n">
        <v>478797</v>
      </c>
      <c r="E4937" s="26" t="n">
        <v>487154</v>
      </c>
      <c r="F4937" s="26" t="n">
        <v>518455</v>
      </c>
      <c r="G4937" s="26" t="n">
        <v>531652</v>
      </c>
      <c r="H4937" s="26" t="n">
        <v>483087</v>
      </c>
      <c r="I4937" s="26" t="n">
        <v>507272</v>
      </c>
      <c r="J4937" s="19" t="n">
        <v>519130.6601996974</v>
      </c>
      <c r="K4937" s="37" t="n">
        <v>0.01162113493535299</v>
      </c>
    </row>
    <row r="4938">
      <c r="A4938" s="34" t="inlineStr">
        <is>
          <t>Pensjonspremie SPK</t>
        </is>
      </c>
      <c r="B4938" s="34" t="inlineStr">
        <is>
          <t>Region Nord</t>
        </is>
      </c>
      <c r="C4938" s="34" t="inlineStr">
        <is>
          <t>Lamo ungdomssenter Tunet</t>
        </is>
      </c>
      <c r="D4938" s="18" t="n">
        <v>1443712</v>
      </c>
      <c r="E4938" s="18" t="n">
        <v>1486117</v>
      </c>
      <c r="F4938" s="18" t="n">
        <v>937593</v>
      </c>
      <c r="G4938" s="18" t="n">
        <v>1240783</v>
      </c>
      <c r="H4938" s="18" t="n">
        <v>1128732</v>
      </c>
      <c r="I4938" s="18" t="n">
        <v>1176454</v>
      </c>
      <c r="J4938" s="19" t="n">
        <v>1083958.622669266</v>
      </c>
      <c r="K4938" s="35" t="n">
        <v>-0.04011572536261021</v>
      </c>
    </row>
    <row r="4939">
      <c r="A4939" s="36" t="inlineStr">
        <is>
          <t>Pensjonspremie SPK</t>
        </is>
      </c>
      <c r="B4939" s="36" t="inlineStr">
        <is>
          <t>Region Nord</t>
        </is>
      </c>
      <c r="C4939" s="36" t="inlineStr">
        <is>
          <t>Lamo ungdomssenter adm</t>
        </is>
      </c>
      <c r="D4939" s="26" t="n">
        <v>118582</v>
      </c>
      <c r="E4939" s="26" t="n">
        <v>76077</v>
      </c>
      <c r="F4939" s="26" t="n">
        <v>93678</v>
      </c>
      <c r="G4939" s="26" t="n">
        <v>95998</v>
      </c>
      <c r="H4939" s="26" t="n">
        <v>101337</v>
      </c>
      <c r="I4939" s="26" t="n">
        <v>95736</v>
      </c>
      <c r="J4939" s="19" t="n">
        <v>87881.584957181</v>
      </c>
      <c r="K4939" s="37" t="n">
        <v>-0.04189898239950629</v>
      </c>
    </row>
    <row r="4940">
      <c r="A4940" s="34" t="inlineStr">
        <is>
          <t>Pensjonspremie SPK</t>
        </is>
      </c>
      <c r="B4940" s="34" t="inlineStr">
        <is>
          <t>Region Nord</t>
        </is>
      </c>
      <c r="C4940" s="34" t="inlineStr">
        <is>
          <t>Nye Kvæfjord ungdomssenter Lilleheimen</t>
        </is>
      </c>
      <c r="D4940" s="18" t="n">
        <v>1006322</v>
      </c>
      <c r="E4940" s="18" t="n">
        <v>902455</v>
      </c>
      <c r="F4940" s="18" t="n">
        <v>781909</v>
      </c>
      <c r="G4940" s="18" t="n">
        <v>835366</v>
      </c>
      <c r="H4940" s="18" t="n">
        <v>877896</v>
      </c>
      <c r="I4940" s="18" t="n">
        <v>821962</v>
      </c>
      <c r="J4940" s="19" t="n">
        <v>758049.646197826</v>
      </c>
      <c r="K4940" s="35" t="n">
        <v>-0.03966456369998239</v>
      </c>
    </row>
    <row r="4941">
      <c r="A4941" s="36" t="inlineStr">
        <is>
          <t>Pensjonspremie SPK</t>
        </is>
      </c>
      <c r="B4941" s="36" t="inlineStr">
        <is>
          <t>Region Nord</t>
        </is>
      </c>
      <c r="C4941" s="36" t="inlineStr">
        <is>
          <t>Nye Kvæfjord ungdomssenter Storheimen</t>
        </is>
      </c>
      <c r="D4941" s="26" t="n">
        <v>1114530</v>
      </c>
      <c r="E4941" s="26" t="n">
        <v>1018597</v>
      </c>
      <c r="F4941" s="26" t="n">
        <v>881091</v>
      </c>
      <c r="G4941" s="26" t="n">
        <v>892418</v>
      </c>
      <c r="H4941" s="26" t="n">
        <v>1000716</v>
      </c>
      <c r="I4941" s="26" t="n">
        <v>1011419</v>
      </c>
      <c r="J4941" s="19" t="n">
        <v>972896.958630016</v>
      </c>
      <c r="K4941" s="37" t="n">
        <v>-0.01922842847856332</v>
      </c>
    </row>
    <row r="4942">
      <c r="A4942" s="34" t="inlineStr">
        <is>
          <t>Pensjonspremie SPK</t>
        </is>
      </c>
      <c r="B4942" s="34" t="inlineStr">
        <is>
          <t>Region Nord</t>
        </is>
      </c>
      <c r="C4942" s="34" t="inlineStr">
        <is>
          <t>Nye Kvæfjord ungdomssenter adm</t>
        </is>
      </c>
      <c r="D4942" s="18" t="n">
        <v>253167</v>
      </c>
      <c r="E4942" s="18" t="n">
        <v>198351</v>
      </c>
      <c r="F4942" s="18" t="n">
        <v>189796</v>
      </c>
      <c r="G4942" s="18" t="n">
        <v>223302</v>
      </c>
      <c r="H4942" s="18" t="n">
        <v>236827</v>
      </c>
      <c r="I4942" s="18" t="n">
        <v>282328</v>
      </c>
      <c r="J4942" s="19" t="n">
        <v>294912.1695993569</v>
      </c>
      <c r="K4942" s="35" t="n">
        <v>0.02204347816911278</v>
      </c>
    </row>
    <row r="4943">
      <c r="A4943" s="36" t="inlineStr">
        <is>
          <t>Pensjonspremie SPK</t>
        </is>
      </c>
      <c r="B4943" s="36" t="inlineStr">
        <is>
          <t>Region Nord</t>
        </is>
      </c>
      <c r="C4943" s="36" t="inlineStr">
        <is>
          <t>Røvika ungdomssenter Administrasjon</t>
        </is>
      </c>
      <c r="D4943" s="26" t="n">
        <v>190909</v>
      </c>
      <c r="E4943" s="26" t="n">
        <v>179012</v>
      </c>
      <c r="F4943" s="26" t="n">
        <v>166532</v>
      </c>
      <c r="G4943" s="26" t="n">
        <v>138290</v>
      </c>
      <c r="H4943" s="26" t="n">
        <v>137178</v>
      </c>
      <c r="I4943" s="26" t="n">
        <v>102512</v>
      </c>
      <c r="J4943" s="19" t="n">
        <v>79938.13803387448</v>
      </c>
      <c r="K4943" s="37" t="n">
        <v>-0.116941122764482</v>
      </c>
    </row>
    <row r="4944">
      <c r="A4944" s="34" t="inlineStr">
        <is>
          <t>Pensjonspremie SPK</t>
        </is>
      </c>
      <c r="B4944" s="34" t="inlineStr">
        <is>
          <t>Region Nord</t>
        </is>
      </c>
      <c r="C4944" s="34" t="inlineStr">
        <is>
          <t>Røvika ungdomssenter Skogly</t>
        </is>
      </c>
      <c r="D4944" s="18" t="n">
        <v>1088325</v>
      </c>
      <c r="E4944" s="18" t="n">
        <v>1065193</v>
      </c>
      <c r="F4944" s="18" t="n">
        <v>1036849</v>
      </c>
      <c r="G4944" s="18" t="n">
        <v>1178091</v>
      </c>
      <c r="H4944" s="18" t="n">
        <v>1028037</v>
      </c>
      <c r="I4944" s="18" t="n">
        <v>1009172</v>
      </c>
      <c r="J4944" s="19" t="n">
        <v>979146.8407837123</v>
      </c>
      <c r="K4944" s="35" t="n">
        <v>-0.01498846269861454</v>
      </c>
    </row>
    <row r="4945">
      <c r="A4945" s="36" t="inlineStr">
        <is>
          <t>Pensjonspremie SPK</t>
        </is>
      </c>
      <c r="B4945" s="36" t="inlineStr">
        <is>
          <t>Region Nord</t>
        </is>
      </c>
      <c r="C4945" s="36" t="inlineStr">
        <is>
          <t>Røvika ungdomssenter beredskapshjem</t>
        </is>
      </c>
      <c r="D4945" s="26" t="n"/>
      <c r="E4945" s="26" t="n"/>
      <c r="F4945" s="26" t="n">
        <v>7174</v>
      </c>
      <c r="G4945" s="26" t="n">
        <v>26133</v>
      </c>
      <c r="H4945" s="26" t="n">
        <v>-21451</v>
      </c>
      <c r="I4945" s="26" t="n"/>
      <c r="J4945" s="19" t="n">
        <v>0</v>
      </c>
      <c r="K4945" s="37" t="n">
        <v>0.065</v>
      </c>
    </row>
    <row r="4946">
      <c r="A4946" s="34" t="inlineStr">
        <is>
          <t>Pensjonspremie SPK</t>
        </is>
      </c>
      <c r="B4946" s="34" t="inlineStr">
        <is>
          <t>Region Nord</t>
        </is>
      </c>
      <c r="C4946" s="34" t="inlineStr">
        <is>
          <t>Røvika ungdomssenter Åsheim akutt</t>
        </is>
      </c>
      <c r="D4946" s="18" t="n"/>
      <c r="E4946" s="18" t="n"/>
      <c r="F4946" s="18" t="n"/>
      <c r="G4946" s="18" t="n"/>
      <c r="H4946" s="18" t="n">
        <v>246813</v>
      </c>
      <c r="I4946" s="18" t="n">
        <v>640181</v>
      </c>
      <c r="J4946" s="19" t="n">
        <v>726109.2947249999</v>
      </c>
      <c r="K4946" s="35" t="n">
        <v>0.065</v>
      </c>
    </row>
    <row r="4947">
      <c r="A4947" s="36" t="inlineStr">
        <is>
          <t>Pensjonspremie SPK</t>
        </is>
      </c>
      <c r="B4947" s="36" t="inlineStr">
        <is>
          <t>Region Nord</t>
        </is>
      </c>
      <c r="C4947" s="36" t="inlineStr">
        <is>
          <t>Røvika Åsheim</t>
        </is>
      </c>
      <c r="D4947" s="26" t="n">
        <v>777205</v>
      </c>
      <c r="E4947" s="26" t="n">
        <v>926153</v>
      </c>
      <c r="F4947" s="26" t="n">
        <v>848463</v>
      </c>
      <c r="G4947" s="26" t="n">
        <v>750637</v>
      </c>
      <c r="H4947" s="26" t="n">
        <v>493734</v>
      </c>
      <c r="I4947" s="26" t="n">
        <v>5661</v>
      </c>
      <c r="J4947" s="19" t="n">
        <v>3184.3125</v>
      </c>
      <c r="K4947" s="37" t="n">
        <v>-0.25</v>
      </c>
    </row>
    <row r="4948">
      <c r="A4948" s="34" t="inlineStr">
        <is>
          <t>Pensjonspremie SPK</t>
        </is>
      </c>
      <c r="B4948" s="34" t="inlineStr">
        <is>
          <t>Region Nord</t>
        </is>
      </c>
      <c r="C4948" s="34" t="inlineStr">
        <is>
          <t>Seksjon faglig støtte</t>
        </is>
      </c>
      <c r="D4948" s="18" t="n"/>
      <c r="E4948" s="18" t="n"/>
      <c r="F4948" s="18" t="n"/>
      <c r="G4948" s="18" t="n">
        <v>114835</v>
      </c>
      <c r="H4948" s="18" t="n">
        <v>135369</v>
      </c>
      <c r="I4948" s="18" t="n">
        <v>133828</v>
      </c>
      <c r="J4948" s="19" t="n">
        <v>151791.0633</v>
      </c>
      <c r="K4948" s="35" t="n">
        <v>0.065</v>
      </c>
    </row>
    <row r="4949">
      <c r="A4949" s="36" t="inlineStr">
        <is>
          <t>Pensjonspremie SPK</t>
        </is>
      </c>
      <c r="B4949" s="36" t="inlineStr">
        <is>
          <t>Region Nord</t>
        </is>
      </c>
      <c r="C4949" s="36" t="inlineStr">
        <is>
          <t>Silsand ungdomssenter Administrasjon F4</t>
        </is>
      </c>
      <c r="D4949" s="26" t="n"/>
      <c r="E4949" s="26" t="n"/>
      <c r="F4949" s="26" t="n"/>
      <c r="G4949" s="26" t="n"/>
      <c r="H4949" s="26" t="n">
        <v>52663</v>
      </c>
      <c r="I4949" s="26" t="n">
        <v>127852</v>
      </c>
      <c r="J4949" s="19" t="n">
        <v>145012.9347</v>
      </c>
      <c r="K4949" s="37" t="n">
        <v>0.065</v>
      </c>
    </row>
    <row r="4950">
      <c r="A4950" s="34" t="inlineStr">
        <is>
          <t>Pensjonspremie SPK</t>
        </is>
      </c>
      <c r="B4950" s="34" t="inlineStr">
        <is>
          <t>Region Nord</t>
        </is>
      </c>
      <c r="C4950" s="34" t="inlineStr">
        <is>
          <t>Silsand ungdomssenter administrasjon</t>
        </is>
      </c>
      <c r="D4950" s="18" t="n">
        <v>151299</v>
      </c>
      <c r="E4950" s="18" t="n">
        <v>175598</v>
      </c>
      <c r="F4950" s="18" t="n">
        <v>187823</v>
      </c>
      <c r="G4950" s="18" t="n">
        <v>188911</v>
      </c>
      <c r="H4950" s="18" t="n">
        <v>111495</v>
      </c>
      <c r="I4950" s="18" t="n">
        <v>2056</v>
      </c>
      <c r="J4950" s="19" t="n">
        <v>1156.5</v>
      </c>
      <c r="K4950" s="35" t="n">
        <v>-0.25</v>
      </c>
    </row>
    <row r="4951">
      <c r="A4951" s="36" t="inlineStr">
        <is>
          <t>Pensjonspremie SPK</t>
        </is>
      </c>
      <c r="B4951" s="36" t="inlineStr">
        <is>
          <t>Region Nord</t>
        </is>
      </c>
      <c r="C4951" s="36" t="inlineStr">
        <is>
          <t>Silsand ungdomssenter avdeling 1</t>
        </is>
      </c>
      <c r="D4951" s="26" t="n">
        <v>1336279</v>
      </c>
      <c r="E4951" s="26" t="n">
        <v>1093322</v>
      </c>
      <c r="F4951" s="26" t="n">
        <v>878332</v>
      </c>
      <c r="G4951" s="26" t="n">
        <v>873494</v>
      </c>
      <c r="H4951" s="26" t="n">
        <v>560418</v>
      </c>
      <c r="I4951" s="26" t="n">
        <v>5967</v>
      </c>
      <c r="J4951" s="19" t="n">
        <v>3356.4375</v>
      </c>
      <c r="K4951" s="37" t="n">
        <v>-0.25</v>
      </c>
    </row>
    <row r="4952">
      <c r="A4952" s="34" t="inlineStr">
        <is>
          <t>Pensjonspremie SPK</t>
        </is>
      </c>
      <c r="B4952" s="34" t="inlineStr">
        <is>
          <t>Region Nord</t>
        </is>
      </c>
      <c r="C4952" s="34" t="inlineStr">
        <is>
          <t>Silsand ungdomssenter miljøavdeling</t>
        </is>
      </c>
      <c r="D4952" s="18" t="n"/>
      <c r="E4952" s="18" t="n"/>
      <c r="F4952" s="18" t="n"/>
      <c r="G4952" s="18" t="n"/>
      <c r="H4952" s="18" t="n">
        <v>464891</v>
      </c>
      <c r="I4952" s="18" t="n">
        <v>1259376</v>
      </c>
      <c r="J4952" s="19" t="n">
        <v>1428415.7436</v>
      </c>
      <c r="K4952" s="35" t="n">
        <v>0.065</v>
      </c>
    </row>
    <row r="4953">
      <c r="A4953" s="36" t="inlineStr">
        <is>
          <t>Pensjonspremie SPK</t>
        </is>
      </c>
      <c r="B4953" s="36" t="inlineStr">
        <is>
          <t>Region Nord</t>
        </is>
      </c>
      <c r="C4953" s="36" t="inlineStr">
        <is>
          <t>Solbakken barne- og familiesenter avd. 1 foreldre og barn</t>
        </is>
      </c>
      <c r="D4953" s="26" t="n">
        <v>-4087</v>
      </c>
      <c r="E4953" s="26" t="n"/>
      <c r="F4953" s="26" t="n"/>
      <c r="G4953" s="26" t="n"/>
      <c r="H4953" s="26" t="n"/>
      <c r="I4953" s="26" t="n"/>
      <c r="J4953" s="19" t="n">
        <v>0</v>
      </c>
      <c r="K4953" s="37" t="n">
        <v>0.065</v>
      </c>
    </row>
    <row r="4954">
      <c r="A4954" s="34" t="inlineStr">
        <is>
          <t>Pensjonspremie SPK</t>
        </is>
      </c>
      <c r="B4954" s="34" t="inlineStr">
        <is>
          <t>Region Nord</t>
        </is>
      </c>
      <c r="C4954" s="34" t="inlineStr">
        <is>
          <t>Sollia barne- og ungdomssenter adm</t>
        </is>
      </c>
      <c r="D4954" s="18" t="n">
        <v>134604</v>
      </c>
      <c r="E4954" s="18" t="n">
        <v>114345</v>
      </c>
      <c r="F4954" s="18" t="n">
        <v>91451</v>
      </c>
      <c r="G4954" s="18" t="n">
        <v>92309</v>
      </c>
      <c r="H4954" s="18" t="n">
        <v>91972</v>
      </c>
      <c r="I4954" s="18" t="n">
        <v>95612</v>
      </c>
      <c r="J4954" s="19" t="n">
        <v>83386.19895280414</v>
      </c>
      <c r="K4954" s="35" t="n">
        <v>-0.06612040267664798</v>
      </c>
    </row>
    <row r="4955">
      <c r="A4955" s="36" t="inlineStr">
        <is>
          <t>Pensjonspremie SPK</t>
        </is>
      </c>
      <c r="B4955" s="36" t="inlineStr">
        <is>
          <t>Region Nord</t>
        </is>
      </c>
      <c r="C4955" s="36" t="inlineStr">
        <is>
          <t>Sollia barne- og ungdomssenter miljøavdeling</t>
        </is>
      </c>
      <c r="D4955" s="26" t="n">
        <v>1148060</v>
      </c>
      <c r="E4955" s="26" t="n">
        <v>940776</v>
      </c>
      <c r="F4955" s="26" t="n">
        <v>946728</v>
      </c>
      <c r="G4955" s="26" t="n">
        <v>1091442</v>
      </c>
      <c r="H4955" s="26" t="n">
        <v>1130836</v>
      </c>
      <c r="I4955" s="26" t="n">
        <v>1042557</v>
      </c>
      <c r="J4955" s="19" t="n">
        <v>1003122.329047754</v>
      </c>
      <c r="K4955" s="37" t="n">
        <v>-0.01909478254479535</v>
      </c>
    </row>
    <row r="4956">
      <c r="A4956" s="34" t="inlineStr">
        <is>
          <t>Pensjonspremie SPK</t>
        </is>
      </c>
      <c r="B4956" s="34" t="inlineStr">
        <is>
          <t>Region Nord</t>
        </is>
      </c>
      <c r="C4956" s="34" t="inlineStr">
        <is>
          <t>Sollia barnesenter barnehjemsavdeling</t>
        </is>
      </c>
      <c r="D4956" s="18" t="n">
        <v>-460</v>
      </c>
      <c r="E4956" s="18" t="n"/>
      <c r="F4956" s="18" t="n"/>
      <c r="G4956" s="18" t="n"/>
      <c r="H4956" s="18" t="n"/>
      <c r="I4956" s="18" t="n"/>
      <c r="J4956" s="19" t="n">
        <v>0</v>
      </c>
      <c r="K4956" s="35" t="n">
        <v>0.065</v>
      </c>
    </row>
    <row r="4957">
      <c r="A4957" s="36" t="inlineStr">
        <is>
          <t>Pensjonspremie SPK</t>
        </is>
      </c>
      <c r="B4957" s="36" t="inlineStr">
        <is>
          <t>Region Nord</t>
        </is>
      </c>
      <c r="C4957" s="36" t="inlineStr">
        <is>
          <t>Tromsø ungdomssenter</t>
        </is>
      </c>
      <c r="D4957" s="26" t="n">
        <v>120358</v>
      </c>
      <c r="E4957" s="26" t="n">
        <v>103903</v>
      </c>
      <c r="F4957" s="26" t="n">
        <v>97879</v>
      </c>
      <c r="G4957" s="26" t="n">
        <v>152600</v>
      </c>
      <c r="H4957" s="26" t="n">
        <v>154951</v>
      </c>
      <c r="I4957" s="26" t="n">
        <v>113450</v>
      </c>
      <c r="J4957" s="19" t="n">
        <v>110799.1210802679</v>
      </c>
      <c r="K4957" s="37" t="n">
        <v>-0.01175208314085108</v>
      </c>
    </row>
    <row r="4958">
      <c r="A4958" s="34" t="inlineStr">
        <is>
          <t>Pensjonspremie SPK</t>
        </is>
      </c>
      <c r="B4958" s="34" t="inlineStr">
        <is>
          <t>Region Nord</t>
        </is>
      </c>
      <c r="C4958" s="34" t="inlineStr">
        <is>
          <t>Tromsø ungdomssenter Fjære</t>
        </is>
      </c>
      <c r="D4958" s="18" t="n">
        <v>1006619</v>
      </c>
      <c r="E4958" s="18" t="n">
        <v>860139</v>
      </c>
      <c r="F4958" s="18" t="n">
        <v>747779</v>
      </c>
      <c r="G4958" s="18" t="n">
        <v>785099</v>
      </c>
      <c r="H4958" s="18" t="n">
        <v>842214</v>
      </c>
      <c r="I4958" s="18" t="n">
        <v>922998</v>
      </c>
      <c r="J4958" s="19" t="n">
        <v>891528.0555692037</v>
      </c>
      <c r="K4958" s="35" t="n">
        <v>-0.01719552043800587</v>
      </c>
    </row>
    <row r="4959">
      <c r="A4959" s="36" t="inlineStr">
        <is>
          <t>Pensjonspremie SPK</t>
        </is>
      </c>
      <c r="B4959" s="36" t="inlineStr">
        <is>
          <t>Region Nord</t>
        </is>
      </c>
      <c r="C4959" s="36" t="inlineStr">
        <is>
          <t>Tromsø ungdomssenter Flo</t>
        </is>
      </c>
      <c r="D4959" s="26" t="n">
        <v>953874</v>
      </c>
      <c r="E4959" s="26" t="n">
        <v>910769</v>
      </c>
      <c r="F4959" s="26" t="n">
        <v>907547</v>
      </c>
      <c r="G4959" s="26" t="n">
        <v>905201</v>
      </c>
      <c r="H4959" s="26" t="n">
        <v>898771</v>
      </c>
      <c r="I4959" s="26" t="n">
        <v>980693</v>
      </c>
      <c r="J4959" s="19" t="n">
        <v>991630.5570185775</v>
      </c>
      <c r="K4959" s="37" t="n">
        <v>0.005560980639372826</v>
      </c>
    </row>
    <row r="4960">
      <c r="A4960" s="34" t="inlineStr">
        <is>
          <t>Pensjonspremie SPK</t>
        </is>
      </c>
      <c r="B4960" s="34" t="inlineStr">
        <is>
          <t>Region Nord</t>
        </is>
      </c>
      <c r="C4960" s="34" t="inlineStr">
        <is>
          <t>Vadsø ungdomssenter administrasjon</t>
        </is>
      </c>
      <c r="D4960" s="18" t="n">
        <v>16205</v>
      </c>
      <c r="E4960" s="18" t="n"/>
      <c r="F4960" s="18" t="n"/>
      <c r="G4960" s="18" t="n"/>
      <c r="H4960" s="18" t="n"/>
      <c r="I4960" s="18" t="n"/>
      <c r="J4960" s="19" t="n">
        <v>0</v>
      </c>
      <c r="K4960" s="35" t="n">
        <v>0.065</v>
      </c>
    </row>
    <row r="4961">
      <c r="A4961" s="36" t="inlineStr">
        <is>
          <t>Pensjonspremie SPK</t>
        </is>
      </c>
      <c r="B4961" s="36" t="inlineStr">
        <is>
          <t>Region Nord</t>
        </is>
      </c>
      <c r="C4961" s="36" t="inlineStr">
        <is>
          <t>Vadsø ungdomssenter avdeling 1</t>
        </is>
      </c>
      <c r="D4961" s="26" t="n">
        <v>515156</v>
      </c>
      <c r="E4961" s="26" t="n">
        <v>144719</v>
      </c>
      <c r="F4961" s="26" t="n">
        <v>18124</v>
      </c>
      <c r="G4961" s="26" t="n"/>
      <c r="H4961" s="26" t="n"/>
      <c r="I4961" s="26" t="n"/>
      <c r="J4961" s="19" t="n">
        <v>0</v>
      </c>
      <c r="K4961" s="37" t="n">
        <v>0.065</v>
      </c>
    </row>
    <row r="4962">
      <c r="A4962" s="34" t="inlineStr">
        <is>
          <t>Pensjonspremie SPK</t>
        </is>
      </c>
      <c r="B4962" s="34" t="inlineStr">
        <is>
          <t>Region Nord</t>
        </is>
      </c>
      <c r="C4962" s="34" t="inlineStr">
        <is>
          <t>Yttrabekken ungdomssenter administrasjon</t>
        </is>
      </c>
      <c r="D4962" s="18" t="n">
        <v>131227</v>
      </c>
      <c r="E4962" s="18" t="n">
        <v>114937</v>
      </c>
      <c r="F4962" s="18" t="n">
        <v>105894</v>
      </c>
      <c r="G4962" s="18" t="n">
        <v>108929</v>
      </c>
      <c r="H4962" s="18" t="n">
        <v>106117</v>
      </c>
      <c r="I4962" s="18" t="n">
        <v>109231</v>
      </c>
      <c r="J4962" s="19" t="n">
        <v>101502.0919812779</v>
      </c>
      <c r="K4962" s="35" t="n">
        <v>-0.03602772816564581</v>
      </c>
    </row>
    <row r="4963">
      <c r="A4963" s="36" t="inlineStr">
        <is>
          <t>Pensjonspremie SPK</t>
        </is>
      </c>
      <c r="B4963" s="36" t="inlineStr">
        <is>
          <t>Region Nord</t>
        </is>
      </c>
      <c r="C4963" s="36" t="inlineStr">
        <is>
          <t>Yttrabekken ungdomssenter avdeling 1</t>
        </is>
      </c>
      <c r="D4963" s="26" t="n">
        <v>1414924</v>
      </c>
      <c r="E4963" s="26" t="n">
        <v>1386269</v>
      </c>
      <c r="F4963" s="26" t="n">
        <v>1393408</v>
      </c>
      <c r="G4963" s="26" t="n">
        <v>1393692</v>
      </c>
      <c r="H4963" s="26" t="n">
        <v>1274818</v>
      </c>
      <c r="I4963" s="26" t="n">
        <v>1373871</v>
      </c>
      <c r="J4963" s="19" t="n">
        <v>1357785.272639658</v>
      </c>
      <c r="K4963" s="37" t="n">
        <v>-0.005871398865444521</v>
      </c>
    </row>
    <row r="4964">
      <c r="A4964" s="34" t="inlineStr">
        <is>
          <t>Pensjonspremie SPK</t>
        </is>
      </c>
      <c r="B4964" s="34" t="inlineStr">
        <is>
          <t>Region Sør</t>
        </is>
      </c>
      <c r="C4964" s="34" t="inlineStr">
        <is>
          <t>Agder ungdomshjem</t>
        </is>
      </c>
      <c r="D4964" s="18" t="n">
        <v>168763</v>
      </c>
      <c r="E4964" s="18" t="n">
        <v>80989</v>
      </c>
      <c r="F4964" s="18" t="n">
        <v>86526</v>
      </c>
      <c r="G4964" s="18" t="n">
        <v>75170</v>
      </c>
      <c r="H4964" s="18" t="n">
        <v>76584</v>
      </c>
      <c r="I4964" s="18" t="n">
        <v>78816</v>
      </c>
      <c r="J4964" s="19" t="n">
        <v>58123.16451569921</v>
      </c>
      <c r="K4964" s="35" t="n">
        <v>-0.1412486542786924</v>
      </c>
    </row>
    <row r="4965">
      <c r="A4965" s="36" t="inlineStr">
        <is>
          <t>Pensjonspremie SPK</t>
        </is>
      </c>
      <c r="B4965" s="36" t="inlineStr">
        <is>
          <t>Region Sør</t>
        </is>
      </c>
      <c r="C4965" s="36" t="inlineStr">
        <is>
          <t>Agder ungdomssenter</t>
        </is>
      </c>
      <c r="D4965" s="26" t="n">
        <v>94977</v>
      </c>
      <c r="E4965" s="26" t="n">
        <v>80989</v>
      </c>
      <c r="F4965" s="26" t="n">
        <v>72703</v>
      </c>
      <c r="G4965" s="26" t="n">
        <v>77327</v>
      </c>
      <c r="H4965" s="26" t="n">
        <v>76584</v>
      </c>
      <c r="I4965" s="26" t="n">
        <v>105011</v>
      </c>
      <c r="J4965" s="19" t="n">
        <v>109315.3961217967</v>
      </c>
      <c r="K4965" s="37" t="n">
        <v>0.02028915244321627</v>
      </c>
    </row>
    <row r="4966">
      <c r="A4966" s="34" t="inlineStr">
        <is>
          <t>Pensjonspremie SPK</t>
        </is>
      </c>
      <c r="B4966" s="34" t="inlineStr">
        <is>
          <t>Region Sør</t>
        </is>
      </c>
      <c r="C4966" s="34" t="inlineStr">
        <is>
          <t>Avdeling Barkåker</t>
        </is>
      </c>
      <c r="D4966" s="18" t="n">
        <v>1910091</v>
      </c>
      <c r="E4966" s="18" t="n">
        <v>1714</v>
      </c>
      <c r="F4966" s="18" t="n"/>
      <c r="G4966" s="18" t="n"/>
      <c r="H4966" s="18" t="n"/>
      <c r="I4966" s="18" t="n"/>
      <c r="J4966" s="19" t="n">
        <v>0</v>
      </c>
      <c r="K4966" s="35" t="n">
        <v>0.065</v>
      </c>
    </row>
    <row r="4967">
      <c r="A4967" s="36" t="inlineStr">
        <is>
          <t>Pensjonspremie SPK</t>
        </is>
      </c>
      <c r="B4967" s="36" t="inlineStr">
        <is>
          <t>Region Sør</t>
        </is>
      </c>
      <c r="C4967" s="36" t="inlineStr">
        <is>
          <t>Avdeling Familiebehandling</t>
        </is>
      </c>
      <c r="D4967" s="26" t="n"/>
      <c r="E4967" s="26" t="n"/>
      <c r="F4967" s="26" t="n">
        <v>2890</v>
      </c>
      <c r="G4967" s="26" t="n"/>
      <c r="H4967" s="26" t="n"/>
      <c r="I4967" s="26" t="n"/>
      <c r="J4967" s="19" t="n">
        <v>0</v>
      </c>
      <c r="K4967" s="37" t="n">
        <v>0.065</v>
      </c>
    </row>
    <row r="4968">
      <c r="A4968" s="34" t="inlineStr">
        <is>
          <t>Pensjonspremie SPK</t>
        </is>
      </c>
      <c r="B4968" s="34" t="inlineStr">
        <is>
          <t>Region Sør</t>
        </is>
      </c>
      <c r="C4968" s="34" t="inlineStr">
        <is>
          <t>Avdeling Forvaltning og Økonomioppfølging</t>
        </is>
      </c>
      <c r="D4968" s="18" t="n">
        <v>637593</v>
      </c>
      <c r="E4968" s="18" t="n">
        <v>444291</v>
      </c>
      <c r="F4968" s="18" t="n">
        <v>387794</v>
      </c>
      <c r="G4968" s="18" t="n">
        <v>497170</v>
      </c>
      <c r="H4968" s="18" t="n">
        <v>622770</v>
      </c>
      <c r="I4968" s="18" t="n">
        <v>670679</v>
      </c>
      <c r="J4968" s="19" t="n">
        <v>684389.2436064719</v>
      </c>
      <c r="K4968" s="35" t="n">
        <v>0.01016945767884914</v>
      </c>
    </row>
    <row r="4969">
      <c r="A4969" s="36" t="inlineStr">
        <is>
          <t>Pensjonspremie SPK</t>
        </is>
      </c>
      <c r="B4969" s="36" t="inlineStr">
        <is>
          <t>Region Sør</t>
        </is>
      </c>
      <c r="C4969" s="36" t="inlineStr">
        <is>
          <t>Avdeling Furuly</t>
        </is>
      </c>
      <c r="D4969" s="26" t="n">
        <v>1327922</v>
      </c>
      <c r="E4969" s="26" t="n">
        <v>1171789</v>
      </c>
      <c r="F4969" s="26" t="n"/>
      <c r="G4969" s="26" t="n"/>
      <c r="H4969" s="26" t="n"/>
      <c r="I4969" s="26" t="n"/>
      <c r="J4969" s="19" t="n">
        <v>0</v>
      </c>
      <c r="K4969" s="37" t="n">
        <v>0.065</v>
      </c>
    </row>
    <row r="4970">
      <c r="A4970" s="34" t="inlineStr">
        <is>
          <t>Pensjonspremie SPK</t>
        </is>
      </c>
      <c r="B4970" s="34" t="inlineStr">
        <is>
          <t>Region Sør</t>
        </is>
      </c>
      <c r="C4970" s="34" t="inlineStr">
        <is>
          <t>Avdeling Geithus</t>
        </is>
      </c>
      <c r="D4970" s="18" t="n">
        <v>1697503</v>
      </c>
      <c r="E4970" s="18" t="n">
        <v>1396375</v>
      </c>
      <c r="F4970" s="18" t="n">
        <v>1268812</v>
      </c>
      <c r="G4970" s="18" t="n">
        <v>917105</v>
      </c>
      <c r="H4970" s="18" t="n">
        <v>6457</v>
      </c>
      <c r="I4970" s="18" t="n"/>
      <c r="J4970" s="19" t="n">
        <v>0</v>
      </c>
      <c r="K4970" s="35" t="n">
        <v>0.065</v>
      </c>
    </row>
    <row r="4971">
      <c r="A4971" s="36" t="inlineStr">
        <is>
          <t>Pensjonspremie SPK</t>
        </is>
      </c>
      <c r="B4971" s="36" t="inlineStr">
        <is>
          <t>Region Sør</t>
        </is>
      </c>
      <c r="C4971" s="36" t="inlineStr">
        <is>
          <t>Avdeling Gemini</t>
        </is>
      </c>
      <c r="D4971" s="26" t="n">
        <v>912897</v>
      </c>
      <c r="E4971" s="26" t="n">
        <v>955793</v>
      </c>
      <c r="F4971" s="26" t="n">
        <v>-1991</v>
      </c>
      <c r="G4971" s="26" t="n"/>
      <c r="H4971" s="26" t="n"/>
      <c r="I4971" s="26" t="n"/>
      <c r="J4971" s="19" t="n">
        <v>0</v>
      </c>
      <c r="K4971" s="37" t="n">
        <v>0.065</v>
      </c>
    </row>
    <row r="4972">
      <c r="A4972" s="34" t="inlineStr">
        <is>
          <t>Pensjonspremie SPK</t>
        </is>
      </c>
      <c r="B4972" s="34" t="inlineStr">
        <is>
          <t>Region Sør</t>
        </is>
      </c>
      <c r="C4972" s="34" t="inlineStr">
        <is>
          <t>Avdeling Kjørbekk</t>
        </is>
      </c>
      <c r="D4972" s="18" t="n">
        <v>1211059</v>
      </c>
      <c r="E4972" s="18" t="n">
        <v>1164917</v>
      </c>
      <c r="F4972" s="18" t="n">
        <v>1155691</v>
      </c>
      <c r="G4972" s="18" t="n">
        <v>1149288</v>
      </c>
      <c r="H4972" s="18" t="n">
        <v>1266760</v>
      </c>
      <c r="I4972" s="18" t="n">
        <v>1215622</v>
      </c>
      <c r="J4972" s="19" t="n">
        <v>1217452.010240291</v>
      </c>
      <c r="K4972" s="35" t="n">
        <v>0.0007524222287078608</v>
      </c>
    </row>
    <row r="4973">
      <c r="A4973" s="36" t="inlineStr">
        <is>
          <t>Pensjonspremie SPK</t>
        </is>
      </c>
      <c r="B4973" s="36" t="inlineStr">
        <is>
          <t>Region Sør</t>
        </is>
      </c>
      <c r="C4973" s="36" t="inlineStr">
        <is>
          <t>Avdeling Larønningen</t>
        </is>
      </c>
      <c r="D4973" s="26" t="n">
        <v>1177777</v>
      </c>
      <c r="E4973" s="26" t="n">
        <v>610263</v>
      </c>
      <c r="F4973" s="26" t="n"/>
      <c r="G4973" s="26" t="n"/>
      <c r="H4973" s="26" t="n"/>
      <c r="I4973" s="26" t="n"/>
      <c r="J4973" s="19" t="n">
        <v>0</v>
      </c>
      <c r="K4973" s="37" t="n">
        <v>0.065</v>
      </c>
    </row>
    <row r="4974">
      <c r="A4974" s="34" t="inlineStr">
        <is>
          <t>Pensjonspremie SPK</t>
        </is>
      </c>
      <c r="B4974" s="34" t="inlineStr">
        <is>
          <t>Region Sør</t>
        </is>
      </c>
      <c r="C4974" s="34" t="inlineStr">
        <is>
          <t>Avdeling Miljøheimen</t>
        </is>
      </c>
      <c r="D4974" s="18" t="n">
        <v>1048260</v>
      </c>
      <c r="E4974" s="18" t="n">
        <v>1048333</v>
      </c>
      <c r="F4974" s="18" t="n">
        <v>904919</v>
      </c>
      <c r="G4974" s="18" t="n">
        <v>945575</v>
      </c>
      <c r="H4974" s="18" t="n">
        <v>1008488</v>
      </c>
      <c r="I4974" s="18" t="n">
        <v>1260836</v>
      </c>
      <c r="J4974" s="19" t="n">
        <v>1357483.111040043</v>
      </c>
      <c r="K4974" s="35" t="n">
        <v>0.03761900406302443</v>
      </c>
    </row>
    <row r="4975">
      <c r="A4975" s="36" t="inlineStr">
        <is>
          <t>Pensjonspremie SPK</t>
        </is>
      </c>
      <c r="B4975" s="36" t="inlineStr">
        <is>
          <t>Region Sør</t>
        </is>
      </c>
      <c r="C4975" s="36" t="inlineStr">
        <is>
          <t>Avdeling Nes</t>
        </is>
      </c>
      <c r="D4975" s="26" t="n">
        <v>1286619</v>
      </c>
      <c r="E4975" s="26" t="n">
        <v>1271378</v>
      </c>
      <c r="F4975" s="26" t="n">
        <v>1064661</v>
      </c>
      <c r="G4975" s="26" t="n">
        <v>1054992</v>
      </c>
      <c r="H4975" s="26" t="n">
        <v>1331779</v>
      </c>
      <c r="I4975" s="26" t="n">
        <v>1433760</v>
      </c>
      <c r="J4975" s="19" t="n">
        <v>1497224.964178123</v>
      </c>
      <c r="K4975" s="37" t="n">
        <v>0.02189270743765381</v>
      </c>
    </row>
    <row r="4976">
      <c r="A4976" s="34" t="inlineStr">
        <is>
          <t>Pensjonspremie SPK</t>
        </is>
      </c>
      <c r="B4976" s="34" t="inlineStr">
        <is>
          <t>Region Sør</t>
        </is>
      </c>
      <c r="C4976" s="34" t="inlineStr">
        <is>
          <t>Avdeling Nyli</t>
        </is>
      </c>
      <c r="D4976" s="18" t="n">
        <v>1119326</v>
      </c>
      <c r="E4976" s="18" t="n">
        <v>458169</v>
      </c>
      <c r="F4976" s="18" t="n"/>
      <c r="G4976" s="18" t="n"/>
      <c r="H4976" s="18" t="n"/>
      <c r="I4976" s="18" t="n"/>
      <c r="J4976" s="19" t="n">
        <v>0</v>
      </c>
      <c r="K4976" s="35" t="n">
        <v>0.065</v>
      </c>
    </row>
    <row r="4977">
      <c r="A4977" s="36" t="inlineStr">
        <is>
          <t>Pensjonspremie SPK</t>
        </is>
      </c>
      <c r="B4977" s="36" t="inlineStr">
        <is>
          <t>Region Sør</t>
        </is>
      </c>
      <c r="C4977" s="36" t="inlineStr">
        <is>
          <t>Avdeling Orion</t>
        </is>
      </c>
      <c r="D4977" s="26" t="n">
        <v>1122468</v>
      </c>
      <c r="E4977" s="26" t="n">
        <v>932861</v>
      </c>
      <c r="F4977" s="26" t="n">
        <v>32688</v>
      </c>
      <c r="G4977" s="26" t="n"/>
      <c r="H4977" s="26" t="n"/>
      <c r="I4977" s="26" t="n"/>
      <c r="J4977" s="19" t="n">
        <v>0</v>
      </c>
      <c r="K4977" s="37" t="n">
        <v>0.065</v>
      </c>
    </row>
    <row r="4978">
      <c r="A4978" s="34" t="inlineStr">
        <is>
          <t>Pensjonspremie SPK</t>
        </is>
      </c>
      <c r="B4978" s="34" t="inlineStr">
        <is>
          <t>Region Sør</t>
        </is>
      </c>
      <c r="C4978" s="34" t="inlineStr">
        <is>
          <t>Avdeling Skomrak</t>
        </is>
      </c>
      <c r="D4978" s="18" t="n">
        <v>1270244</v>
      </c>
      <c r="E4978" s="18" t="n">
        <v>1152170</v>
      </c>
      <c r="F4978" s="18" t="n">
        <v>1099365</v>
      </c>
      <c r="G4978" s="18" t="n">
        <v>1185130</v>
      </c>
      <c r="H4978" s="18" t="n">
        <v>1144190</v>
      </c>
      <c r="I4978" s="18" t="n">
        <v>1148099</v>
      </c>
      <c r="J4978" s="19" t="n">
        <v>1102595.493886284</v>
      </c>
      <c r="K4978" s="35" t="n">
        <v>-0.0200172361472909</v>
      </c>
    </row>
    <row r="4979">
      <c r="A4979" s="36" t="inlineStr">
        <is>
          <t>Pensjonspremie SPK</t>
        </is>
      </c>
      <c r="B4979" s="36" t="inlineStr">
        <is>
          <t>Region Sør</t>
        </is>
      </c>
      <c r="C4979" s="36" t="inlineStr">
        <is>
          <t>Avdeling Vestre Kjenner</t>
        </is>
      </c>
      <c r="D4979" s="26" t="n">
        <v>940335</v>
      </c>
      <c r="E4979" s="26" t="n">
        <v>986844</v>
      </c>
      <c r="F4979" s="26" t="n">
        <v>197249</v>
      </c>
      <c r="G4979" s="26" t="n"/>
      <c r="H4979" s="26" t="n"/>
      <c r="I4979" s="26" t="n"/>
      <c r="J4979" s="19" t="n">
        <v>0</v>
      </c>
      <c r="K4979" s="37" t="n">
        <v>0.065</v>
      </c>
    </row>
    <row r="4980">
      <c r="A4980" s="34" t="inlineStr">
        <is>
          <t>Pensjonspremie SPK</t>
        </is>
      </c>
      <c r="B4980" s="34" t="inlineStr">
        <is>
          <t>Region Sør</t>
        </is>
      </c>
      <c r="C4980" s="34" t="inlineStr">
        <is>
          <t>Avdeling akutt</t>
        </is>
      </c>
      <c r="D4980" s="18" t="n">
        <v>-14511</v>
      </c>
      <c r="E4980" s="18" t="n"/>
      <c r="F4980" s="18" t="n"/>
      <c r="G4980" s="18" t="n"/>
      <c r="H4980" s="18" t="n"/>
      <c r="I4980" s="18" t="n"/>
      <c r="J4980" s="19" t="n">
        <v>0</v>
      </c>
      <c r="K4980" s="35" t="n">
        <v>0.065</v>
      </c>
    </row>
    <row r="4981">
      <c r="A4981" s="36" t="inlineStr">
        <is>
          <t>Pensjonspremie SPK</t>
        </is>
      </c>
      <c r="B4981" s="36" t="inlineStr">
        <is>
          <t>Region Sør</t>
        </is>
      </c>
      <c r="C4981" s="36" t="inlineStr">
        <is>
          <t>BVT behandling ungdom Adm</t>
        </is>
      </c>
      <c r="D4981" s="26" t="n">
        <v>121090</v>
      </c>
      <c r="E4981" s="26" t="n">
        <v>156713</v>
      </c>
      <c r="F4981" s="26" t="n">
        <v>120773</v>
      </c>
      <c r="G4981" s="26" t="n">
        <v>115492</v>
      </c>
      <c r="H4981" s="26" t="n"/>
      <c r="I4981" s="26" t="n"/>
      <c r="J4981" s="19" t="n">
        <v>0</v>
      </c>
      <c r="K4981" s="37" t="n">
        <v>0.065</v>
      </c>
    </row>
    <row r="4982">
      <c r="A4982" s="34" t="inlineStr">
        <is>
          <t>Pensjonspremie SPK</t>
        </is>
      </c>
      <c r="B4982" s="34" t="inlineStr">
        <is>
          <t>Region Sør</t>
        </is>
      </c>
      <c r="C4982" s="34" t="inlineStr">
        <is>
          <t>Barkåker ungdomssenter akutt.</t>
        </is>
      </c>
      <c r="D4982" s="18" t="n"/>
      <c r="E4982" s="18" t="n">
        <v>79732</v>
      </c>
      <c r="F4982" s="18" t="n">
        <v>70712</v>
      </c>
      <c r="G4982" s="18" t="n">
        <v>70854</v>
      </c>
      <c r="H4982" s="18" t="n">
        <v>75141</v>
      </c>
      <c r="I4982" s="18" t="n">
        <v>79052</v>
      </c>
      <c r="J4982" s="19" t="n">
        <v>78714.17788676257</v>
      </c>
      <c r="K4982" s="35" t="n">
        <v>-0.002138995851529213</v>
      </c>
    </row>
    <row r="4983">
      <c r="A4983" s="36" t="inlineStr">
        <is>
          <t>Pensjonspremie SPK</t>
        </is>
      </c>
      <c r="B4983" s="36" t="inlineStr">
        <is>
          <t>Region Sør</t>
        </is>
      </c>
      <c r="C4983" s="36" t="inlineStr">
        <is>
          <t>Barkåker.</t>
        </is>
      </c>
      <c r="D4983" s="26" t="n"/>
      <c r="E4983" s="26" t="n">
        <v>1564257</v>
      </c>
      <c r="F4983" s="26" t="n">
        <v>1452025</v>
      </c>
      <c r="G4983" s="26" t="n">
        <v>1775577</v>
      </c>
      <c r="H4983" s="26" t="n">
        <v>1788121</v>
      </c>
      <c r="I4983" s="26" t="n">
        <v>1730952</v>
      </c>
      <c r="J4983" s="19" t="n">
        <v>1820847.120862187</v>
      </c>
      <c r="K4983" s="37" t="n">
        <v>0.02563829830158881</v>
      </c>
    </row>
    <row r="4984">
      <c r="A4984" s="34" t="inlineStr">
        <is>
          <t>Pensjonspremie SPK</t>
        </is>
      </c>
      <c r="B4984" s="34" t="inlineStr">
        <is>
          <t>Region Sør</t>
        </is>
      </c>
      <c r="C4984" s="34" t="inlineStr">
        <is>
          <t>Buskerud ungdomshjem Adm</t>
        </is>
      </c>
      <c r="D4984" s="18" t="n">
        <v>58886</v>
      </c>
      <c r="E4984" s="18" t="n">
        <v>106971</v>
      </c>
      <c r="F4984" s="18" t="n">
        <v>1271</v>
      </c>
      <c r="G4984" s="18" t="n"/>
      <c r="H4984" s="18" t="n"/>
      <c r="I4984" s="18" t="n"/>
      <c r="J4984" s="19" t="n">
        <v>0</v>
      </c>
      <c r="K4984" s="35" t="n">
        <v>0.065</v>
      </c>
    </row>
    <row r="4985">
      <c r="A4985" s="36" t="inlineStr">
        <is>
          <t>Pensjonspremie SPK</t>
        </is>
      </c>
      <c r="B4985" s="36" t="inlineStr">
        <is>
          <t>Region Sør</t>
        </is>
      </c>
      <c r="C4985" s="36" t="inlineStr">
        <is>
          <t>Furuly</t>
        </is>
      </c>
      <c r="D4985" s="26" t="n"/>
      <c r="E4985" s="26" t="n"/>
      <c r="F4985" s="26" t="n">
        <v>1052326</v>
      </c>
      <c r="G4985" s="26" t="n">
        <v>1120297</v>
      </c>
      <c r="H4985" s="26" t="n">
        <v>1294415</v>
      </c>
      <c r="I4985" s="26" t="n">
        <v>1281301</v>
      </c>
      <c r="J4985" s="19" t="n">
        <v>1453283.626725</v>
      </c>
      <c r="K4985" s="37" t="n">
        <v>0.065</v>
      </c>
    </row>
    <row r="4986">
      <c r="A4986" s="34" t="inlineStr">
        <is>
          <t>Pensjonspremie SPK</t>
        </is>
      </c>
      <c r="B4986" s="34" t="inlineStr">
        <is>
          <t>Region Sør</t>
        </is>
      </c>
      <c r="C4986" s="34" t="inlineStr">
        <is>
          <t>Grøterød ungdomshjem</t>
        </is>
      </c>
      <c r="D4986" s="18" t="n"/>
      <c r="E4986" s="18" t="n">
        <v>61152</v>
      </c>
      <c r="F4986" s="18" t="n">
        <v>76646</v>
      </c>
      <c r="G4986" s="18" t="n">
        <v>77327</v>
      </c>
      <c r="H4986" s="18" t="n">
        <v>76584</v>
      </c>
      <c r="I4986" s="18" t="n">
        <v>382</v>
      </c>
      <c r="J4986" s="19" t="n">
        <v>214.875</v>
      </c>
      <c r="K4986" s="35" t="n">
        <v>-0.25</v>
      </c>
    </row>
    <row r="4987">
      <c r="A4987" s="36" t="inlineStr">
        <is>
          <t>Pensjonspremie SPK</t>
        </is>
      </c>
      <c r="B4987" s="36" t="inlineStr">
        <is>
          <t>Region Sør</t>
        </is>
      </c>
      <c r="C4987" s="36" t="inlineStr">
        <is>
          <t>Ilaug</t>
        </is>
      </c>
      <c r="D4987" s="26" t="n">
        <v>1179514</v>
      </c>
      <c r="E4987" s="26" t="n">
        <v>635427</v>
      </c>
      <c r="F4987" s="26" t="n">
        <v>149</v>
      </c>
      <c r="G4987" s="26" t="n"/>
      <c r="H4987" s="26" t="n"/>
      <c r="I4987" s="26" t="n"/>
      <c r="J4987" s="19" t="n">
        <v>0</v>
      </c>
      <c r="K4987" s="37" t="n">
        <v>0.065</v>
      </c>
    </row>
    <row r="4988">
      <c r="A4988" s="34" t="inlineStr">
        <is>
          <t>Pensjonspremie SPK</t>
        </is>
      </c>
      <c r="B4988" s="34" t="inlineStr">
        <is>
          <t>Region Sør</t>
        </is>
      </c>
      <c r="C4988" s="34" t="inlineStr">
        <is>
          <t>Justøya</t>
        </is>
      </c>
      <c r="D4988" s="18" t="n"/>
      <c r="E4988" s="18" t="n"/>
      <c r="F4988" s="18" t="n"/>
      <c r="G4988" s="18" t="n"/>
      <c r="H4988" s="18" t="n"/>
      <c r="I4988" s="18" t="n">
        <v>347632</v>
      </c>
      <c r="J4988" s="19" t="n">
        <v>394292.9051999999</v>
      </c>
      <c r="K4988" s="35" t="n">
        <v>0.065</v>
      </c>
    </row>
    <row r="4989">
      <c r="A4989" s="36" t="inlineStr">
        <is>
          <t>Pensjonspremie SPK</t>
        </is>
      </c>
      <c r="B4989" s="36" t="inlineStr">
        <is>
          <t>Region Sør</t>
        </is>
      </c>
      <c r="C4989" s="36" t="inlineStr">
        <is>
          <t>Justøya behandling ungdom</t>
        </is>
      </c>
      <c r="D4989" s="26" t="n"/>
      <c r="E4989" s="26" t="n"/>
      <c r="F4989" s="26" t="n"/>
      <c r="G4989" s="26" t="n"/>
      <c r="H4989" s="26" t="n"/>
      <c r="I4989" s="26" t="n">
        <v>13862</v>
      </c>
      <c r="J4989" s="19" t="n">
        <v>15722.62695</v>
      </c>
      <c r="K4989" s="37" t="n">
        <v>0.065</v>
      </c>
    </row>
    <row r="4990">
      <c r="A4990" s="34" t="inlineStr">
        <is>
          <t>Pensjonspremie SPK</t>
        </is>
      </c>
      <c r="B4990" s="34" t="inlineStr">
        <is>
          <t>Region Sør</t>
        </is>
      </c>
      <c r="C4990" s="34" t="inlineStr">
        <is>
          <t>Kantum</t>
        </is>
      </c>
      <c r="D4990" s="18" t="n">
        <v>751528</v>
      </c>
      <c r="E4990" s="18" t="n">
        <v>707445</v>
      </c>
      <c r="F4990" s="18" t="n">
        <v>613449</v>
      </c>
      <c r="G4990" s="18" t="n">
        <v>626698</v>
      </c>
      <c r="H4990" s="18" t="n">
        <v>836473</v>
      </c>
      <c r="I4990" s="18" t="n">
        <v>834414</v>
      </c>
      <c r="J4990" s="19" t="n">
        <v>870073.9151403339</v>
      </c>
      <c r="K4990" s="35" t="n">
        <v>0.02114468979884188</v>
      </c>
    </row>
    <row r="4991">
      <c r="A4991" s="36" t="inlineStr">
        <is>
          <t>Pensjonspremie SPK</t>
        </is>
      </c>
      <c r="B4991" s="36" t="inlineStr">
        <is>
          <t>Region Sør</t>
        </is>
      </c>
      <c r="C4991" s="36" t="inlineStr">
        <is>
          <t>Kartleggingsteam ungdom</t>
        </is>
      </c>
      <c r="D4991" s="26" t="n"/>
      <c r="E4991" s="26" t="n"/>
      <c r="F4991" s="26" t="n"/>
      <c r="G4991" s="26" t="n"/>
      <c r="H4991" s="26" t="n">
        <v>11006</v>
      </c>
      <c r="I4991" s="26" t="n">
        <v>-5937</v>
      </c>
      <c r="J4991" s="19" t="n">
        <v>-6733.893824999999</v>
      </c>
      <c r="K4991" s="37" t="n">
        <v>0.065</v>
      </c>
    </row>
    <row r="4992">
      <c r="A4992" s="34" t="inlineStr">
        <is>
          <t>Pensjonspremie SPK</t>
        </is>
      </c>
      <c r="B4992" s="34" t="inlineStr">
        <is>
          <t>Region Sør</t>
        </is>
      </c>
      <c r="C4992" s="34" t="inlineStr">
        <is>
          <t>Katfoss</t>
        </is>
      </c>
      <c r="D4992" s="18" t="n"/>
      <c r="E4992" s="18" t="n"/>
      <c r="F4992" s="18" t="n"/>
      <c r="G4992" s="18" t="n"/>
      <c r="H4992" s="18" t="n">
        <v>1341899</v>
      </c>
      <c r="I4992" s="18" t="n">
        <v>1810183</v>
      </c>
      <c r="J4992" s="19" t="n">
        <v>2053154.813175</v>
      </c>
      <c r="K4992" s="35" t="n">
        <v>0.065</v>
      </c>
    </row>
    <row r="4993">
      <c r="A4993" s="36" t="inlineStr">
        <is>
          <t>Pensjonspremie SPK</t>
        </is>
      </c>
      <c r="B4993" s="36" t="inlineStr">
        <is>
          <t>Region Sør</t>
        </is>
      </c>
      <c r="C4993" s="36" t="inlineStr">
        <is>
          <t>Katfoss behandling ungdom</t>
        </is>
      </c>
      <c r="D4993" s="26" t="n"/>
      <c r="E4993" s="26" t="n"/>
      <c r="F4993" s="26" t="n"/>
      <c r="G4993" s="26" t="n"/>
      <c r="H4993" s="26" t="n">
        <v>98857</v>
      </c>
      <c r="I4993" s="26" t="n">
        <v>61038</v>
      </c>
      <c r="J4993" s="19" t="n">
        <v>69230.82554999999</v>
      </c>
      <c r="K4993" s="37" t="n">
        <v>0.065</v>
      </c>
    </row>
    <row r="4994">
      <c r="A4994" s="34" t="inlineStr">
        <is>
          <t>Pensjonspremie SPK</t>
        </is>
      </c>
      <c r="B4994" s="34" t="inlineStr">
        <is>
          <t>Region Sør</t>
        </is>
      </c>
      <c r="C4994" s="34" t="inlineStr">
        <is>
          <t>Klokkerhuset</t>
        </is>
      </c>
      <c r="D4994" s="18" t="n">
        <v>1616803</v>
      </c>
      <c r="E4994" s="18" t="n">
        <v>1490988</v>
      </c>
      <c r="F4994" s="18" t="n">
        <v>1460191</v>
      </c>
      <c r="G4994" s="18" t="n">
        <v>1719568</v>
      </c>
      <c r="H4994" s="18" t="n">
        <v>1733492</v>
      </c>
      <c r="I4994" s="18" t="n">
        <v>1810157</v>
      </c>
      <c r="J4994" s="19" t="n">
        <v>1893825.234996672</v>
      </c>
      <c r="K4994" s="35" t="n">
        <v>0.0228497127759264</v>
      </c>
    </row>
    <row r="4995">
      <c r="A4995" s="36" t="inlineStr">
        <is>
          <t>Pensjonspremie SPK</t>
        </is>
      </c>
      <c r="B4995" s="36" t="inlineStr">
        <is>
          <t>Region Sør</t>
        </is>
      </c>
      <c r="C4995" s="36" t="inlineStr">
        <is>
          <t>Klokkerhuset ungdomssenter akutt</t>
        </is>
      </c>
      <c r="D4995" s="26" t="n">
        <v>81045</v>
      </c>
      <c r="E4995" s="26" t="n">
        <v>53790</v>
      </c>
      <c r="F4995" s="26" t="n">
        <v>37585</v>
      </c>
      <c r="G4995" s="26" t="n">
        <v>37594</v>
      </c>
      <c r="H4995" s="26" t="n">
        <v>50121</v>
      </c>
      <c r="I4995" s="26" t="n">
        <v>50696</v>
      </c>
      <c r="J4995" s="19" t="n">
        <v>42021.6093559408</v>
      </c>
      <c r="K4995" s="37" t="n">
        <v>-0.08956385019202695</v>
      </c>
    </row>
    <row r="4996">
      <c r="A4996" s="34" t="inlineStr">
        <is>
          <t>Pensjonspremie SPK</t>
        </is>
      </c>
      <c r="B4996" s="34" t="inlineStr">
        <is>
          <t>Region Sør</t>
        </is>
      </c>
      <c r="C4996" s="34" t="inlineStr">
        <is>
          <t>Knuten</t>
        </is>
      </c>
      <c r="D4996" s="18" t="n"/>
      <c r="E4996" s="18" t="n"/>
      <c r="F4996" s="18" t="n">
        <v>957283</v>
      </c>
      <c r="G4996" s="18" t="n">
        <v>973625</v>
      </c>
      <c r="H4996" s="18" t="n">
        <v>971421</v>
      </c>
      <c r="I4996" s="18" t="n">
        <v>895536</v>
      </c>
      <c r="J4996" s="19" t="n">
        <v>1015739.3196</v>
      </c>
      <c r="K4996" s="35" t="n">
        <v>0.065</v>
      </c>
    </row>
    <row r="4997">
      <c r="A4997" s="36" t="inlineStr">
        <is>
          <t>Pensjonspremie SPK</t>
        </is>
      </c>
      <c r="B4997" s="36" t="inlineStr">
        <is>
          <t>Region Sør</t>
        </is>
      </c>
      <c r="C4997" s="36" t="inlineStr">
        <is>
          <t>Lerketoppen</t>
        </is>
      </c>
      <c r="D4997" s="26" t="n"/>
      <c r="E4997" s="26" t="n"/>
      <c r="F4997" s="26" t="n"/>
      <c r="G4997" s="26" t="n"/>
      <c r="H4997" s="26" t="n">
        <v>561797</v>
      </c>
      <c r="I4997" s="26" t="n">
        <v>1422676</v>
      </c>
      <c r="J4997" s="19" t="n">
        <v>1613634.6861</v>
      </c>
      <c r="K4997" s="37" t="n">
        <v>0.065</v>
      </c>
    </row>
    <row r="4998">
      <c r="A4998" s="34" t="inlineStr">
        <is>
          <t>Pensjonspremie SPK</t>
        </is>
      </c>
      <c r="B4998" s="34" t="inlineStr">
        <is>
          <t>Region Sør</t>
        </is>
      </c>
      <c r="C4998" s="34" t="inlineStr">
        <is>
          <t>Lunde behandlingssenter</t>
        </is>
      </c>
      <c r="D4998" s="18" t="n">
        <v>2209745</v>
      </c>
      <c r="E4998" s="18" t="n">
        <v>1844215</v>
      </c>
      <c r="F4998" s="18" t="n">
        <v>1706533</v>
      </c>
      <c r="G4998" s="18" t="n">
        <v>1688946</v>
      </c>
      <c r="H4998" s="18" t="n">
        <v>1762476</v>
      </c>
      <c r="I4998" s="18" t="n">
        <v>1711559</v>
      </c>
      <c r="J4998" s="19" t="n">
        <v>1545296.284407731</v>
      </c>
      <c r="K4998" s="35" t="n">
        <v>-0.04981112146181277</v>
      </c>
    </row>
    <row r="4999">
      <c r="A4999" s="36" t="inlineStr">
        <is>
          <t>Pensjonspremie SPK</t>
        </is>
      </c>
      <c r="B4999" s="36" t="inlineStr">
        <is>
          <t>Region Sør</t>
        </is>
      </c>
      <c r="C4999" s="36" t="inlineStr">
        <is>
          <t>Lunde behandlingssenter adm.</t>
        </is>
      </c>
      <c r="D4999" s="26" t="n">
        <v>97969</v>
      </c>
      <c r="E4999" s="26" t="n">
        <v>83505</v>
      </c>
      <c r="F4999" s="26" t="n">
        <v>75170</v>
      </c>
      <c r="G4999" s="26" t="n">
        <v>49799</v>
      </c>
      <c r="H4999" s="26" t="n">
        <v>60648</v>
      </c>
      <c r="I4999" s="26" t="n">
        <v>70441</v>
      </c>
      <c r="J4999" s="19" t="n">
        <v>61733.40726681503</v>
      </c>
      <c r="K4999" s="37" t="n">
        <v>-0.0638458486189758</v>
      </c>
    </row>
    <row r="5000">
      <c r="A5000" s="34" t="inlineStr">
        <is>
          <t>Pensjonspremie SPK</t>
        </is>
      </c>
      <c r="B5000" s="34" t="inlineStr">
        <is>
          <t>Region Sør</t>
        </is>
      </c>
      <c r="C5000" s="34" t="inlineStr">
        <is>
          <t>Lågen ungdomshjem</t>
        </is>
      </c>
      <c r="D5000" s="18" t="n"/>
      <c r="E5000" s="18" t="n">
        <v>4215</v>
      </c>
      <c r="F5000" s="18" t="n">
        <v>102520</v>
      </c>
      <c r="G5000" s="18" t="n">
        <v>75170</v>
      </c>
      <c r="H5000" s="18" t="n">
        <v>62748</v>
      </c>
      <c r="I5000" s="18" t="n">
        <v>66316</v>
      </c>
      <c r="J5000" s="19" t="n">
        <v>103618.75</v>
      </c>
      <c r="K5000" s="35" t="n">
        <v>0.25</v>
      </c>
    </row>
    <row r="5001">
      <c r="A5001" s="36" t="inlineStr">
        <is>
          <t>Pensjonspremie SPK</t>
        </is>
      </c>
      <c r="B5001" s="36" t="inlineStr">
        <is>
          <t>Region Sør</t>
        </is>
      </c>
      <c r="C5001" s="36" t="inlineStr">
        <is>
          <t>Mynten</t>
        </is>
      </c>
      <c r="D5001" s="26" t="n"/>
      <c r="E5001" s="26" t="n">
        <v>23487</v>
      </c>
      <c r="F5001" s="26" t="n">
        <v>1029277</v>
      </c>
      <c r="G5001" s="26" t="n">
        <v>1147591</v>
      </c>
      <c r="H5001" s="26" t="n">
        <v>1113463</v>
      </c>
      <c r="I5001" s="26" t="n">
        <v>1136346</v>
      </c>
      <c r="J5001" s="19" t="n">
        <v>1775540.625</v>
      </c>
      <c r="K5001" s="37" t="n">
        <v>0.25</v>
      </c>
    </row>
    <row r="5002">
      <c r="A5002" s="34" t="inlineStr">
        <is>
          <t>Pensjonspremie SPK</t>
        </is>
      </c>
      <c r="B5002" s="34" t="inlineStr">
        <is>
          <t>Region Sør</t>
        </is>
      </c>
      <c r="C5002" s="34" t="inlineStr">
        <is>
          <t>Nye Toppen</t>
        </is>
      </c>
      <c r="D5002" s="18" t="n">
        <v>1336835</v>
      </c>
      <c r="E5002" s="18" t="n">
        <v>1159406</v>
      </c>
      <c r="F5002" s="18" t="n">
        <v>985731</v>
      </c>
      <c r="G5002" s="18" t="n">
        <v>1330134</v>
      </c>
      <c r="H5002" s="18" t="n">
        <v>1575569</v>
      </c>
      <c r="I5002" s="18" t="n">
        <v>1511330</v>
      </c>
      <c r="J5002" s="19" t="n">
        <v>1587347.095016826</v>
      </c>
      <c r="K5002" s="35" t="n">
        <v>0.02484054598344532</v>
      </c>
    </row>
    <row r="5003">
      <c r="A5003" s="36" t="inlineStr">
        <is>
          <t>Pensjonspremie SPK</t>
        </is>
      </c>
      <c r="B5003" s="36" t="inlineStr">
        <is>
          <t>Region Sør</t>
        </is>
      </c>
      <c r="C5003" s="36" t="inlineStr">
        <is>
          <t>Nyhuset</t>
        </is>
      </c>
      <c r="D5003" s="26" t="n"/>
      <c r="E5003" s="26" t="n"/>
      <c r="F5003" s="26" t="n"/>
      <c r="G5003" s="26" t="n">
        <v>1197802</v>
      </c>
      <c r="H5003" s="26" t="n">
        <v>1291471</v>
      </c>
      <c r="I5003" s="26" t="n">
        <v>1342903</v>
      </c>
      <c r="J5003" s="19" t="n">
        <v>1523154.155175</v>
      </c>
      <c r="K5003" s="37" t="n">
        <v>0.065</v>
      </c>
    </row>
    <row r="5004">
      <c r="A5004" s="34" t="inlineStr">
        <is>
          <t>Pensjonspremie SPK</t>
        </is>
      </c>
      <c r="B5004" s="34" t="inlineStr">
        <is>
          <t>Region Sør</t>
        </is>
      </c>
      <c r="C5004" s="34" t="inlineStr">
        <is>
          <t>Omsorg for ungdom</t>
        </is>
      </c>
      <c r="D5004" s="18" t="n">
        <v>118869</v>
      </c>
      <c r="E5004" s="18" t="n">
        <v>116</v>
      </c>
      <c r="F5004" s="18" t="n"/>
      <c r="G5004" s="18" t="n"/>
      <c r="H5004" s="18" t="n"/>
      <c r="I5004" s="18" t="n"/>
      <c r="J5004" s="19" t="n">
        <v>0</v>
      </c>
      <c r="K5004" s="35" t="n">
        <v>0.065</v>
      </c>
    </row>
    <row r="5005">
      <c r="A5005" s="36" t="inlineStr">
        <is>
          <t>Pensjonspremie SPK</t>
        </is>
      </c>
      <c r="B5005" s="36" t="inlineStr">
        <is>
          <t>Region Sør</t>
        </is>
      </c>
      <c r="C5005" s="36" t="inlineStr">
        <is>
          <t>Prosjekt Care</t>
        </is>
      </c>
      <c r="D5005" s="26" t="n"/>
      <c r="E5005" s="26" t="n">
        <v>8194</v>
      </c>
      <c r="F5005" s="26" t="n"/>
      <c r="G5005" s="26" t="n"/>
      <c r="H5005" s="26" t="n"/>
      <c r="I5005" s="26" t="n"/>
      <c r="J5005" s="19" t="n">
        <v>0</v>
      </c>
      <c r="K5005" s="37" t="n">
        <v>0.065</v>
      </c>
    </row>
    <row r="5006">
      <c r="A5006" s="34" t="inlineStr">
        <is>
          <t>Pensjonspremie SPK</t>
        </is>
      </c>
      <c r="B5006" s="34" t="inlineStr">
        <is>
          <t>Region Sør</t>
        </is>
      </c>
      <c r="C5006" s="34" t="inlineStr">
        <is>
          <t>Psykologteam</t>
        </is>
      </c>
      <c r="D5006" s="18" t="n"/>
      <c r="E5006" s="18" t="n">
        <v>265718</v>
      </c>
      <c r="F5006" s="18" t="n">
        <v>340860</v>
      </c>
      <c r="G5006" s="18" t="n">
        <v>445056</v>
      </c>
      <c r="H5006" s="18" t="n">
        <v>500266</v>
      </c>
      <c r="I5006" s="18" t="n">
        <v>480233</v>
      </c>
      <c r="J5006" s="19" t="n">
        <v>645605.9325798778</v>
      </c>
      <c r="K5006" s="35" t="n">
        <v>0.1594653012901366</v>
      </c>
    </row>
    <row r="5007">
      <c r="A5007" s="36" t="inlineStr">
        <is>
          <t>Pensjonspremie SPK</t>
        </is>
      </c>
      <c r="B5007" s="36" t="inlineStr">
        <is>
          <t>Region Sør</t>
        </is>
      </c>
      <c r="C5007" s="36" t="inlineStr">
        <is>
          <t>Regionale kostnader</t>
        </is>
      </c>
      <c r="D5007" s="26" t="n"/>
      <c r="E5007" s="26" t="n"/>
      <c r="F5007" s="26" t="n">
        <v>-1543846</v>
      </c>
      <c r="G5007" s="26" t="n">
        <v>-138825</v>
      </c>
      <c r="H5007" s="26" t="n">
        <v>412788</v>
      </c>
      <c r="I5007" s="26" t="n">
        <v>-435712</v>
      </c>
      <c r="J5007" s="19" t="n">
        <v>-494195.4431999999</v>
      </c>
      <c r="K5007" s="37" t="n">
        <v>0.065</v>
      </c>
    </row>
    <row r="5008">
      <c r="A5008" s="34" t="inlineStr">
        <is>
          <t>Pensjonspremie SPK</t>
        </is>
      </c>
      <c r="B5008" s="34" t="inlineStr">
        <is>
          <t>Region Sør</t>
        </is>
      </c>
      <c r="C5008" s="34" t="inlineStr">
        <is>
          <t>Ressursmiljø for trygghet og sikkerhet</t>
        </is>
      </c>
      <c r="D5008" s="18" t="n">
        <v>169785</v>
      </c>
      <c r="E5008" s="18" t="n">
        <v>176821</v>
      </c>
      <c r="F5008" s="18" t="n">
        <v>238153</v>
      </c>
      <c r="G5008" s="18" t="n">
        <v>246299</v>
      </c>
      <c r="H5008" s="18" t="n">
        <v>254823</v>
      </c>
      <c r="I5008" s="18" t="n">
        <v>295661</v>
      </c>
      <c r="J5008" s="19" t="n">
        <v>369106.7016197987</v>
      </c>
      <c r="K5008" s="35" t="n">
        <v>0.1173235292723325</v>
      </c>
    </row>
    <row r="5009">
      <c r="A5009" s="36" t="inlineStr">
        <is>
          <t>Pensjonspremie SPK</t>
        </is>
      </c>
      <c r="B5009" s="36" t="inlineStr">
        <is>
          <t>Region Sør</t>
        </is>
      </c>
      <c r="C5009" s="36" t="inlineStr">
        <is>
          <t>Skjerfheimkollektivet</t>
        </is>
      </c>
      <c r="D5009" s="26" t="n">
        <v>1720341</v>
      </c>
      <c r="E5009" s="26" t="n">
        <v>1220043</v>
      </c>
      <c r="F5009" s="26" t="n">
        <v>1197025</v>
      </c>
      <c r="G5009" s="26" t="n">
        <v>17575</v>
      </c>
      <c r="H5009" s="26" t="n"/>
      <c r="I5009" s="26" t="n"/>
      <c r="J5009" s="19" t="n">
        <v>0</v>
      </c>
      <c r="K5009" s="37" t="n">
        <v>0.065</v>
      </c>
    </row>
    <row r="5010">
      <c r="A5010" s="34" t="inlineStr">
        <is>
          <t>Pensjonspremie SPK</t>
        </is>
      </c>
      <c r="B5010" s="34" t="inlineStr">
        <is>
          <t>Region Sør</t>
        </is>
      </c>
      <c r="C5010" s="34" t="inlineStr">
        <is>
          <t>Skjerven rusbehandling ungdom</t>
        </is>
      </c>
      <c r="D5010" s="18" t="n"/>
      <c r="E5010" s="18" t="n"/>
      <c r="F5010" s="18" t="n"/>
      <c r="G5010" s="18" t="n">
        <v>77643</v>
      </c>
      <c r="H5010" s="18" t="n">
        <v>81914</v>
      </c>
      <c r="I5010" s="18" t="n">
        <v>57471</v>
      </c>
      <c r="J5010" s="19" t="n">
        <v>65185.04497499999</v>
      </c>
      <c r="K5010" s="35" t="n">
        <v>0.065</v>
      </c>
    </row>
    <row r="5011">
      <c r="A5011" s="36" t="inlineStr">
        <is>
          <t>Pensjonspremie SPK</t>
        </is>
      </c>
      <c r="B5011" s="36" t="inlineStr">
        <is>
          <t>Region Sør</t>
        </is>
      </c>
      <c r="C5011" s="36" t="inlineStr">
        <is>
          <t>Spisskompetansemiljø for akuttarbeid</t>
        </is>
      </c>
      <c r="D5011" s="26" t="n">
        <v>80260</v>
      </c>
      <c r="E5011" s="26" t="n">
        <v>135105</v>
      </c>
      <c r="F5011" s="26" t="n">
        <v>245495</v>
      </c>
      <c r="G5011" s="26" t="n">
        <v>260183</v>
      </c>
      <c r="H5011" s="26" t="n">
        <v>260179</v>
      </c>
      <c r="I5011" s="26" t="n">
        <v>220632</v>
      </c>
      <c r="J5011" s="19" t="n">
        <v>330625.4194884438</v>
      </c>
      <c r="K5011" s="37" t="n">
        <v>0.224147836288551</v>
      </c>
    </row>
    <row r="5012">
      <c r="A5012" s="34" t="inlineStr">
        <is>
          <t>Pensjonspremie SPK</t>
        </is>
      </c>
      <c r="B5012" s="34" t="inlineStr">
        <is>
          <t>Region Sør</t>
        </is>
      </c>
      <c r="C5012" s="34" t="inlineStr">
        <is>
          <t>St. Hansgården ungdomssenter akutt</t>
        </is>
      </c>
      <c r="D5012" s="18" t="n">
        <v>97969</v>
      </c>
      <c r="E5012" s="18" t="n">
        <v>61217</v>
      </c>
      <c r="F5012" s="18" t="n">
        <v>75170</v>
      </c>
      <c r="G5012" s="18" t="n">
        <v>75187</v>
      </c>
      <c r="H5012" s="18" t="n">
        <v>78037</v>
      </c>
      <c r="I5012" s="18" t="n">
        <v>68180</v>
      </c>
      <c r="J5012" s="19" t="n">
        <v>58977.223827624</v>
      </c>
      <c r="K5012" s="35" t="n">
        <v>-0.06993422271980121</v>
      </c>
    </row>
    <row r="5013">
      <c r="A5013" s="36" t="inlineStr">
        <is>
          <t>Pensjonspremie SPK</t>
        </is>
      </c>
      <c r="B5013" s="36" t="inlineStr">
        <is>
          <t>Region Sør</t>
        </is>
      </c>
      <c r="C5013" s="36" t="inlineStr">
        <is>
          <t>St.Hansgården</t>
        </is>
      </c>
      <c r="D5013" s="26" t="n">
        <v>1664951</v>
      </c>
      <c r="E5013" s="26" t="n">
        <v>1389534</v>
      </c>
      <c r="F5013" s="26" t="n">
        <v>1313788</v>
      </c>
      <c r="G5013" s="26" t="n">
        <v>1549460</v>
      </c>
      <c r="H5013" s="26" t="n">
        <v>1824884</v>
      </c>
      <c r="I5013" s="26" t="n">
        <v>1813470</v>
      </c>
      <c r="J5013" s="19" t="n">
        <v>1876523.221434516</v>
      </c>
      <c r="K5013" s="37" t="n">
        <v>0.01723614595064227</v>
      </c>
    </row>
    <row r="5014">
      <c r="A5014" s="34" t="inlineStr">
        <is>
          <t>Pensjonspremie SPK</t>
        </is>
      </c>
      <c r="B5014" s="34" t="inlineStr">
        <is>
          <t>Region Sør</t>
        </is>
      </c>
      <c r="C5014" s="34" t="inlineStr">
        <is>
          <t>Stokke barnesenter</t>
        </is>
      </c>
      <c r="D5014" s="18" t="n"/>
      <c r="E5014" s="18" t="n"/>
      <c r="F5014" s="18" t="n"/>
      <c r="G5014" s="18" t="n"/>
      <c r="H5014" s="18" t="n">
        <v>77499</v>
      </c>
      <c r="I5014" s="18" t="n">
        <v>80321</v>
      </c>
      <c r="J5014" s="19" t="n">
        <v>91102.08622499999</v>
      </c>
      <c r="K5014" s="35" t="n">
        <v>0.065</v>
      </c>
    </row>
    <row r="5015">
      <c r="A5015" s="36" t="inlineStr">
        <is>
          <t>Pensjonspremie SPK</t>
        </is>
      </c>
      <c r="B5015" s="36" t="inlineStr">
        <is>
          <t>Region Sør</t>
        </is>
      </c>
      <c r="C5015" s="36" t="inlineStr">
        <is>
          <t>Sundstedtråkka</t>
        </is>
      </c>
      <c r="D5015" s="26" t="n">
        <v>1552615</v>
      </c>
      <c r="E5015" s="26" t="n">
        <v>1255611</v>
      </c>
      <c r="F5015" s="26" t="n">
        <v>1202823</v>
      </c>
      <c r="G5015" s="26" t="n">
        <v>1320796</v>
      </c>
      <c r="H5015" s="26" t="n">
        <v>1606410</v>
      </c>
      <c r="I5015" s="26" t="n">
        <v>1613692</v>
      </c>
      <c r="J5015" s="19" t="n">
        <v>1638790.332435301</v>
      </c>
      <c r="K5015" s="37" t="n">
        <v>0.007746674464750303</v>
      </c>
    </row>
    <row r="5016">
      <c r="A5016" s="34" t="inlineStr">
        <is>
          <t>Pensjonspremie SPK</t>
        </is>
      </c>
      <c r="B5016" s="34" t="inlineStr">
        <is>
          <t>Region Sør</t>
        </is>
      </c>
      <c r="C5016" s="34" t="inlineStr">
        <is>
          <t>Sundstedtråkka ungdomssenter akutt</t>
        </is>
      </c>
      <c r="D5016" s="18" t="n">
        <v>69333</v>
      </c>
      <c r="E5016" s="18" t="n">
        <v>58205</v>
      </c>
      <c r="F5016" s="18" t="n">
        <v>52277</v>
      </c>
      <c r="G5016" s="18" t="n">
        <v>52676</v>
      </c>
      <c r="H5016" s="18" t="n">
        <v>52220</v>
      </c>
      <c r="I5016" s="18" t="n">
        <v>92440</v>
      </c>
      <c r="J5016" s="19" t="n">
        <v>103711.7385711864</v>
      </c>
      <c r="K5016" s="35" t="n">
        <v>0.05921467448592588</v>
      </c>
    </row>
    <row r="5017">
      <c r="A5017" s="36" t="inlineStr">
        <is>
          <t>Pensjonspremie SPK</t>
        </is>
      </c>
      <c r="B5017" s="36" t="inlineStr">
        <is>
          <t>Region Sør</t>
        </is>
      </c>
      <c r="C5017" s="36" t="inlineStr">
        <is>
          <t>Svenner</t>
        </is>
      </c>
      <c r="D5017" s="26" t="n"/>
      <c r="E5017" s="26" t="n">
        <v>400474</v>
      </c>
      <c r="F5017" s="26" t="n">
        <v>1065545</v>
      </c>
      <c r="G5017" s="26" t="n">
        <v>1196606</v>
      </c>
      <c r="H5017" s="26" t="n">
        <v>1182275</v>
      </c>
      <c r="I5017" s="26" t="n">
        <v>1140867</v>
      </c>
      <c r="J5017" s="19" t="n">
        <v>1782604.6875</v>
      </c>
      <c r="K5017" s="37" t="n">
        <v>0.25</v>
      </c>
    </row>
    <row r="5018">
      <c r="A5018" s="34" t="inlineStr">
        <is>
          <t>Pensjonspremie SPK</t>
        </is>
      </c>
      <c r="B5018" s="34" t="inlineStr">
        <is>
          <t>Region Sør</t>
        </is>
      </c>
      <c r="C5018" s="34" t="inlineStr">
        <is>
          <t>TFCO Drammen</t>
        </is>
      </c>
      <c r="D5018" s="18" t="n">
        <v>447728</v>
      </c>
      <c r="E5018" s="18" t="n">
        <v>415584</v>
      </c>
      <c r="F5018" s="18" t="n">
        <v>467615</v>
      </c>
      <c r="G5018" s="18" t="n">
        <v>152537</v>
      </c>
      <c r="H5018" s="18" t="n"/>
      <c r="I5018" s="18" t="n"/>
      <c r="J5018" s="19" t="n">
        <v>0</v>
      </c>
      <c r="K5018" s="35" t="n">
        <v>0.065</v>
      </c>
    </row>
    <row r="5019">
      <c r="A5019" s="36" t="inlineStr">
        <is>
          <t>Pensjonspremie SPK</t>
        </is>
      </c>
      <c r="B5019" s="36" t="inlineStr">
        <is>
          <t>Region Sør</t>
        </is>
      </c>
      <c r="C5019" s="36" t="inlineStr">
        <is>
          <t>Telemark ungdomssenter</t>
        </is>
      </c>
      <c r="D5019" s="26" t="n">
        <v>71233</v>
      </c>
      <c r="E5019" s="26" t="n">
        <v>125656</v>
      </c>
      <c r="F5019" s="26" t="n">
        <v>92774</v>
      </c>
      <c r="G5019" s="26" t="n">
        <v>134828</v>
      </c>
      <c r="H5019" s="26" t="n">
        <v>139543</v>
      </c>
      <c r="I5019" s="26" t="n">
        <v>105540</v>
      </c>
      <c r="J5019" s="19" t="n">
        <v>123512.6477175683</v>
      </c>
      <c r="K5019" s="37" t="n">
        <v>0.08180048281019836</v>
      </c>
    </row>
    <row r="5020">
      <c r="A5020" s="34" t="inlineStr">
        <is>
          <t>Pensjonspremie SPK</t>
        </is>
      </c>
      <c r="B5020" s="34" t="inlineStr">
        <is>
          <t>Region Sør</t>
        </is>
      </c>
      <c r="C5020" s="34" t="inlineStr">
        <is>
          <t>Thorøya</t>
        </is>
      </c>
      <c r="D5020" s="18" t="n">
        <v>2014106</v>
      </c>
      <c r="E5020" s="18" t="n">
        <v>1638393</v>
      </c>
      <c r="F5020" s="18" t="n">
        <v>1613199</v>
      </c>
      <c r="G5020" s="18" t="n">
        <v>1753200</v>
      </c>
      <c r="H5020" s="18" t="n">
        <v>1752713</v>
      </c>
      <c r="I5020" s="18" t="n">
        <v>1634765</v>
      </c>
      <c r="J5020" s="19" t="n">
        <v>1503850.048239712</v>
      </c>
      <c r="K5020" s="35" t="n">
        <v>-0.04087634640658622</v>
      </c>
    </row>
    <row r="5021">
      <c r="A5021" s="36" t="inlineStr">
        <is>
          <t>Pensjonspremie SPK</t>
        </is>
      </c>
      <c r="B5021" s="36" t="inlineStr">
        <is>
          <t>Region Sør</t>
        </is>
      </c>
      <c r="C5021" s="36" t="inlineStr">
        <is>
          <t>Thorøya ungdomshjem</t>
        </is>
      </c>
      <c r="D5021" s="26" t="n"/>
      <c r="E5021" s="26" t="n"/>
      <c r="F5021" s="26" t="n">
        <v>44299</v>
      </c>
      <c r="G5021" s="26" t="n">
        <v>45097</v>
      </c>
      <c r="H5021" s="26" t="n">
        <v>29365</v>
      </c>
      <c r="I5021" s="26" t="n">
        <v>317</v>
      </c>
      <c r="J5021" s="19" t="n">
        <v>359.549325</v>
      </c>
      <c r="K5021" s="37" t="n">
        <v>0.065</v>
      </c>
    </row>
    <row r="5022">
      <c r="A5022" s="34" t="inlineStr">
        <is>
          <t>Pensjonspremie SPK</t>
        </is>
      </c>
      <c r="B5022" s="34" t="inlineStr">
        <is>
          <t>Region Sør</t>
        </is>
      </c>
      <c r="C5022" s="34" t="inlineStr">
        <is>
          <t>Ulabrand</t>
        </is>
      </c>
      <c r="D5022" s="18" t="n"/>
      <c r="E5022" s="18" t="n">
        <v>315292</v>
      </c>
      <c r="F5022" s="18" t="n">
        <v>740257</v>
      </c>
      <c r="G5022" s="18" t="n">
        <v>929585</v>
      </c>
      <c r="H5022" s="18" t="n">
        <v>1000055</v>
      </c>
      <c r="I5022" s="18" t="n">
        <v>920161</v>
      </c>
      <c r="J5022" s="19" t="n">
        <v>1437751.5625</v>
      </c>
      <c r="K5022" s="35" t="n">
        <v>0.25</v>
      </c>
    </row>
    <row r="5023">
      <c r="A5023" s="36" t="inlineStr">
        <is>
          <t>Pensjonspremie SPK</t>
        </is>
      </c>
      <c r="B5023" s="36" t="inlineStr">
        <is>
          <t>Region Sør</t>
        </is>
      </c>
      <c r="C5023" s="36" t="inlineStr">
        <is>
          <t>Vestfold ungdomssenter</t>
        </is>
      </c>
      <c r="D5023" s="26" t="n"/>
      <c r="E5023" s="26" t="n"/>
      <c r="F5023" s="26" t="n"/>
      <c r="G5023" s="26" t="n"/>
      <c r="H5023" s="26" t="n"/>
      <c r="I5023" s="26" t="n">
        <v>97396</v>
      </c>
      <c r="J5023" s="19" t="n">
        <v>110468.9781</v>
      </c>
      <c r="K5023" s="37" t="n">
        <v>0.065</v>
      </c>
    </row>
    <row r="5024">
      <c r="A5024" s="34" t="inlineStr">
        <is>
          <t>Pensjonspremie SPK</t>
        </is>
      </c>
      <c r="B5024" s="34" t="inlineStr">
        <is>
          <t>Region Vest</t>
        </is>
      </c>
      <c r="C5024" s="34" t="inlineStr">
        <is>
          <t>Barn og familier (F2)</t>
        </is>
      </c>
      <c r="D5024" s="18" t="n"/>
      <c r="E5024" s="18" t="n"/>
      <c r="F5024" s="18" t="n"/>
      <c r="G5024" s="18" t="n"/>
      <c r="H5024" s="18" t="n"/>
      <c r="I5024" s="18" t="n">
        <v>9336</v>
      </c>
      <c r="J5024" s="19" t="n">
        <v>10589.1246</v>
      </c>
      <c r="K5024" s="35" t="n">
        <v>0.065</v>
      </c>
    </row>
    <row r="5025">
      <c r="A5025" s="36" t="inlineStr">
        <is>
          <t>Pensjonspremie SPK</t>
        </is>
      </c>
      <c r="B5025" s="36" t="inlineStr">
        <is>
          <t>Region Vest</t>
        </is>
      </c>
      <c r="C5025" s="36" t="inlineStr">
        <is>
          <t>Bergen Akutts. Administrasjonen</t>
        </is>
      </c>
      <c r="D5025" s="26" t="n">
        <v>103163</v>
      </c>
      <c r="E5025" s="26" t="n">
        <v>52190</v>
      </c>
      <c r="F5025" s="26" t="n">
        <v>67852</v>
      </c>
      <c r="G5025" s="26" t="n">
        <v>91393</v>
      </c>
      <c r="H5025" s="26" t="n">
        <v>85732</v>
      </c>
      <c r="I5025" s="26" t="n">
        <v>86495</v>
      </c>
      <c r="J5025" s="19" t="n">
        <v>80607.93934222333</v>
      </c>
      <c r="K5025" s="37" t="n">
        <v>-0.03463086798841952</v>
      </c>
    </row>
    <row r="5026">
      <c r="A5026" s="34" t="inlineStr">
        <is>
          <t>Pensjonspremie SPK</t>
        </is>
      </c>
      <c r="B5026" s="34" t="inlineStr">
        <is>
          <t>Region Vest</t>
        </is>
      </c>
      <c r="C5026" s="34" t="inlineStr">
        <is>
          <t>Bergen Akutts. avd. Nattland</t>
        </is>
      </c>
      <c r="D5026" s="18" t="n">
        <v>1277242</v>
      </c>
      <c r="E5026" s="18" t="n">
        <v>1217861</v>
      </c>
      <c r="F5026" s="18" t="n">
        <v>1105412</v>
      </c>
      <c r="G5026" s="18" t="n">
        <v>1104523</v>
      </c>
      <c r="H5026" s="18" t="n">
        <v>1179944</v>
      </c>
      <c r="I5026" s="18" t="n">
        <v>1338906</v>
      </c>
      <c r="J5026" s="19" t="n">
        <v>1364397.28454533</v>
      </c>
      <c r="K5026" s="35" t="n">
        <v>0.009474561525306457</v>
      </c>
    </row>
    <row r="5027">
      <c r="A5027" s="36" t="inlineStr">
        <is>
          <t>Pensjonspremie SPK</t>
        </is>
      </c>
      <c r="B5027" s="36" t="inlineStr">
        <is>
          <t>Region Vest</t>
        </is>
      </c>
      <c r="C5027" s="36" t="inlineStr">
        <is>
          <t>Bergen Akutts. avd. Toppe</t>
        </is>
      </c>
      <c r="D5027" s="26" t="n">
        <v>2125107</v>
      </c>
      <c r="E5027" s="26" t="n">
        <v>1929766</v>
      </c>
      <c r="F5027" s="26" t="n">
        <v>1617565</v>
      </c>
      <c r="G5027" s="26" t="n">
        <v>1743221</v>
      </c>
      <c r="H5027" s="26" t="n">
        <v>1817924</v>
      </c>
      <c r="I5027" s="26" t="n">
        <v>1914955</v>
      </c>
      <c r="J5027" s="19" t="n">
        <v>1836833.033976337</v>
      </c>
      <c r="K5027" s="37" t="n">
        <v>-0.02061025070292388</v>
      </c>
    </row>
    <row r="5028">
      <c r="A5028" s="34" t="inlineStr">
        <is>
          <t>Pensjonspremie SPK</t>
        </is>
      </c>
      <c r="B5028" s="34" t="inlineStr">
        <is>
          <t>Region Vest</t>
        </is>
      </c>
      <c r="C5028" s="34" t="inlineStr">
        <is>
          <t>Bjørgvin Ungdomssenter avd. trygghet og sikkerhet</t>
        </is>
      </c>
      <c r="D5028" s="18" t="n"/>
      <c r="E5028" s="18" t="n"/>
      <c r="F5028" s="18" t="n"/>
      <c r="G5028" s="18" t="n"/>
      <c r="H5028" s="18" t="n"/>
      <c r="I5028" s="18" t="n">
        <v>181227</v>
      </c>
      <c r="J5028" s="19" t="n">
        <v>205552.194075</v>
      </c>
      <c r="K5028" s="35" t="n">
        <v>0.065</v>
      </c>
    </row>
    <row r="5029">
      <c r="A5029" s="36" t="inlineStr">
        <is>
          <t>Pensjonspremie SPK</t>
        </is>
      </c>
      <c r="B5029" s="36" t="inlineStr">
        <is>
          <t>Region Vest</t>
        </is>
      </c>
      <c r="C5029" s="36" t="inlineStr">
        <is>
          <t>Bjørgvin Ungdomssenter, Bønesskogen</t>
        </is>
      </c>
      <c r="D5029" s="26" t="n">
        <v>856519</v>
      </c>
      <c r="E5029" s="26" t="n">
        <v>797583</v>
      </c>
      <c r="F5029" s="26" t="n">
        <v>815448</v>
      </c>
      <c r="G5029" s="26" t="n">
        <v>872039</v>
      </c>
      <c r="H5029" s="26" t="n">
        <v>931608</v>
      </c>
      <c r="I5029" s="26" t="n">
        <v>928998</v>
      </c>
      <c r="J5029" s="19" t="n">
        <v>959678.7758838687</v>
      </c>
      <c r="K5029" s="37" t="n">
        <v>0.01637870111747697</v>
      </c>
    </row>
    <row r="5030">
      <c r="A5030" s="34" t="inlineStr">
        <is>
          <t>Pensjonspremie SPK</t>
        </is>
      </c>
      <c r="B5030" s="34" t="inlineStr">
        <is>
          <t>Region Vest</t>
        </is>
      </c>
      <c r="C5030" s="34" t="inlineStr">
        <is>
          <t>Bjørgvin Ungdomssenter, Bønesstølen</t>
        </is>
      </c>
      <c r="D5030" s="18" t="n">
        <v>930402</v>
      </c>
      <c r="E5030" s="18" t="n">
        <v>825532</v>
      </c>
      <c r="F5030" s="18" t="n">
        <v>723828</v>
      </c>
      <c r="G5030" s="18" t="n">
        <v>873496</v>
      </c>
      <c r="H5030" s="18" t="n">
        <v>981840</v>
      </c>
      <c r="I5030" s="18" t="n">
        <v>932378</v>
      </c>
      <c r="J5030" s="19" t="n">
        <v>933169.5745646387</v>
      </c>
      <c r="K5030" s="35" t="n">
        <v>0.0004244022420440974</v>
      </c>
    </row>
    <row r="5031">
      <c r="A5031" s="36" t="inlineStr">
        <is>
          <t>Pensjonspremie SPK</t>
        </is>
      </c>
      <c r="B5031" s="36" t="inlineStr">
        <is>
          <t>Region Vest</t>
        </is>
      </c>
      <c r="C5031" s="36" t="inlineStr">
        <is>
          <t>Bjørgvin Ungdomssenter, administrasjon</t>
        </is>
      </c>
      <c r="D5031" s="26" t="n">
        <v>391650</v>
      </c>
      <c r="E5031" s="26" t="n">
        <v>331138</v>
      </c>
      <c r="F5031" s="26" t="n">
        <v>325597</v>
      </c>
      <c r="G5031" s="26" t="n">
        <v>372114</v>
      </c>
      <c r="H5031" s="26" t="n">
        <v>378098</v>
      </c>
      <c r="I5031" s="26" t="n">
        <v>244276</v>
      </c>
      <c r="J5031" s="19" t="n">
        <v>202243.1716562117</v>
      </c>
      <c r="K5031" s="37" t="n">
        <v>-0.09009398957145243</v>
      </c>
    </row>
    <row r="5032">
      <c r="A5032" s="34" t="inlineStr">
        <is>
          <t>Pensjonspremie SPK</t>
        </is>
      </c>
      <c r="B5032" s="34" t="inlineStr">
        <is>
          <t>Region Vest</t>
        </is>
      </c>
      <c r="C5032" s="34" t="inlineStr">
        <is>
          <t>Driftsavdelingen</t>
        </is>
      </c>
      <c r="D5032" s="18" t="n">
        <v>177403</v>
      </c>
      <c r="E5032" s="18" t="n">
        <v>141194</v>
      </c>
      <c r="F5032" s="18" t="n">
        <v>111192</v>
      </c>
      <c r="G5032" s="18" t="n">
        <v>111549</v>
      </c>
      <c r="H5032" s="18" t="n">
        <v>120644</v>
      </c>
      <c r="I5032" s="18" t="n">
        <v>116430</v>
      </c>
      <c r="J5032" s="19" t="n">
        <v>98379.92169289697</v>
      </c>
      <c r="K5032" s="35" t="n">
        <v>-0.08077720068592131</v>
      </c>
    </row>
    <row r="5033">
      <c r="A5033" s="36" t="inlineStr">
        <is>
          <t>Pensjonspremie SPK</t>
        </is>
      </c>
      <c r="B5033" s="36" t="inlineStr">
        <is>
          <t>Region Vest</t>
        </is>
      </c>
      <c r="C5033" s="36" t="inlineStr">
        <is>
          <t>Eikelund US avd. beh. høy</t>
        </is>
      </c>
      <c r="D5033" s="26" t="n"/>
      <c r="E5033" s="26" t="n"/>
      <c r="F5033" s="26" t="n"/>
      <c r="G5033" s="26" t="n"/>
      <c r="H5033" s="26" t="n"/>
      <c r="I5033" s="26" t="n">
        <v>657615</v>
      </c>
      <c r="J5033" s="19" t="n">
        <v>745883.3733749999</v>
      </c>
      <c r="K5033" s="37" t="n">
        <v>0.065</v>
      </c>
    </row>
    <row r="5034">
      <c r="A5034" s="34" t="inlineStr">
        <is>
          <t>Pensjonspremie SPK</t>
        </is>
      </c>
      <c r="B5034" s="34" t="inlineStr">
        <is>
          <t>Region Vest</t>
        </is>
      </c>
      <c r="C5034" s="34" t="inlineStr">
        <is>
          <t>Eikelund ungdomssenter behandling høy</t>
        </is>
      </c>
      <c r="D5034" s="18" t="n"/>
      <c r="E5034" s="18" t="n"/>
      <c r="F5034" s="18" t="n"/>
      <c r="G5034" s="18" t="n"/>
      <c r="H5034" s="18" t="n"/>
      <c r="I5034" s="18" t="n">
        <v>88049</v>
      </c>
      <c r="J5034" s="19" t="n">
        <v>99867.37702499998</v>
      </c>
      <c r="K5034" s="35" t="n">
        <v>0.065</v>
      </c>
    </row>
    <row r="5035">
      <c r="A5035" s="36" t="inlineStr">
        <is>
          <t>Pensjonspremie SPK</t>
        </is>
      </c>
      <c r="B5035" s="36" t="inlineStr">
        <is>
          <t>Region Vest</t>
        </is>
      </c>
      <c r="C5035" s="36" t="inlineStr">
        <is>
          <t>Enhet for inntak Bufetat region vest, avd. Vestland</t>
        </is>
      </c>
      <c r="D5035" s="26" t="n">
        <v>31905</v>
      </c>
      <c r="E5035" s="26" t="n">
        <v>-31905</v>
      </c>
      <c r="F5035" s="26" t="n">
        <v>47787</v>
      </c>
      <c r="G5035" s="26" t="n"/>
      <c r="H5035" s="26" t="n"/>
      <c r="I5035" s="26" t="n"/>
      <c r="J5035" s="19" t="n">
        <v>0</v>
      </c>
      <c r="K5035" s="37" t="n">
        <v>0.065</v>
      </c>
    </row>
    <row r="5036">
      <c r="A5036" s="34" t="inlineStr">
        <is>
          <t>Pensjonspremie SPK</t>
        </is>
      </c>
      <c r="B5036" s="34" t="inlineStr">
        <is>
          <t>Region Vest</t>
        </is>
      </c>
      <c r="C5036" s="34" t="inlineStr">
        <is>
          <t>Fagforening</t>
        </is>
      </c>
      <c r="D5036" s="18" t="n">
        <v>29629</v>
      </c>
      <c r="E5036" s="18" t="n"/>
      <c r="F5036" s="18" t="n"/>
      <c r="G5036" s="18" t="n"/>
      <c r="H5036" s="18" t="n"/>
      <c r="I5036" s="18" t="n"/>
      <c r="J5036" s="19" t="n">
        <v>0</v>
      </c>
      <c r="K5036" s="35" t="n">
        <v>0.065</v>
      </c>
    </row>
    <row r="5037">
      <c r="A5037" s="36" t="inlineStr">
        <is>
          <t>Pensjonspremie SPK</t>
        </is>
      </c>
      <c r="B5037" s="36" t="inlineStr">
        <is>
          <t>Region Vest</t>
        </is>
      </c>
      <c r="C5037" s="36" t="inlineStr">
        <is>
          <t>Kasa Ungdomssenter avd. Flatøy</t>
        </is>
      </c>
      <c r="D5037" s="26" t="n">
        <v>788031</v>
      </c>
      <c r="E5037" s="26" t="n">
        <v>645446</v>
      </c>
      <c r="F5037" s="26" t="n">
        <v>498616</v>
      </c>
      <c r="G5037" s="26" t="n">
        <v>623730</v>
      </c>
      <c r="H5037" s="26" t="n">
        <v>718323</v>
      </c>
      <c r="I5037" s="26" t="n">
        <v>745588</v>
      </c>
      <c r="J5037" s="19" t="n">
        <v>729257.9167282458</v>
      </c>
      <c r="K5037" s="37" t="n">
        <v>-0.01101177369151318</v>
      </c>
    </row>
    <row r="5038">
      <c r="A5038" s="34" t="inlineStr">
        <is>
          <t>Pensjonspremie SPK</t>
        </is>
      </c>
      <c r="B5038" s="34" t="inlineStr">
        <is>
          <t>Region Vest</t>
        </is>
      </c>
      <c r="C5038" s="34" t="inlineStr">
        <is>
          <t>Kasa Ungdomssenter avd. Hop</t>
        </is>
      </c>
      <c r="D5038" s="18" t="n">
        <v>800216</v>
      </c>
      <c r="E5038" s="18" t="n">
        <v>717265</v>
      </c>
      <c r="F5038" s="18" t="n">
        <v>617817</v>
      </c>
      <c r="G5038" s="18" t="n">
        <v>689683</v>
      </c>
      <c r="H5038" s="18" t="n">
        <v>861977</v>
      </c>
      <c r="I5038" s="18" t="n">
        <v>782926</v>
      </c>
      <c r="J5038" s="19" t="n">
        <v>776115.0581644757</v>
      </c>
      <c r="K5038" s="35" t="n">
        <v>-0.004359172704770486</v>
      </c>
    </row>
    <row r="5039">
      <c r="A5039" s="36" t="inlineStr">
        <is>
          <t>Pensjonspremie SPK</t>
        </is>
      </c>
      <c r="B5039" s="36" t="inlineStr">
        <is>
          <t>Region Vest</t>
        </is>
      </c>
      <c r="C5039" s="36" t="inlineStr">
        <is>
          <t>Kasa Ungdomssenter avd. Morvik</t>
        </is>
      </c>
      <c r="D5039" s="26" t="n">
        <v>955060</v>
      </c>
      <c r="E5039" s="26" t="n">
        <v>685966</v>
      </c>
      <c r="F5039" s="26" t="n">
        <v>589289</v>
      </c>
      <c r="G5039" s="26" t="n">
        <v>588667</v>
      </c>
      <c r="H5039" s="26" t="n">
        <v>741209</v>
      </c>
      <c r="I5039" s="26" t="n">
        <v>764565</v>
      </c>
      <c r="J5039" s="19" t="n">
        <v>699468.1049999433</v>
      </c>
      <c r="K5039" s="37" t="n">
        <v>-0.04351811031002617</v>
      </c>
    </row>
    <row r="5040">
      <c r="A5040" s="34" t="inlineStr">
        <is>
          <t>Pensjonspremie SPK</t>
        </is>
      </c>
      <c r="B5040" s="34" t="inlineStr">
        <is>
          <t>Region Vest</t>
        </is>
      </c>
      <c r="C5040" s="34" t="inlineStr">
        <is>
          <t>Kasa Ungdomssenter avd. Sandsli</t>
        </is>
      </c>
      <c r="D5040" s="18" t="n">
        <v>525206</v>
      </c>
      <c r="E5040" s="18" t="n">
        <v>458333</v>
      </c>
      <c r="F5040" s="18" t="n">
        <v>393189</v>
      </c>
      <c r="G5040" s="18" t="n">
        <v>519545</v>
      </c>
      <c r="H5040" s="18" t="n">
        <v>629247</v>
      </c>
      <c r="I5040" s="18" t="n">
        <v>762213</v>
      </c>
      <c r="J5040" s="19" t="n">
        <v>884657.2087477288</v>
      </c>
      <c r="K5040" s="35" t="n">
        <v>0.07733144103104062</v>
      </c>
    </row>
    <row r="5041">
      <c r="A5041" s="36" t="inlineStr">
        <is>
          <t>Pensjonspremie SPK</t>
        </is>
      </c>
      <c r="B5041" s="36" t="inlineStr">
        <is>
          <t>Region Vest</t>
        </is>
      </c>
      <c r="C5041" s="36" t="inlineStr">
        <is>
          <t>Kasa Ungdomssenter avd. Tertnes</t>
        </is>
      </c>
      <c r="D5041" s="26" t="n">
        <v>748053</v>
      </c>
      <c r="E5041" s="26" t="n">
        <v>653064</v>
      </c>
      <c r="F5041" s="26" t="n">
        <v>578240</v>
      </c>
      <c r="G5041" s="26" t="n">
        <v>675398</v>
      </c>
      <c r="H5041" s="26" t="n">
        <v>737430</v>
      </c>
      <c r="I5041" s="26" t="n">
        <v>855748</v>
      </c>
      <c r="J5041" s="19" t="n">
        <v>903048.9715038937</v>
      </c>
      <c r="K5041" s="37" t="n">
        <v>0.02726550446087028</v>
      </c>
    </row>
    <row r="5042">
      <c r="A5042" s="34" t="inlineStr">
        <is>
          <t>Pensjonspremie SPK</t>
        </is>
      </c>
      <c r="B5042" s="34" t="inlineStr">
        <is>
          <t>Region Vest</t>
        </is>
      </c>
      <c r="C5042" s="34" t="inlineStr">
        <is>
          <t>Kasa Ungdomssenter avd. adm.</t>
        </is>
      </c>
      <c r="D5042" s="18" t="n">
        <v>168719</v>
      </c>
      <c r="E5042" s="18" t="n">
        <v>79754</v>
      </c>
      <c r="F5042" s="18" t="n">
        <v>72932</v>
      </c>
      <c r="G5042" s="18" t="n">
        <v>35629</v>
      </c>
      <c r="H5042" s="18" t="n">
        <v>70496</v>
      </c>
      <c r="I5042" s="18" t="n">
        <v>23648</v>
      </c>
      <c r="J5042" s="19" t="n">
        <v>13302</v>
      </c>
      <c r="K5042" s="35" t="n">
        <v>-0.25</v>
      </c>
    </row>
    <row r="5043">
      <c r="A5043" s="36" t="inlineStr">
        <is>
          <t>Pensjonspremie SPK</t>
        </is>
      </c>
      <c r="B5043" s="36" t="inlineStr">
        <is>
          <t>Region Vest</t>
        </is>
      </c>
      <c r="C5043" s="36" t="inlineStr">
        <is>
          <t>Kontorfaglig enhet adm</t>
        </is>
      </c>
      <c r="D5043" s="26" t="n">
        <v>123323</v>
      </c>
      <c r="E5043" s="26" t="n">
        <v>118195</v>
      </c>
      <c r="F5043" s="26" t="n">
        <v>94055</v>
      </c>
      <c r="G5043" s="26" t="n">
        <v>88095</v>
      </c>
      <c r="H5043" s="26" t="n">
        <v>49915</v>
      </c>
      <c r="I5043" s="26" t="n">
        <v>1283</v>
      </c>
      <c r="J5043" s="19" t="n">
        <v>721.6875</v>
      </c>
      <c r="K5043" s="37" t="n">
        <v>-0.25</v>
      </c>
    </row>
    <row r="5044">
      <c r="A5044" s="34" t="inlineStr">
        <is>
          <t>Pensjonspremie SPK</t>
        </is>
      </c>
      <c r="B5044" s="34" t="inlineStr">
        <is>
          <t>Region Vest</t>
        </is>
      </c>
      <c r="C5044" s="34" t="inlineStr">
        <is>
          <t>Krabbedalen</t>
        </is>
      </c>
      <c r="D5044" s="18" t="n">
        <v>-5348</v>
      </c>
      <c r="E5044" s="18" t="n"/>
      <c r="F5044" s="18" t="n"/>
      <c r="G5044" s="18" t="n"/>
      <c r="H5044" s="18" t="n"/>
      <c r="I5044" s="18" t="n"/>
      <c r="J5044" s="19" t="n">
        <v>0</v>
      </c>
      <c r="K5044" s="35" t="n">
        <v>0.065</v>
      </c>
    </row>
    <row r="5045">
      <c r="A5045" s="36" t="inlineStr">
        <is>
          <t>Pensjonspremie SPK</t>
        </is>
      </c>
      <c r="B5045" s="36" t="inlineStr">
        <is>
          <t>Region Vest</t>
        </is>
      </c>
      <c r="C5045" s="36" t="inlineStr">
        <is>
          <t>MultifunC - Bergen ungdomssenter</t>
        </is>
      </c>
      <c r="D5045" s="26" t="n">
        <v>39229</v>
      </c>
      <c r="E5045" s="26" t="n"/>
      <c r="F5045" s="26" t="n"/>
      <c r="G5045" s="26" t="n"/>
      <c r="H5045" s="26" t="n"/>
      <c r="I5045" s="26" t="n"/>
      <c r="J5045" s="19" t="n">
        <v>0</v>
      </c>
      <c r="K5045" s="37" t="n">
        <v>0.065</v>
      </c>
    </row>
    <row r="5046">
      <c r="A5046" s="34" t="inlineStr">
        <is>
          <t>Pensjonspremie SPK</t>
        </is>
      </c>
      <c r="B5046" s="34" t="inlineStr">
        <is>
          <t>Region Vest</t>
        </is>
      </c>
      <c r="C5046" s="34" t="inlineStr">
        <is>
          <t>Region vest - Adferd høy</t>
        </is>
      </c>
      <c r="D5046" s="18" t="n"/>
      <c r="E5046" s="18" t="n"/>
      <c r="F5046" s="18" t="n"/>
      <c r="G5046" s="18" t="n">
        <v>35427</v>
      </c>
      <c r="H5046" s="18" t="n"/>
      <c r="I5046" s="18" t="n"/>
      <c r="J5046" s="19" t="n">
        <v>0</v>
      </c>
      <c r="K5046" s="35" t="n">
        <v>0.065</v>
      </c>
    </row>
    <row r="5047">
      <c r="A5047" s="36" t="inlineStr">
        <is>
          <t>Pensjonspremie SPK</t>
        </is>
      </c>
      <c r="B5047" s="36" t="inlineStr">
        <is>
          <t>Region Vest</t>
        </is>
      </c>
      <c r="C5047" s="36" t="inlineStr">
        <is>
          <t>Regionkontor-stab</t>
        </is>
      </c>
      <c r="D5047" s="26" t="n"/>
      <c r="E5047" s="26" t="n"/>
      <c r="F5047" s="26" t="n"/>
      <c r="G5047" s="26" t="n"/>
      <c r="H5047" s="26" t="n"/>
      <c r="I5047" s="26" t="n">
        <v>-270993</v>
      </c>
      <c r="J5047" s="19" t="n">
        <v>-307367.035425</v>
      </c>
      <c r="K5047" s="37" t="n">
        <v>0.065</v>
      </c>
    </row>
    <row r="5048">
      <c r="A5048" s="34" t="inlineStr">
        <is>
          <t>Pensjonspremie SPK</t>
        </is>
      </c>
      <c r="B5048" s="34" t="inlineStr">
        <is>
          <t>Region Vest</t>
        </is>
      </c>
      <c r="C5048" s="34" t="inlineStr">
        <is>
          <t>SFU avd Bregnetunet</t>
        </is>
      </c>
      <c r="D5048" s="18" t="n">
        <v>823459</v>
      </c>
      <c r="E5048" s="18" t="n">
        <v>673395</v>
      </c>
      <c r="F5048" s="18" t="n">
        <v>717148</v>
      </c>
      <c r="G5048" s="18" t="n">
        <v>1093290</v>
      </c>
      <c r="H5048" s="18" t="n">
        <v>1031519</v>
      </c>
      <c r="I5048" s="18" t="n">
        <v>12433</v>
      </c>
      <c r="J5048" s="19" t="n">
        <v>6993.5625</v>
      </c>
      <c r="K5048" s="35" t="n">
        <v>-0.25</v>
      </c>
    </row>
    <row r="5049">
      <c r="A5049" s="36" t="inlineStr">
        <is>
          <t>Pensjonspremie SPK</t>
        </is>
      </c>
      <c r="B5049" s="36" t="inlineStr">
        <is>
          <t>Region Vest</t>
        </is>
      </c>
      <c r="C5049" s="36" t="inlineStr">
        <is>
          <t>SFU avd Familiehjem</t>
        </is>
      </c>
      <c r="D5049" s="26" t="n">
        <v>26548</v>
      </c>
      <c r="E5049" s="26" t="n"/>
      <c r="F5049" s="26" t="n"/>
      <c r="G5049" s="26" t="n"/>
      <c r="H5049" s="26" t="n"/>
      <c r="I5049" s="26" t="n"/>
      <c r="J5049" s="19" t="n">
        <v>0</v>
      </c>
      <c r="K5049" s="37" t="n">
        <v>0.065</v>
      </c>
    </row>
    <row r="5050">
      <c r="A5050" s="34" t="inlineStr">
        <is>
          <t>Pensjonspremie SPK</t>
        </is>
      </c>
      <c r="B5050" s="34" t="inlineStr">
        <is>
          <t>Region Vest</t>
        </is>
      </c>
      <c r="C5050" s="34" t="inlineStr">
        <is>
          <t>SFU avd.Meltunet</t>
        </is>
      </c>
      <c r="D5050" s="18" t="n">
        <v>904865</v>
      </c>
      <c r="E5050" s="18" t="n">
        <v>799509</v>
      </c>
      <c r="F5050" s="18" t="n">
        <v>867544</v>
      </c>
      <c r="G5050" s="18" t="n">
        <v>1019848</v>
      </c>
      <c r="H5050" s="18" t="n">
        <v>1145890</v>
      </c>
      <c r="I5050" s="18" t="n">
        <v>1258113</v>
      </c>
      <c r="J5050" s="19" t="n">
        <v>1435403.476782758</v>
      </c>
      <c r="K5050" s="35" t="n">
        <v>0.06813752332739287</v>
      </c>
    </row>
    <row r="5051">
      <c r="A5051" s="36" t="inlineStr">
        <is>
          <t>Pensjonspremie SPK</t>
        </is>
      </c>
      <c r="B5051" s="36" t="inlineStr">
        <is>
          <t>Region Vest</t>
        </is>
      </c>
      <c r="C5051" s="36" t="inlineStr">
        <is>
          <t>Sandnes ungdomssenter - Minde 2</t>
        </is>
      </c>
      <c r="D5051" s="26" t="n">
        <v>964986</v>
      </c>
      <c r="E5051" s="26" t="n">
        <v>1091114</v>
      </c>
      <c r="F5051" s="26" t="n">
        <v>960866</v>
      </c>
      <c r="G5051" s="26" t="n">
        <v>1146403</v>
      </c>
      <c r="H5051" s="26" t="n">
        <v>1232558</v>
      </c>
      <c r="I5051" s="26" t="n">
        <v>1139309</v>
      </c>
      <c r="J5051" s="19" t="n">
        <v>1217558.212286149</v>
      </c>
      <c r="K5051" s="37" t="n">
        <v>0.03377042441810718</v>
      </c>
    </row>
    <row r="5052">
      <c r="A5052" s="34" t="inlineStr">
        <is>
          <t>Pensjonspremie SPK</t>
        </is>
      </c>
      <c r="B5052" s="34" t="inlineStr">
        <is>
          <t>Region Vest</t>
        </is>
      </c>
      <c r="C5052" s="34" t="inlineStr">
        <is>
          <t>Sandnes ungdomssenter - Minde1</t>
        </is>
      </c>
      <c r="D5052" s="18" t="n">
        <v>1081090</v>
      </c>
      <c r="E5052" s="18" t="n">
        <v>996247</v>
      </c>
      <c r="F5052" s="18" t="n">
        <v>934566</v>
      </c>
      <c r="G5052" s="18" t="n">
        <v>1143479</v>
      </c>
      <c r="H5052" s="18" t="n">
        <v>1054731</v>
      </c>
      <c r="I5052" s="18" t="n">
        <v>1082797</v>
      </c>
      <c r="J5052" s="19" t="n">
        <v>1083480.554442493</v>
      </c>
      <c r="K5052" s="35" t="n">
        <v>0.0003155931337850415</v>
      </c>
    </row>
    <row r="5053">
      <c r="A5053" s="36" t="inlineStr">
        <is>
          <t>Pensjonspremie SPK</t>
        </is>
      </c>
      <c r="B5053" s="36" t="inlineStr">
        <is>
          <t>Region Vest</t>
        </is>
      </c>
      <c r="C5053" s="36" t="inlineStr">
        <is>
          <t>Sandnes ungdomssenter - adm</t>
        </is>
      </c>
      <c r="D5053" s="26" t="n">
        <v>107412</v>
      </c>
      <c r="E5053" s="26" t="n">
        <v>78084</v>
      </c>
      <c r="F5053" s="26" t="n">
        <v>70712</v>
      </c>
      <c r="G5053" s="26" t="n">
        <v>40952</v>
      </c>
      <c r="H5053" s="26" t="n">
        <v>9329</v>
      </c>
      <c r="I5053" s="26" t="n">
        <v>37300</v>
      </c>
      <c r="J5053" s="19" t="n">
        <v>24432.68766695122</v>
      </c>
      <c r="K5053" s="37" t="n">
        <v>-0.1906596260305372</v>
      </c>
    </row>
    <row r="5054">
      <c r="A5054" s="34" t="inlineStr">
        <is>
          <t>Pensjonspremie SPK</t>
        </is>
      </c>
      <c r="B5054" s="34" t="inlineStr">
        <is>
          <t>Region Vest</t>
        </is>
      </c>
      <c r="C5054" s="34" t="inlineStr">
        <is>
          <t>Seksjon HR</t>
        </is>
      </c>
      <c r="D5054" s="18" t="n"/>
      <c r="E5054" s="18" t="n"/>
      <c r="F5054" s="18" t="n"/>
      <c r="G5054" s="18" t="n"/>
      <c r="H5054" s="18" t="n"/>
      <c r="I5054" s="18" t="n">
        <v>36544</v>
      </c>
      <c r="J5054" s="19" t="n">
        <v>41449.11839999999</v>
      </c>
      <c r="K5054" s="35" t="n">
        <v>0.065</v>
      </c>
    </row>
    <row r="5055">
      <c r="A5055" s="36" t="inlineStr">
        <is>
          <t>Pensjonspremie SPK</t>
        </is>
      </c>
      <c r="B5055" s="36" t="inlineStr">
        <is>
          <t>Region Vest</t>
        </is>
      </c>
      <c r="C5055" s="36" t="inlineStr">
        <is>
          <t>Seksjon faglig støtte</t>
        </is>
      </c>
      <c r="D5055" s="26" t="n"/>
      <c r="E5055" s="26" t="n"/>
      <c r="F5055" s="26" t="n"/>
      <c r="G5055" s="26" t="n"/>
      <c r="H5055" s="26" t="n"/>
      <c r="I5055" s="26" t="n">
        <v>78712</v>
      </c>
      <c r="J5055" s="19" t="n">
        <v>89277.11819999998</v>
      </c>
      <c r="K5055" s="37" t="n">
        <v>0.065</v>
      </c>
    </row>
    <row r="5056">
      <c r="A5056" s="34" t="inlineStr">
        <is>
          <t>Pensjonspremie SPK</t>
        </is>
      </c>
      <c r="B5056" s="34" t="inlineStr">
        <is>
          <t>Region Vest</t>
        </is>
      </c>
      <c r="C5056" s="34" t="inlineStr">
        <is>
          <t>Seksjon virksomhetsstyring</t>
        </is>
      </c>
      <c r="D5056" s="18" t="n"/>
      <c r="E5056" s="18" t="n"/>
      <c r="F5056" s="18" t="n"/>
      <c r="G5056" s="18" t="n"/>
      <c r="H5056" s="18" t="n"/>
      <c r="I5056" s="18" t="n">
        <v>12996</v>
      </c>
      <c r="J5056" s="19" t="n">
        <v>14740.3881</v>
      </c>
      <c r="K5056" s="35" t="n">
        <v>0.065</v>
      </c>
    </row>
    <row r="5057">
      <c r="A5057" s="36" t="inlineStr">
        <is>
          <t>Pensjonspremie SPK</t>
        </is>
      </c>
      <c r="B5057" s="36" t="inlineStr">
        <is>
          <t>Region Vest</t>
        </is>
      </c>
      <c r="C5057" s="36" t="inlineStr">
        <is>
          <t>Skjoldvegen Skjold</t>
        </is>
      </c>
      <c r="D5057" s="26" t="n">
        <v>1188877</v>
      </c>
      <c r="E5057" s="26" t="n">
        <v>1173142</v>
      </c>
      <c r="F5057" s="26" t="n">
        <v>1033171</v>
      </c>
      <c r="G5057" s="26" t="n">
        <v>1154393</v>
      </c>
      <c r="H5057" s="26" t="n">
        <v>1439775</v>
      </c>
      <c r="I5057" s="26" t="n">
        <v>1404575</v>
      </c>
      <c r="J5057" s="19" t="n">
        <v>1501440.53910183</v>
      </c>
      <c r="K5057" s="37" t="n">
        <v>0.03390730014318954</v>
      </c>
    </row>
    <row r="5058">
      <c r="A5058" s="34" t="inlineStr">
        <is>
          <t>Pensjonspremie SPK</t>
        </is>
      </c>
      <c r="B5058" s="34" t="inlineStr">
        <is>
          <t>Region Vest</t>
        </is>
      </c>
      <c r="C5058" s="34" t="inlineStr">
        <is>
          <t>Skjoldvegen Søfteland</t>
        </is>
      </c>
      <c r="D5058" s="18" t="n">
        <v>912455</v>
      </c>
      <c r="E5058" s="18" t="n">
        <v>757879</v>
      </c>
      <c r="F5058" s="18" t="n">
        <v>651848</v>
      </c>
      <c r="G5058" s="18" t="n">
        <v>907833</v>
      </c>
      <c r="H5058" s="18" t="n">
        <v>1060352</v>
      </c>
      <c r="I5058" s="18" t="n">
        <v>1028436</v>
      </c>
      <c r="J5058" s="19" t="n">
        <v>1078856.286697834</v>
      </c>
      <c r="K5058" s="35" t="n">
        <v>0.02421979003138008</v>
      </c>
    </row>
    <row r="5059">
      <c r="A5059" s="36" t="inlineStr">
        <is>
          <t>Pensjonspremie SPK</t>
        </is>
      </c>
      <c r="B5059" s="36" t="inlineStr">
        <is>
          <t>Region Vest</t>
        </is>
      </c>
      <c r="C5059" s="36" t="inlineStr">
        <is>
          <t>Skjoldvegen barnevernsenter</t>
        </is>
      </c>
      <c r="D5059" s="26" t="n">
        <v>94594</v>
      </c>
      <c r="E5059" s="26" t="n">
        <v>79338</v>
      </c>
      <c r="F5059" s="26" t="n">
        <v>72932</v>
      </c>
      <c r="G5059" s="26" t="n">
        <v>73012</v>
      </c>
      <c r="H5059" s="26" t="n">
        <v>72367</v>
      </c>
      <c r="I5059" s="26" t="n">
        <v>73317</v>
      </c>
      <c r="J5059" s="19" t="n">
        <v>66212.67356539963</v>
      </c>
      <c r="K5059" s="37" t="n">
        <v>-0.04968361092230533</v>
      </c>
    </row>
    <row r="5060">
      <c r="A5060" s="34" t="inlineStr">
        <is>
          <t>Pensjonspremie SPK</t>
        </is>
      </c>
      <c r="B5060" s="34" t="inlineStr">
        <is>
          <t>Region Vest</t>
        </is>
      </c>
      <c r="C5060" s="34" t="inlineStr">
        <is>
          <t>Skjoldvegen barnevernsenter Enetiltak</t>
        </is>
      </c>
      <c r="D5060" s="18" t="n">
        <v>48885</v>
      </c>
      <c r="E5060" s="18" t="n"/>
      <c r="F5060" s="18" t="n"/>
      <c r="G5060" s="18" t="n">
        <v>23134</v>
      </c>
      <c r="H5060" s="18" t="n"/>
      <c r="I5060" s="18" t="n"/>
      <c r="J5060" s="19" t="n">
        <v>0</v>
      </c>
      <c r="K5060" s="35" t="n">
        <v>0.065</v>
      </c>
    </row>
    <row r="5061">
      <c r="A5061" s="36" t="inlineStr">
        <is>
          <t>Pensjonspremie SPK</t>
        </is>
      </c>
      <c r="B5061" s="36" t="inlineStr">
        <is>
          <t>Region Vest</t>
        </is>
      </c>
      <c r="C5061" s="36" t="inlineStr">
        <is>
          <t>Skjoldvegen barnevernsenter avd. Fyllingsdalen</t>
        </is>
      </c>
      <c r="D5061" s="26" t="n">
        <v>838813</v>
      </c>
      <c r="E5061" s="26" t="n">
        <v>642672</v>
      </c>
      <c r="F5061" s="26" t="n">
        <v>609278</v>
      </c>
      <c r="G5061" s="26" t="n">
        <v>675582</v>
      </c>
      <c r="H5061" s="26" t="n">
        <v>806813</v>
      </c>
      <c r="I5061" s="26" t="n">
        <v>816652</v>
      </c>
      <c r="J5061" s="19" t="n">
        <v>807952.4104596485</v>
      </c>
      <c r="K5061" s="37" t="n">
        <v>-0.005340636165089618</v>
      </c>
    </row>
    <row r="5062">
      <c r="A5062" s="34" t="inlineStr">
        <is>
          <t>Pensjonspremie SPK</t>
        </is>
      </c>
      <c r="B5062" s="34" t="inlineStr">
        <is>
          <t>Region Vest</t>
        </is>
      </c>
      <c r="C5062" s="34" t="inlineStr">
        <is>
          <t>Sogn og Fjordane ungdomsenter</t>
        </is>
      </c>
      <c r="D5062" s="18" t="n">
        <v>116048</v>
      </c>
      <c r="E5062" s="18" t="n">
        <v>122588</v>
      </c>
      <c r="F5062" s="18" t="n">
        <v>82191</v>
      </c>
      <c r="G5062" s="18" t="n">
        <v>132756</v>
      </c>
      <c r="H5062" s="18" t="n">
        <v>77170</v>
      </c>
      <c r="I5062" s="18" t="n">
        <v>30028</v>
      </c>
      <c r="J5062" s="19" t="n">
        <v>17485.65502889237</v>
      </c>
      <c r="K5062" s="35" t="n">
        <v>-0.2369065085250281</v>
      </c>
    </row>
    <row r="5063">
      <c r="A5063" s="36" t="inlineStr">
        <is>
          <t>Pensjonspremie SPK</t>
        </is>
      </c>
      <c r="B5063" s="36" t="inlineStr">
        <is>
          <t>Region Vest</t>
        </is>
      </c>
      <c r="C5063" s="36" t="inlineStr">
        <is>
          <t>Sogn og fjordane ungdomssenter avdeling Bregnetunet behandling høy</t>
        </is>
      </c>
      <c r="D5063" s="26" t="n"/>
      <c r="E5063" s="26" t="n"/>
      <c r="F5063" s="26" t="n"/>
      <c r="G5063" s="26" t="n"/>
      <c r="H5063" s="26" t="n">
        <v>195410</v>
      </c>
      <c r="I5063" s="26" t="n">
        <v>1156448</v>
      </c>
      <c r="J5063" s="19" t="n">
        <v>1311672.2328</v>
      </c>
      <c r="K5063" s="37" t="n">
        <v>0.065</v>
      </c>
    </row>
    <row r="5064">
      <c r="A5064" s="34" t="inlineStr">
        <is>
          <t>Pensjonspremie SPK</t>
        </is>
      </c>
      <c r="B5064" s="34" t="inlineStr">
        <is>
          <t>Region Vest</t>
        </is>
      </c>
      <c r="C5064" s="34" t="inlineStr">
        <is>
          <t>Sogn og fjordane ungdomssenter behandling høy</t>
        </is>
      </c>
      <c r="D5064" s="18" t="n"/>
      <c r="E5064" s="18" t="n"/>
      <c r="F5064" s="18" t="n"/>
      <c r="G5064" s="18" t="n"/>
      <c r="H5064" s="18" t="n"/>
      <c r="I5064" s="18" t="n">
        <v>46335</v>
      </c>
      <c r="J5064" s="19" t="n">
        <v>52554.31537499999</v>
      </c>
      <c r="K5064" s="35" t="n">
        <v>0.065</v>
      </c>
    </row>
    <row r="5065">
      <c r="A5065" s="36" t="inlineStr">
        <is>
          <t>Pensjonspremie SPK</t>
        </is>
      </c>
      <c r="B5065" s="36" t="inlineStr">
        <is>
          <t>Region Vest</t>
        </is>
      </c>
      <c r="C5065" s="36" t="inlineStr">
        <is>
          <t>Sogndal ungdomsenter-adm.</t>
        </is>
      </c>
      <c r="D5065" s="26" t="n">
        <v>657107</v>
      </c>
      <c r="E5065" s="26" t="n">
        <v>587378</v>
      </c>
      <c r="F5065" s="26" t="n">
        <v>541408</v>
      </c>
      <c r="G5065" s="26" t="n">
        <v>546003</v>
      </c>
      <c r="H5065" s="26" t="n">
        <v>566717</v>
      </c>
      <c r="I5065" s="26" t="n">
        <v>590342</v>
      </c>
      <c r="J5065" s="19" t="n">
        <v>565575.6688077123</v>
      </c>
      <c r="K5065" s="37" t="n">
        <v>-0.02120099831078859</v>
      </c>
    </row>
    <row r="5066">
      <c r="A5066" s="34" t="inlineStr">
        <is>
          <t>Pensjonspremie SPK</t>
        </is>
      </c>
      <c r="B5066" s="34" t="inlineStr">
        <is>
          <t>Region Vest</t>
        </is>
      </c>
      <c r="C5066" s="34" t="inlineStr">
        <is>
          <t>Stavanger akuttsenter - Administrasjon</t>
        </is>
      </c>
      <c r="D5066" s="18" t="n">
        <v>223499</v>
      </c>
      <c r="E5066" s="18" t="n">
        <v>269483</v>
      </c>
      <c r="F5066" s="18" t="n">
        <v>270268</v>
      </c>
      <c r="G5066" s="18" t="n">
        <v>259064</v>
      </c>
      <c r="H5066" s="18" t="n">
        <v>163242</v>
      </c>
      <c r="I5066" s="18" t="n">
        <v>108722</v>
      </c>
      <c r="J5066" s="19" t="n">
        <v>81495.60202162665</v>
      </c>
      <c r="K5066" s="35" t="n">
        <v>-0.1342183641758601</v>
      </c>
    </row>
    <row r="5067">
      <c r="A5067" s="36" t="inlineStr">
        <is>
          <t>Pensjonspremie SPK</t>
        </is>
      </c>
      <c r="B5067" s="36" t="inlineStr">
        <is>
          <t>Region Vest</t>
        </is>
      </c>
      <c r="C5067" s="36" t="inlineStr">
        <is>
          <t>Stavanger akuttsenter - Heimly</t>
        </is>
      </c>
      <c r="D5067" s="26" t="n">
        <v>185110</v>
      </c>
      <c r="E5067" s="26" t="n">
        <v>635009</v>
      </c>
      <c r="F5067" s="26" t="n">
        <v>15008</v>
      </c>
      <c r="G5067" s="26" t="n"/>
      <c r="H5067" s="26" t="n"/>
      <c r="I5067" s="26" t="n"/>
      <c r="J5067" s="19" t="n">
        <v>0</v>
      </c>
      <c r="K5067" s="37" t="n">
        <v>0.065</v>
      </c>
    </row>
    <row r="5068">
      <c r="A5068" s="34" t="inlineStr">
        <is>
          <t>Pensjonspremie SPK</t>
        </is>
      </c>
      <c r="B5068" s="34" t="inlineStr">
        <is>
          <t>Region Vest</t>
        </is>
      </c>
      <c r="C5068" s="34" t="inlineStr">
        <is>
          <t>Stavanger akuttsenter - Madla</t>
        </is>
      </c>
      <c r="D5068" s="18" t="n">
        <v>1278932</v>
      </c>
      <c r="E5068" s="18" t="n">
        <v>1161031</v>
      </c>
      <c r="F5068" s="18" t="n">
        <v>1208985</v>
      </c>
      <c r="G5068" s="18" t="n">
        <v>1244985</v>
      </c>
      <c r="H5068" s="18" t="n">
        <v>1581954</v>
      </c>
      <c r="I5068" s="18" t="n">
        <v>2041219</v>
      </c>
      <c r="J5068" s="19" t="n">
        <v>2460970.804130365</v>
      </c>
      <c r="K5068" s="35" t="n">
        <v>0.09801539589737129</v>
      </c>
    </row>
    <row r="5069">
      <c r="A5069" s="36" t="inlineStr">
        <is>
          <t>Pensjonspremie SPK</t>
        </is>
      </c>
      <c r="B5069" s="36" t="inlineStr">
        <is>
          <t>Region Vest</t>
        </is>
      </c>
      <c r="C5069" s="36" t="inlineStr">
        <is>
          <t>Stavanger akuttsenter - Røyneberg</t>
        </is>
      </c>
      <c r="D5069" s="26" t="n">
        <v>1004385</v>
      </c>
      <c r="E5069" s="26" t="n">
        <v>1010330</v>
      </c>
      <c r="F5069" s="26" t="n">
        <v>877876</v>
      </c>
      <c r="G5069" s="26" t="n">
        <v>996432</v>
      </c>
      <c r="H5069" s="26" t="n">
        <v>1068243</v>
      </c>
      <c r="I5069" s="26" t="n">
        <v>1088507</v>
      </c>
      <c r="J5069" s="19" t="n">
        <v>1124096.58781094</v>
      </c>
      <c r="K5069" s="37" t="n">
        <v>0.01621640520830159</v>
      </c>
    </row>
    <row r="5070">
      <c r="A5070" s="34" t="inlineStr">
        <is>
          <t>Pensjonspremie SPK</t>
        </is>
      </c>
      <c r="B5070" s="34" t="inlineStr">
        <is>
          <t>Region Vest</t>
        </is>
      </c>
      <c r="C5070" s="34" t="inlineStr">
        <is>
          <t>Stavanger senter for foreldre og barn</t>
        </is>
      </c>
      <c r="D5070" s="18" t="n">
        <v>7222</v>
      </c>
      <c r="E5070" s="18" t="n"/>
      <c r="F5070" s="18" t="n"/>
      <c r="G5070" s="18" t="n"/>
      <c r="H5070" s="18" t="n"/>
      <c r="I5070" s="18" t="n"/>
      <c r="J5070" s="19" t="n">
        <v>0</v>
      </c>
      <c r="K5070" s="35" t="n">
        <v>0.065</v>
      </c>
    </row>
    <row r="5071">
      <c r="A5071" s="36" t="inlineStr">
        <is>
          <t>Pensjonspremie SPK</t>
        </is>
      </c>
      <c r="B5071" s="36" t="inlineStr">
        <is>
          <t>Region Vest</t>
        </is>
      </c>
      <c r="C5071" s="36" t="inlineStr">
        <is>
          <t>Stavanger ungdomssenter - adm</t>
        </is>
      </c>
      <c r="D5071" s="26" t="n">
        <v>126839</v>
      </c>
      <c r="E5071" s="26" t="n">
        <v>78498</v>
      </c>
      <c r="F5071" s="26" t="n">
        <v>84015</v>
      </c>
      <c r="G5071" s="26" t="n">
        <v>89586</v>
      </c>
      <c r="H5071" s="26" t="n">
        <v>68729</v>
      </c>
      <c r="I5071" s="26" t="n">
        <v>37339</v>
      </c>
      <c r="J5071" s="19" t="n">
        <v>22894.26112540685</v>
      </c>
      <c r="K5071" s="37" t="n">
        <v>-0.216963557378448</v>
      </c>
    </row>
    <row r="5072">
      <c r="A5072" s="34" t="inlineStr">
        <is>
          <t>Pensjonspremie SPK</t>
        </is>
      </c>
      <c r="B5072" s="34" t="inlineStr">
        <is>
          <t>Region Vest</t>
        </is>
      </c>
      <c r="C5072" s="34" t="inlineStr">
        <is>
          <t>Stavanger ungdomssenter - avd. Lindøy</t>
        </is>
      </c>
      <c r="D5072" s="18" t="n">
        <v>1153780</v>
      </c>
      <c r="E5072" s="18" t="n">
        <v>995104</v>
      </c>
      <c r="F5072" s="18" t="n">
        <v>923416</v>
      </c>
      <c r="G5072" s="18" t="n">
        <v>970949</v>
      </c>
      <c r="H5072" s="18" t="n">
        <v>971606</v>
      </c>
      <c r="I5072" s="18" t="n">
        <v>975185</v>
      </c>
      <c r="J5072" s="19" t="n">
        <v>911743.3720363505</v>
      </c>
      <c r="K5072" s="35" t="n">
        <v>-0.0330749731315455</v>
      </c>
    </row>
    <row r="5073">
      <c r="A5073" s="36" t="inlineStr">
        <is>
          <t>Pensjonspremie SPK</t>
        </is>
      </c>
      <c r="B5073" s="36" t="inlineStr">
        <is>
          <t>Region Vest</t>
        </is>
      </c>
      <c r="C5073" s="36" t="inlineStr">
        <is>
          <t>Stavanger ungdomssenter - avd. Våland</t>
        </is>
      </c>
      <c r="D5073" s="26" t="n">
        <v>932339</v>
      </c>
      <c r="E5073" s="26" t="n">
        <v>842050</v>
      </c>
      <c r="F5073" s="26" t="n">
        <v>793342</v>
      </c>
      <c r="G5073" s="26" t="n">
        <v>795389</v>
      </c>
      <c r="H5073" s="26" t="n">
        <v>822315</v>
      </c>
      <c r="I5073" s="26" t="n">
        <v>828630</v>
      </c>
      <c r="J5073" s="19" t="n">
        <v>790451.7642592997</v>
      </c>
      <c r="K5073" s="37" t="n">
        <v>-0.02330860765365306</v>
      </c>
    </row>
    <row r="5074">
      <c r="A5074" s="34" t="inlineStr">
        <is>
          <t>Pensjonspremie SPK</t>
        </is>
      </c>
      <c r="B5074" s="34" t="inlineStr">
        <is>
          <t>Region Vest</t>
        </is>
      </c>
      <c r="C5074" s="34" t="inlineStr">
        <is>
          <t>TFCO Bergen, avdeling fosterhjem</t>
        </is>
      </c>
      <c r="D5074" s="18" t="n"/>
      <c r="E5074" s="18" t="n"/>
      <c r="F5074" s="18" t="n">
        <v>193044</v>
      </c>
      <c r="G5074" s="18" t="n">
        <v>213073</v>
      </c>
      <c r="H5074" s="18" t="n"/>
      <c r="I5074" s="18" t="n"/>
      <c r="J5074" s="19" t="n">
        <v>0</v>
      </c>
      <c r="K5074" s="35" t="n">
        <v>0.065</v>
      </c>
    </row>
    <row r="5075">
      <c r="A5075" s="36" t="inlineStr">
        <is>
          <t>Pensjonspremie SPK</t>
        </is>
      </c>
      <c r="B5075" s="36" t="inlineStr">
        <is>
          <t>Region Vest</t>
        </is>
      </c>
      <c r="C5075" s="36" t="inlineStr">
        <is>
          <t>TFCO Stavanger</t>
        </is>
      </c>
      <c r="D5075" s="26" t="n"/>
      <c r="E5075" s="26" t="n"/>
      <c r="F5075" s="26" t="n">
        <v>14677</v>
      </c>
      <c r="G5075" s="26" t="n">
        <v>12113</v>
      </c>
      <c r="H5075" s="26" t="n"/>
      <c r="I5075" s="26" t="n"/>
      <c r="J5075" s="19" t="n">
        <v>0</v>
      </c>
      <c r="K5075" s="37" t="n">
        <v>0.065</v>
      </c>
    </row>
    <row r="5076">
      <c r="A5076" s="34" t="inlineStr">
        <is>
          <t>Pensjonspremie SPK</t>
        </is>
      </c>
      <c r="B5076" s="34" t="inlineStr">
        <is>
          <t>Region Vest</t>
        </is>
      </c>
      <c r="C5076" s="34" t="inlineStr">
        <is>
          <t>Vestlundveien Ungdomssenter</t>
        </is>
      </c>
      <c r="D5076" s="18" t="n">
        <v>-5533</v>
      </c>
      <c r="E5076" s="18" t="n"/>
      <c r="F5076" s="18" t="n"/>
      <c r="G5076" s="18" t="n"/>
      <c r="H5076" s="18" t="n"/>
      <c r="I5076" s="18" t="n"/>
      <c r="J5076" s="19" t="n">
        <v>0</v>
      </c>
      <c r="K5076" s="35" t="n">
        <v>0.065</v>
      </c>
    </row>
    <row r="5077">
      <c r="A5077" s="36" t="inlineStr">
        <is>
          <t>Pensjonspremie SPK</t>
        </is>
      </c>
      <c r="B5077" s="36" t="inlineStr">
        <is>
          <t>Region Øst</t>
        </is>
      </c>
      <c r="C5077" s="36" t="inlineStr">
        <is>
          <t>Akershus ungdoms- og familiesenter - akutt  Adminstrasjon</t>
        </is>
      </c>
      <c r="D5077" s="26" t="n">
        <v>251973</v>
      </c>
      <c r="E5077" s="26" t="n">
        <v>219331</v>
      </c>
      <c r="F5077" s="26" t="n">
        <v>203213</v>
      </c>
      <c r="G5077" s="26" t="n">
        <v>242045</v>
      </c>
      <c r="H5077" s="26" t="n">
        <v>253437</v>
      </c>
      <c r="I5077" s="26" t="n">
        <v>4490</v>
      </c>
      <c r="J5077" s="19" t="n">
        <v>2525.625</v>
      </c>
      <c r="K5077" s="37" t="n">
        <v>-0.25</v>
      </c>
    </row>
    <row r="5078">
      <c r="A5078" s="34" t="inlineStr">
        <is>
          <t>Pensjonspremie SPK</t>
        </is>
      </c>
      <c r="B5078" s="34" t="inlineStr">
        <is>
          <t>Region Øst</t>
        </is>
      </c>
      <c r="C5078" s="34" t="inlineStr">
        <is>
          <t>Akershus ungdoms- og familiesenter - akutt  Avdeling Sole</t>
        </is>
      </c>
      <c r="D5078" s="18" t="n">
        <v>1219450</v>
      </c>
      <c r="E5078" s="18" t="n">
        <v>1089402</v>
      </c>
      <c r="F5078" s="18" t="n">
        <v>855460</v>
      </c>
      <c r="G5078" s="18" t="n">
        <v>1170523</v>
      </c>
      <c r="H5078" s="18" t="n">
        <v>1166060</v>
      </c>
      <c r="I5078" s="18" t="n">
        <v>37198</v>
      </c>
      <c r="J5078" s="19" t="n">
        <v>20923.875</v>
      </c>
      <c r="K5078" s="35" t="n">
        <v>-0.25</v>
      </c>
    </row>
    <row r="5079">
      <c r="A5079" s="36" t="inlineStr">
        <is>
          <t>Pensjonspremie SPK</t>
        </is>
      </c>
      <c r="B5079" s="36" t="inlineStr">
        <is>
          <t>Region Øst</t>
        </is>
      </c>
      <c r="C5079" s="36" t="inlineStr">
        <is>
          <t>Akershus ungdoms- og familiesenter - akutt  Avdeling Tjernlia</t>
        </is>
      </c>
      <c r="D5079" s="26" t="n">
        <v>1024307</v>
      </c>
      <c r="E5079" s="26" t="n">
        <v>1010851</v>
      </c>
      <c r="F5079" s="26" t="n">
        <v>882863</v>
      </c>
      <c r="G5079" s="26" t="n">
        <v>940070</v>
      </c>
      <c r="H5079" s="26" t="n">
        <v>984785</v>
      </c>
      <c r="I5079" s="26" t="n">
        <v>19199</v>
      </c>
      <c r="J5079" s="19" t="n">
        <v>10799.4375</v>
      </c>
      <c r="K5079" s="37" t="n">
        <v>-0.25</v>
      </c>
    </row>
    <row r="5080">
      <c r="A5080" s="34" t="inlineStr">
        <is>
          <t>Pensjonspremie SPK</t>
        </is>
      </c>
      <c r="B5080" s="34" t="inlineStr">
        <is>
          <t>Region Øst</t>
        </is>
      </c>
      <c r="C5080" s="34" t="inlineStr">
        <is>
          <t>Akershus ungdoms- og familiesenter - akutt Avdeling Bjørlien</t>
        </is>
      </c>
      <c r="D5080" s="18" t="n">
        <v>1101277</v>
      </c>
      <c r="E5080" s="18" t="n">
        <v>977410</v>
      </c>
      <c r="F5080" s="18" t="n">
        <v>853149</v>
      </c>
      <c r="G5080" s="18" t="n">
        <v>959320</v>
      </c>
      <c r="H5080" s="18" t="n">
        <v>1052758</v>
      </c>
      <c r="I5080" s="18" t="n">
        <v>35610</v>
      </c>
      <c r="J5080" s="19" t="n">
        <v>20030.625</v>
      </c>
      <c r="K5080" s="35" t="n">
        <v>-0.25</v>
      </c>
    </row>
    <row r="5081">
      <c r="A5081" s="36" t="inlineStr">
        <is>
          <t>Pensjonspremie SPK</t>
        </is>
      </c>
      <c r="B5081" s="36" t="inlineStr">
        <is>
          <t>Region Øst</t>
        </is>
      </c>
      <c r="C5081" s="36" t="inlineStr">
        <is>
          <t>Akershus ungdoms- og familiesenter - akutt Avdeling Follo</t>
        </is>
      </c>
      <c r="D5081" s="26" t="n">
        <v>346208</v>
      </c>
      <c r="E5081" s="26" t="n">
        <v>777150</v>
      </c>
      <c r="F5081" s="26" t="n">
        <v>15095</v>
      </c>
      <c r="G5081" s="26" t="n">
        <v>224</v>
      </c>
      <c r="H5081" s="26" t="n"/>
      <c r="I5081" s="26" t="n"/>
      <c r="J5081" s="19" t="n">
        <v>0</v>
      </c>
      <c r="K5081" s="37" t="n">
        <v>0.065</v>
      </c>
    </row>
    <row r="5082">
      <c r="A5082" s="34" t="inlineStr">
        <is>
          <t>Pensjonspremie SPK</t>
        </is>
      </c>
      <c r="B5082" s="34" t="inlineStr">
        <is>
          <t>Region Øst</t>
        </is>
      </c>
      <c r="C5082" s="34" t="inlineStr">
        <is>
          <t>Akershus ungdoms- og familiesenter - akutt Avdeling Jibbe</t>
        </is>
      </c>
      <c r="D5082" s="18" t="n">
        <v>287987</v>
      </c>
      <c r="E5082" s="18" t="n">
        <v>936288</v>
      </c>
      <c r="F5082" s="18" t="n">
        <v>861572</v>
      </c>
      <c r="G5082" s="18" t="n">
        <v>927604</v>
      </c>
      <c r="H5082" s="18" t="n">
        <v>1101198</v>
      </c>
      <c r="I5082" s="18" t="n">
        <v>29522</v>
      </c>
      <c r="J5082" s="19" t="n">
        <v>16606.125</v>
      </c>
      <c r="K5082" s="35" t="n">
        <v>-0.25</v>
      </c>
    </row>
    <row r="5083">
      <c r="A5083" s="36" t="inlineStr">
        <is>
          <t>Pensjonspremie SPK</t>
        </is>
      </c>
      <c r="B5083" s="36" t="inlineStr">
        <is>
          <t>Region Øst</t>
        </is>
      </c>
      <c r="C5083" s="36" t="inlineStr">
        <is>
          <t>Akershus ungdoms- og familiesenter - akutt, adm</t>
        </is>
      </c>
      <c r="D5083" s="26" t="n"/>
      <c r="E5083" s="26" t="n"/>
      <c r="F5083" s="26" t="n"/>
      <c r="G5083" s="26" t="n"/>
      <c r="H5083" s="26" t="n"/>
      <c r="I5083" s="26" t="n">
        <v>253403</v>
      </c>
      <c r="J5083" s="19" t="n">
        <v>287416.017675</v>
      </c>
      <c r="K5083" s="37" t="n">
        <v>0.065</v>
      </c>
    </row>
    <row r="5084">
      <c r="A5084" s="34" t="inlineStr">
        <is>
          <t>Pensjonspremie SPK</t>
        </is>
      </c>
      <c r="B5084" s="34" t="inlineStr">
        <is>
          <t>Region Øst</t>
        </is>
      </c>
      <c r="C5084" s="34" t="inlineStr">
        <is>
          <t>Akershus ungdoms- og familiesenter - akutt, avd Bjørlien</t>
        </is>
      </c>
      <c r="D5084" s="18" t="n"/>
      <c r="E5084" s="18" t="n"/>
      <c r="F5084" s="18" t="n"/>
      <c r="G5084" s="18" t="n"/>
      <c r="H5084" s="18" t="n"/>
      <c r="I5084" s="18" t="n">
        <v>1056638</v>
      </c>
      <c r="J5084" s="19" t="n">
        <v>1198465.23555</v>
      </c>
      <c r="K5084" s="35" t="n">
        <v>0.065</v>
      </c>
    </row>
    <row r="5085">
      <c r="A5085" s="36" t="inlineStr">
        <is>
          <t>Pensjonspremie SPK</t>
        </is>
      </c>
      <c r="B5085" s="36" t="inlineStr">
        <is>
          <t>Region Øst</t>
        </is>
      </c>
      <c r="C5085" s="36" t="inlineStr">
        <is>
          <t>Akershus ungdoms- og familiesenter - akutt, avd Jibbe</t>
        </is>
      </c>
      <c r="D5085" s="26" t="n"/>
      <c r="E5085" s="26" t="n"/>
      <c r="F5085" s="26" t="n"/>
      <c r="G5085" s="26" t="n"/>
      <c r="H5085" s="26" t="n"/>
      <c r="I5085" s="26" t="n">
        <v>1111166</v>
      </c>
      <c r="J5085" s="19" t="n">
        <v>1260312.25635</v>
      </c>
      <c r="K5085" s="37" t="n">
        <v>0.065</v>
      </c>
    </row>
    <row r="5086">
      <c r="A5086" s="34" t="inlineStr">
        <is>
          <t>Pensjonspremie SPK</t>
        </is>
      </c>
      <c r="B5086" s="34" t="inlineStr">
        <is>
          <t>Region Øst</t>
        </is>
      </c>
      <c r="C5086" s="34" t="inlineStr">
        <is>
          <t>Akershus ungdoms- og familiesenter - akutt, avd Sole</t>
        </is>
      </c>
      <c r="D5086" s="18" t="n"/>
      <c r="E5086" s="18" t="n"/>
      <c r="F5086" s="18" t="n"/>
      <c r="G5086" s="18" t="n"/>
      <c r="H5086" s="18" t="n"/>
      <c r="I5086" s="18" t="n">
        <v>1370720</v>
      </c>
      <c r="J5086" s="19" t="n">
        <v>1554704.892</v>
      </c>
      <c r="K5086" s="35" t="n">
        <v>0.065</v>
      </c>
    </row>
    <row r="5087">
      <c r="A5087" s="36" t="inlineStr">
        <is>
          <t>Pensjonspremie SPK</t>
        </is>
      </c>
      <c r="B5087" s="36" t="inlineStr">
        <is>
          <t>Region Øst</t>
        </is>
      </c>
      <c r="C5087" s="36" t="inlineStr">
        <is>
          <t>Akershus ungdoms- og familiesenter - akutt, avd Tjernlia</t>
        </is>
      </c>
      <c r="D5087" s="26" t="n"/>
      <c r="E5087" s="26" t="n"/>
      <c r="F5087" s="26" t="n"/>
      <c r="G5087" s="26" t="n"/>
      <c r="H5087" s="26" t="n"/>
      <c r="I5087" s="26" t="n">
        <v>1125323</v>
      </c>
      <c r="J5087" s="19" t="n">
        <v>1276369.479675</v>
      </c>
      <c r="K5087" s="37" t="n">
        <v>0.065</v>
      </c>
    </row>
    <row r="5088">
      <c r="A5088" s="34" t="inlineStr">
        <is>
          <t>Pensjonspremie SPK</t>
        </is>
      </c>
      <c r="B5088" s="34" t="inlineStr">
        <is>
          <t>Region Øst</t>
        </is>
      </c>
      <c r="C5088" s="34" t="inlineStr">
        <is>
          <t>Avdeling for statlig barnevern</t>
        </is>
      </c>
      <c r="D5088" s="18" t="n"/>
      <c r="E5088" s="18" t="n"/>
      <c r="F5088" s="18" t="n">
        <v>20009</v>
      </c>
      <c r="G5088" s="18" t="n"/>
      <c r="H5088" s="18" t="n"/>
      <c r="I5088" s="18" t="n"/>
      <c r="J5088" s="19" t="n">
        <v>0</v>
      </c>
      <c r="K5088" s="35" t="n">
        <v>0.065</v>
      </c>
    </row>
    <row r="5089">
      <c r="A5089" s="36" t="inlineStr">
        <is>
          <t>Pensjonspremie SPK</t>
        </is>
      </c>
      <c r="B5089" s="36" t="inlineStr">
        <is>
          <t>Region Øst</t>
        </is>
      </c>
      <c r="C5089" s="36" t="inlineStr">
        <is>
          <t>Borg barne- og familiesenter Avdeling for beredskapshjem - 3</t>
        </is>
      </c>
      <c r="D5089" s="26" t="n">
        <v>49006</v>
      </c>
      <c r="E5089" s="26" t="n"/>
      <c r="F5089" s="26" t="n"/>
      <c r="G5089" s="26" t="n"/>
      <c r="H5089" s="26" t="n"/>
      <c r="I5089" s="26" t="n"/>
      <c r="J5089" s="19" t="n">
        <v>0</v>
      </c>
      <c r="K5089" s="37" t="n">
        <v>0.065</v>
      </c>
    </row>
    <row r="5090">
      <c r="A5090" s="34" t="inlineStr">
        <is>
          <t>Pensjonspremie SPK</t>
        </is>
      </c>
      <c r="B5090" s="34" t="inlineStr">
        <is>
          <t>Region Øst</t>
        </is>
      </c>
      <c r="C5090" s="34" t="inlineStr">
        <is>
          <t>Bufetat Enhet for inntakstøtte</t>
        </is>
      </c>
      <c r="D5090" s="18" t="n"/>
      <c r="E5090" s="18" t="n"/>
      <c r="F5090" s="18" t="n">
        <v>-129483</v>
      </c>
      <c r="G5090" s="18" t="n"/>
      <c r="H5090" s="18" t="n"/>
      <c r="I5090" s="18" t="n"/>
      <c r="J5090" s="19" t="n">
        <v>0</v>
      </c>
      <c r="K5090" s="35" t="n">
        <v>0.065</v>
      </c>
    </row>
    <row r="5091">
      <c r="A5091" s="36" t="inlineStr">
        <is>
          <t>Pensjonspremie SPK</t>
        </is>
      </c>
      <c r="B5091" s="36" t="inlineStr">
        <is>
          <t>Region Øst</t>
        </is>
      </c>
      <c r="C5091" s="36" t="inlineStr">
        <is>
          <t>Bufetat Øst Innlandet Barnevernsenter</t>
        </is>
      </c>
      <c r="D5091" s="26" t="n">
        <v>282910</v>
      </c>
      <c r="E5091" s="26" t="n">
        <v>327135</v>
      </c>
      <c r="F5091" s="26" t="n">
        <v>259642</v>
      </c>
      <c r="G5091" s="26" t="n">
        <v>273061</v>
      </c>
      <c r="H5091" s="26" t="n">
        <v>355619</v>
      </c>
      <c r="I5091" s="26" t="n">
        <v>441509</v>
      </c>
      <c r="J5091" s="19" t="n">
        <v>527540.8148589274</v>
      </c>
      <c r="K5091" s="37" t="n">
        <v>0.09309586752939736</v>
      </c>
    </row>
    <row r="5092">
      <c r="A5092" s="34" t="inlineStr">
        <is>
          <t>Pensjonspremie SPK</t>
        </is>
      </c>
      <c r="B5092" s="34" t="inlineStr">
        <is>
          <t>Region Øst</t>
        </is>
      </c>
      <c r="C5092" s="34" t="inlineStr">
        <is>
          <t>Bufetats behandlingssenter Akershus/Østfold - Administrasjon</t>
        </is>
      </c>
      <c r="D5092" s="18" t="n"/>
      <c r="E5092" s="18" t="n"/>
      <c r="F5092" s="18" t="n"/>
      <c r="G5092" s="18" t="n">
        <v>233871</v>
      </c>
      <c r="H5092" s="18" t="n">
        <v>273330</v>
      </c>
      <c r="I5092" s="18" t="n">
        <v>4067</v>
      </c>
      <c r="J5092" s="19" t="n">
        <v>4612.893074999999</v>
      </c>
      <c r="K5092" s="35" t="n">
        <v>0.065</v>
      </c>
    </row>
    <row r="5093">
      <c r="A5093" s="36" t="inlineStr">
        <is>
          <t>Pensjonspremie SPK</t>
        </is>
      </c>
      <c r="B5093" s="36" t="inlineStr">
        <is>
          <t>Region Øst</t>
        </is>
      </c>
      <c r="C5093" s="36" t="inlineStr">
        <is>
          <t>Bufetats behandlingssenter Akershus/Østfold, Avdeling Kroerveien Institusjon</t>
        </is>
      </c>
      <c r="D5093" s="26" t="n"/>
      <c r="E5093" s="26" t="n"/>
      <c r="F5093" s="26" t="n"/>
      <c r="G5093" s="26" t="n">
        <v>612894</v>
      </c>
      <c r="H5093" s="26" t="n">
        <v>1415234</v>
      </c>
      <c r="I5093" s="26" t="n">
        <v>26149</v>
      </c>
      <c r="J5093" s="19" t="n">
        <v>29658.84952499999</v>
      </c>
      <c r="K5093" s="37" t="n">
        <v>0.065</v>
      </c>
    </row>
    <row r="5094">
      <c r="A5094" s="34" t="inlineStr">
        <is>
          <t>Pensjonspremie SPK</t>
        </is>
      </c>
      <c r="B5094" s="34" t="inlineStr">
        <is>
          <t>Region Øst</t>
        </is>
      </c>
      <c r="C5094" s="34" t="inlineStr">
        <is>
          <t>Bufetats behandlingssenter Akershus/Østfold, Avdeling Ressursteam</t>
        </is>
      </c>
      <c r="D5094" s="18" t="n"/>
      <c r="E5094" s="18" t="n"/>
      <c r="F5094" s="18" t="n"/>
      <c r="G5094" s="18" t="n">
        <v>305790</v>
      </c>
      <c r="H5094" s="18" t="n">
        <v>604785</v>
      </c>
      <c r="I5094" s="18" t="n">
        <v>5162</v>
      </c>
      <c r="J5094" s="19" t="n">
        <v>5854.869449999999</v>
      </c>
      <c r="K5094" s="35" t="n">
        <v>0.065</v>
      </c>
    </row>
    <row r="5095">
      <c r="A5095" s="36" t="inlineStr">
        <is>
          <t>Pensjonspremie SPK</t>
        </is>
      </c>
      <c r="B5095" s="36" t="inlineStr">
        <is>
          <t>Region Øst</t>
        </is>
      </c>
      <c r="C5095" s="36" t="inlineStr">
        <is>
          <t>Bufetats behandlingssenter Akershus/Østfold, Avdeling Ås</t>
        </is>
      </c>
      <c r="D5095" s="26" t="n"/>
      <c r="E5095" s="26" t="n"/>
      <c r="F5095" s="26" t="n"/>
      <c r="G5095" s="26" t="n">
        <v>554413</v>
      </c>
      <c r="H5095" s="26" t="n">
        <v>1227263</v>
      </c>
      <c r="I5095" s="26" t="n">
        <v>26828</v>
      </c>
      <c r="J5095" s="19" t="n">
        <v>30428.98829999999</v>
      </c>
      <c r="K5095" s="37" t="n">
        <v>0.065</v>
      </c>
    </row>
    <row r="5096">
      <c r="A5096" s="34" t="inlineStr">
        <is>
          <t>Pensjonspremie SPK</t>
        </is>
      </c>
      <c r="B5096" s="34" t="inlineStr">
        <is>
          <t>Region Øst</t>
        </is>
      </c>
      <c r="C5096" s="34" t="inlineStr">
        <is>
          <t>Bufetats behandlingssenter Akershus/Østfold, Avdeling Østheim</t>
        </is>
      </c>
      <c r="D5096" s="18" t="n"/>
      <c r="E5096" s="18" t="n"/>
      <c r="F5096" s="18" t="n"/>
      <c r="G5096" s="18" t="n">
        <v>446763</v>
      </c>
      <c r="H5096" s="18" t="n">
        <v>790936</v>
      </c>
      <c r="I5096" s="18" t="n">
        <v>17195</v>
      </c>
      <c r="J5096" s="19" t="n">
        <v>19502.998875</v>
      </c>
      <c r="K5096" s="35" t="n">
        <v>0.065</v>
      </c>
    </row>
    <row r="5097">
      <c r="A5097" s="36" t="inlineStr">
        <is>
          <t>Pensjonspremie SPK</t>
        </is>
      </c>
      <c r="B5097" s="36" t="inlineStr">
        <is>
          <t>Region Øst</t>
        </is>
      </c>
      <c r="C5097" s="36" t="inlineStr">
        <is>
          <t>Bufetats behandlingssenter Akershus/Østfold, Avdeling Østlund</t>
        </is>
      </c>
      <c r="D5097" s="26" t="n"/>
      <c r="E5097" s="26" t="n"/>
      <c r="F5097" s="26" t="n"/>
      <c r="G5097" s="26" t="n">
        <v>480049</v>
      </c>
      <c r="H5097" s="26" t="n">
        <v>952347</v>
      </c>
      <c r="I5097" s="26" t="n">
        <v>29742</v>
      </c>
      <c r="J5097" s="19" t="n">
        <v>33734.11994999999</v>
      </c>
      <c r="K5097" s="37" t="n">
        <v>0.065</v>
      </c>
    </row>
    <row r="5098">
      <c r="A5098" s="34" t="inlineStr">
        <is>
          <t>Pensjonspremie SPK</t>
        </is>
      </c>
      <c r="B5098" s="34" t="inlineStr">
        <is>
          <t>Region Øst</t>
        </is>
      </c>
      <c r="C5098" s="34" t="inlineStr">
        <is>
          <t>Bufetats behandlingssenter Akershus_Østfold, adm</t>
        </is>
      </c>
      <c r="D5098" s="18" t="n"/>
      <c r="E5098" s="18" t="n"/>
      <c r="F5098" s="18" t="n"/>
      <c r="G5098" s="18" t="n"/>
      <c r="H5098" s="18" t="n"/>
      <c r="I5098" s="18" t="n">
        <v>234754</v>
      </c>
      <c r="J5098" s="19" t="n">
        <v>266263.85565</v>
      </c>
      <c r="K5098" s="35" t="n">
        <v>0.065</v>
      </c>
    </row>
    <row r="5099">
      <c r="A5099" s="36" t="inlineStr">
        <is>
          <t>Pensjonspremie SPK</t>
        </is>
      </c>
      <c r="B5099" s="36" t="inlineStr">
        <is>
          <t>Region Øst</t>
        </is>
      </c>
      <c r="C5099" s="36" t="inlineStr">
        <is>
          <t>Bufetats behandlingssenter Akershus_Østfold, avd Kroerveien</t>
        </is>
      </c>
      <c r="D5099" s="26" t="n"/>
      <c r="E5099" s="26" t="n"/>
      <c r="F5099" s="26" t="n"/>
      <c r="G5099" s="26" t="n"/>
      <c r="H5099" s="26" t="n"/>
      <c r="I5099" s="26" t="n">
        <v>1455338</v>
      </c>
      <c r="J5099" s="19" t="n">
        <v>1650680.74305</v>
      </c>
      <c r="K5099" s="37" t="n">
        <v>0.065</v>
      </c>
    </row>
    <row r="5100">
      <c r="A5100" s="34" t="inlineStr">
        <is>
          <t>Pensjonspremie SPK</t>
        </is>
      </c>
      <c r="B5100" s="34" t="inlineStr">
        <is>
          <t>Region Øst</t>
        </is>
      </c>
      <c r="C5100" s="34" t="inlineStr">
        <is>
          <t>Bufetats behandlingssenter Akershus_Østfold, avd Ressursteam</t>
        </is>
      </c>
      <c r="D5100" s="18" t="n"/>
      <c r="E5100" s="18" t="n"/>
      <c r="F5100" s="18" t="n"/>
      <c r="G5100" s="18" t="n"/>
      <c r="H5100" s="18" t="n"/>
      <c r="I5100" s="18" t="n">
        <v>542111</v>
      </c>
      <c r="J5100" s="19" t="n">
        <v>614875.8489749999</v>
      </c>
      <c r="K5100" s="35" t="n">
        <v>0.065</v>
      </c>
    </row>
    <row r="5101">
      <c r="A5101" s="36" t="inlineStr">
        <is>
          <t>Pensjonspremie SPK</t>
        </is>
      </c>
      <c r="B5101" s="36" t="inlineStr">
        <is>
          <t>Region Øst</t>
        </is>
      </c>
      <c r="C5101" s="36" t="inlineStr">
        <is>
          <t>Bufetats behandlingssenter Akershus_Østfold, avd Ås</t>
        </is>
      </c>
      <c r="D5101" s="26" t="n"/>
      <c r="E5101" s="26" t="n"/>
      <c r="F5101" s="26" t="n"/>
      <c r="G5101" s="26" t="n"/>
      <c r="H5101" s="26" t="n"/>
      <c r="I5101" s="26" t="n">
        <v>1417393</v>
      </c>
      <c r="J5101" s="19" t="n">
        <v>1607642.575425</v>
      </c>
      <c r="K5101" s="37" t="n">
        <v>0.065</v>
      </c>
    </row>
    <row r="5102">
      <c r="A5102" s="34" t="inlineStr">
        <is>
          <t>Pensjonspremie SPK</t>
        </is>
      </c>
      <c r="B5102" s="34" t="inlineStr">
        <is>
          <t>Region Øst</t>
        </is>
      </c>
      <c r="C5102" s="34" t="inlineStr">
        <is>
          <t>Bufetats behandlingssenter Akershus_Østfold, avd Østheim</t>
        </is>
      </c>
      <c r="D5102" s="18" t="n"/>
      <c r="E5102" s="18" t="n"/>
      <c r="F5102" s="18" t="n"/>
      <c r="G5102" s="18" t="n"/>
      <c r="H5102" s="18" t="n"/>
      <c r="I5102" s="18" t="n">
        <v>1048042</v>
      </c>
      <c r="J5102" s="19" t="n">
        <v>1188715.43745</v>
      </c>
      <c r="K5102" s="35" t="n">
        <v>0.065</v>
      </c>
    </row>
    <row r="5103">
      <c r="A5103" s="36" t="inlineStr">
        <is>
          <t>Pensjonspremie SPK</t>
        </is>
      </c>
      <c r="B5103" s="36" t="inlineStr">
        <is>
          <t>Region Øst</t>
        </is>
      </c>
      <c r="C5103" s="36" t="inlineStr">
        <is>
          <t>Bufetats behandlingssenter Akershus_Østfold, avd Østlund</t>
        </is>
      </c>
      <c r="D5103" s="26" t="n"/>
      <c r="E5103" s="26" t="n"/>
      <c r="F5103" s="26" t="n"/>
      <c r="G5103" s="26" t="n"/>
      <c r="H5103" s="26" t="n"/>
      <c r="I5103" s="26" t="n">
        <v>962805</v>
      </c>
      <c r="J5103" s="19" t="n">
        <v>1092037.501125</v>
      </c>
      <c r="K5103" s="37" t="n">
        <v>0.065</v>
      </c>
    </row>
    <row r="5104">
      <c r="A5104" s="34" t="inlineStr">
        <is>
          <t>Pensjonspremie SPK</t>
        </is>
      </c>
      <c r="B5104" s="34" t="inlineStr">
        <is>
          <t>Region Øst</t>
        </is>
      </c>
      <c r="C5104" s="34" t="inlineStr">
        <is>
          <t>Bufetats enhet for godkjenning av barneverninstitusjoner</t>
        </is>
      </c>
      <c r="D5104" s="18" t="n"/>
      <c r="E5104" s="18" t="n"/>
      <c r="F5104" s="18" t="n">
        <v>691008</v>
      </c>
      <c r="G5104" s="18" t="n">
        <v>741617</v>
      </c>
      <c r="H5104" s="18" t="n"/>
      <c r="I5104" s="18" t="n"/>
      <c r="J5104" s="19" t="n">
        <v>0</v>
      </c>
      <c r="K5104" s="35" t="n">
        <v>0.065</v>
      </c>
    </row>
    <row r="5105">
      <c r="A5105" s="36" t="inlineStr">
        <is>
          <t>Pensjonspremie SPK</t>
        </is>
      </c>
      <c r="B5105" s="36" t="inlineStr">
        <is>
          <t>Region Øst</t>
        </is>
      </c>
      <c r="C5105" s="36" t="inlineStr">
        <is>
          <t>Enhet for Inntak avd. Oppland</t>
        </is>
      </c>
      <c r="D5105" s="26" t="n"/>
      <c r="E5105" s="26" t="n"/>
      <c r="F5105" s="26" t="n">
        <v>-51015</v>
      </c>
      <c r="G5105" s="26" t="n"/>
      <c r="H5105" s="26" t="n"/>
      <c r="I5105" s="26" t="n"/>
      <c r="J5105" s="19" t="n">
        <v>0</v>
      </c>
      <c r="K5105" s="37" t="n">
        <v>0.065</v>
      </c>
    </row>
    <row r="5106">
      <c r="A5106" s="34" t="inlineStr">
        <is>
          <t>Pensjonspremie SPK</t>
        </is>
      </c>
      <c r="B5106" s="34" t="inlineStr">
        <is>
          <t>Region Øst</t>
        </is>
      </c>
      <c r="C5106" s="34" t="inlineStr">
        <is>
          <t>Enhet for inntak Bufetat region øst, adm</t>
        </is>
      </c>
      <c r="D5106" s="18" t="n"/>
      <c r="E5106" s="18" t="n"/>
      <c r="F5106" s="18" t="n">
        <v>-29019</v>
      </c>
      <c r="G5106" s="18" t="n"/>
      <c r="H5106" s="18" t="n"/>
      <c r="I5106" s="18" t="n"/>
      <c r="J5106" s="19" t="n">
        <v>0</v>
      </c>
      <c r="K5106" s="35" t="n">
        <v>0.065</v>
      </c>
    </row>
    <row r="5107">
      <c r="A5107" s="36" t="inlineStr">
        <is>
          <t>Pensjonspremie SPK</t>
        </is>
      </c>
      <c r="B5107" s="36" t="inlineStr">
        <is>
          <t>Region Øst</t>
        </is>
      </c>
      <c r="C5107" s="36" t="inlineStr">
        <is>
          <t>Enhet for inntak Bufetat region øst, avdeling Akershus F1</t>
        </is>
      </c>
      <c r="D5107" s="26" t="n"/>
      <c r="E5107" s="26" t="n"/>
      <c r="F5107" s="26" t="n">
        <v>-163338</v>
      </c>
      <c r="G5107" s="26" t="n"/>
      <c r="H5107" s="26" t="n"/>
      <c r="I5107" s="26" t="n"/>
      <c r="J5107" s="19" t="n">
        <v>0</v>
      </c>
      <c r="K5107" s="37" t="n">
        <v>0.065</v>
      </c>
    </row>
    <row r="5108">
      <c r="A5108" s="34" t="inlineStr">
        <is>
          <t>Pensjonspremie SPK</t>
        </is>
      </c>
      <c r="B5108" s="34" t="inlineStr">
        <is>
          <t>Region Øst</t>
        </is>
      </c>
      <c r="C5108" s="34" t="inlineStr">
        <is>
          <t>Enhet for inntak Bufetat region øst, avdeling Østfold F1</t>
        </is>
      </c>
      <c r="D5108" s="18" t="n"/>
      <c r="E5108" s="18" t="n"/>
      <c r="F5108" s="18" t="n">
        <v>-94149</v>
      </c>
      <c r="G5108" s="18" t="n"/>
      <c r="H5108" s="18" t="n"/>
      <c r="I5108" s="18" t="n"/>
      <c r="J5108" s="19" t="n">
        <v>0</v>
      </c>
      <c r="K5108" s="35" t="n">
        <v>0.065</v>
      </c>
    </row>
    <row r="5109">
      <c r="A5109" s="36" t="inlineStr">
        <is>
          <t>Pensjonspremie SPK</t>
        </is>
      </c>
      <c r="B5109" s="36" t="inlineStr">
        <is>
          <t>Region Øst</t>
        </is>
      </c>
      <c r="C5109" s="36" t="inlineStr">
        <is>
          <t>Enhet for psykologressurser EMA</t>
        </is>
      </c>
      <c r="D5109" s="26" t="n">
        <v>879128</v>
      </c>
      <c r="E5109" s="26" t="n">
        <v>707953</v>
      </c>
      <c r="F5109" s="26" t="n">
        <v>611206</v>
      </c>
      <c r="G5109" s="26" t="n">
        <v>677530</v>
      </c>
      <c r="H5109" s="26" t="n">
        <v>679683</v>
      </c>
      <c r="I5109" s="26" t="n">
        <v>7137</v>
      </c>
      <c r="J5109" s="19" t="n">
        <v>4014.5625</v>
      </c>
      <c r="K5109" s="37" t="n">
        <v>-0.25</v>
      </c>
    </row>
    <row r="5110">
      <c r="A5110" s="34" t="inlineStr">
        <is>
          <t>Pensjonspremie SPK</t>
        </is>
      </c>
      <c r="B5110" s="34" t="inlineStr">
        <is>
          <t>Region Øst</t>
        </is>
      </c>
      <c r="C5110" s="34" t="inlineStr">
        <is>
          <t>Enhet for tjenestestøtte</t>
        </is>
      </c>
      <c r="D5110" s="18" t="n"/>
      <c r="E5110" s="18" t="n"/>
      <c r="F5110" s="18" t="n"/>
      <c r="G5110" s="18" t="n"/>
      <c r="H5110" s="18" t="n"/>
      <c r="I5110" s="18" t="n">
        <v>812502</v>
      </c>
      <c r="J5110" s="19" t="n">
        <v>921560.0809499999</v>
      </c>
      <c r="K5110" s="35" t="n">
        <v>0.065</v>
      </c>
    </row>
    <row r="5111">
      <c r="A5111" s="36" t="inlineStr">
        <is>
          <t>Pensjonspremie SPK</t>
        </is>
      </c>
      <c r="B5111" s="36" t="inlineStr">
        <is>
          <t>Region Øst</t>
        </is>
      </c>
      <c r="C5111" s="36" t="inlineStr">
        <is>
          <t>Follo ungdoms- og familiesenter - akutt  Administrasjon</t>
        </is>
      </c>
      <c r="D5111" s="26" t="n">
        <v>159339</v>
      </c>
      <c r="E5111" s="26" t="n"/>
      <c r="F5111" s="26" t="n"/>
      <c r="G5111" s="26" t="n"/>
      <c r="H5111" s="26" t="n"/>
      <c r="I5111" s="26" t="n"/>
      <c r="J5111" s="19" t="n">
        <v>0</v>
      </c>
      <c r="K5111" s="37" t="n">
        <v>0.065</v>
      </c>
    </row>
    <row r="5112">
      <c r="A5112" s="34" t="inlineStr">
        <is>
          <t>Pensjonspremie SPK</t>
        </is>
      </c>
      <c r="B5112" s="34" t="inlineStr">
        <is>
          <t>Region Øst</t>
        </is>
      </c>
      <c r="C5112" s="34" t="inlineStr">
        <is>
          <t>Follo ungdoms- og familiesenter - akutt  Avdeling Follo</t>
        </is>
      </c>
      <c r="D5112" s="18" t="n">
        <v>714581</v>
      </c>
      <c r="E5112" s="18" t="n">
        <v>3148</v>
      </c>
      <c r="F5112" s="18" t="n"/>
      <c r="G5112" s="18" t="n"/>
      <c r="H5112" s="18" t="n"/>
      <c r="I5112" s="18" t="n"/>
      <c r="J5112" s="19" t="n">
        <v>0</v>
      </c>
      <c r="K5112" s="35" t="n">
        <v>0.065</v>
      </c>
    </row>
    <row r="5113">
      <c r="A5113" s="36" t="inlineStr">
        <is>
          <t>Pensjonspremie SPK</t>
        </is>
      </c>
      <c r="B5113" s="36" t="inlineStr">
        <is>
          <t>Region Øst</t>
        </is>
      </c>
      <c r="C5113" s="36" t="inlineStr">
        <is>
          <t>Follo ungdoms- og familiesenter - akutt  Avdeling Jibbe</t>
        </is>
      </c>
      <c r="D5113" s="26" t="n">
        <v>584830</v>
      </c>
      <c r="E5113" s="26" t="n">
        <v>5576</v>
      </c>
      <c r="F5113" s="26" t="n"/>
      <c r="G5113" s="26" t="n"/>
      <c r="H5113" s="26" t="n"/>
      <c r="I5113" s="26" t="n"/>
      <c r="J5113" s="19" t="n">
        <v>0</v>
      </c>
      <c r="K5113" s="37" t="n">
        <v>0.065</v>
      </c>
    </row>
    <row r="5114">
      <c r="A5114" s="34" t="inlineStr">
        <is>
          <t>Pensjonspremie SPK</t>
        </is>
      </c>
      <c r="B5114" s="34" t="inlineStr">
        <is>
          <t>Region Øst</t>
        </is>
      </c>
      <c r="C5114" s="34" t="inlineStr">
        <is>
          <t>Fosterhjemstjenesten Bufetat region øst, adm</t>
        </is>
      </c>
      <c r="D5114" s="18" t="n"/>
      <c r="E5114" s="18" t="n"/>
      <c r="F5114" s="18" t="n">
        <v>-34468</v>
      </c>
      <c r="G5114" s="18" t="n"/>
      <c r="H5114" s="18" t="n"/>
      <c r="I5114" s="18" t="n"/>
      <c r="J5114" s="19" t="n">
        <v>0</v>
      </c>
      <c r="K5114" s="35" t="n">
        <v>0.065</v>
      </c>
    </row>
    <row r="5115">
      <c r="A5115" s="36" t="inlineStr">
        <is>
          <t>Pensjonspremie SPK</t>
        </is>
      </c>
      <c r="B5115" s="36" t="inlineStr">
        <is>
          <t>Region Øst</t>
        </is>
      </c>
      <c r="C5115" s="36" t="inlineStr">
        <is>
          <t>Fosterhjemstjenesten Bufetat region øst, avd Innlandet</t>
        </is>
      </c>
      <c r="D5115" s="26" t="n"/>
      <c r="E5115" s="26" t="n"/>
      <c r="F5115" s="26" t="n">
        <v>-200867</v>
      </c>
      <c r="G5115" s="26" t="n"/>
      <c r="H5115" s="26" t="n"/>
      <c r="I5115" s="26" t="n"/>
      <c r="J5115" s="19" t="n">
        <v>0</v>
      </c>
      <c r="K5115" s="37" t="n">
        <v>0.065</v>
      </c>
    </row>
    <row r="5116">
      <c r="A5116" s="34" t="inlineStr">
        <is>
          <t>Pensjonspremie SPK</t>
        </is>
      </c>
      <c r="B5116" s="34" t="inlineStr">
        <is>
          <t>Region Øst</t>
        </is>
      </c>
      <c r="C5116" s="34" t="inlineStr">
        <is>
          <t>Fosterhjemstjenesten Bufetat region øst, avdeling Akershus</t>
        </is>
      </c>
      <c r="D5116" s="18" t="n"/>
      <c r="E5116" s="18" t="n"/>
      <c r="F5116" s="18" t="n">
        <v>-142617</v>
      </c>
      <c r="G5116" s="18" t="n"/>
      <c r="H5116" s="18" t="n"/>
      <c r="I5116" s="18" t="n"/>
      <c r="J5116" s="19" t="n">
        <v>0</v>
      </c>
      <c r="K5116" s="35" t="n">
        <v>0.065</v>
      </c>
    </row>
    <row r="5117">
      <c r="A5117" s="36" t="inlineStr">
        <is>
          <t>Pensjonspremie SPK</t>
        </is>
      </c>
      <c r="B5117" s="36" t="inlineStr">
        <is>
          <t>Region Øst</t>
        </is>
      </c>
      <c r="C5117" s="36" t="inlineStr">
        <is>
          <t>Fosterhjemstjenesten Bufetat region øst, avdeling Østfold</t>
        </is>
      </c>
      <c r="D5117" s="26" t="n"/>
      <c r="E5117" s="26" t="n"/>
      <c r="F5117" s="26" t="n">
        <v>-150370</v>
      </c>
      <c r="G5117" s="26" t="n"/>
      <c r="H5117" s="26" t="n"/>
      <c r="I5117" s="26" t="n"/>
      <c r="J5117" s="19" t="n">
        <v>0</v>
      </c>
      <c r="K5117" s="37" t="n">
        <v>0.065</v>
      </c>
    </row>
    <row r="5118">
      <c r="A5118" s="34" t="inlineStr">
        <is>
          <t>Pensjonspremie SPK</t>
        </is>
      </c>
      <c r="B5118" s="34" t="inlineStr">
        <is>
          <t>Region Øst</t>
        </is>
      </c>
      <c r="C5118" s="34" t="inlineStr">
        <is>
          <t>Gullhella - Team for tverrfaglig helsekartlegging</t>
        </is>
      </c>
      <c r="D5118" s="18" t="n"/>
      <c r="E5118" s="18" t="n"/>
      <c r="F5118" s="18" t="n">
        <v>-10183</v>
      </c>
      <c r="G5118" s="18" t="n"/>
      <c r="H5118" s="18" t="n"/>
      <c r="I5118" s="18" t="n"/>
      <c r="J5118" s="19" t="n">
        <v>0</v>
      </c>
      <c r="K5118" s="35" t="n">
        <v>0.065</v>
      </c>
    </row>
    <row r="5119">
      <c r="A5119" s="36" t="inlineStr">
        <is>
          <t>Pensjonspremie SPK</t>
        </is>
      </c>
      <c r="B5119" s="36" t="inlineStr">
        <is>
          <t>Region Øst</t>
        </is>
      </c>
      <c r="C5119" s="36" t="inlineStr">
        <is>
          <t>Gullhella barne- og familiesenter Administrasjon</t>
        </is>
      </c>
      <c r="D5119" s="26" t="n"/>
      <c r="E5119" s="26" t="n"/>
      <c r="F5119" s="26" t="n">
        <v>-20700</v>
      </c>
      <c r="G5119" s="26" t="n"/>
      <c r="H5119" s="26" t="n"/>
      <c r="I5119" s="26" t="n"/>
      <c r="J5119" s="19" t="n">
        <v>0</v>
      </c>
      <c r="K5119" s="37" t="n">
        <v>0.065</v>
      </c>
    </row>
    <row r="5120">
      <c r="A5120" s="34" t="inlineStr">
        <is>
          <t>Pensjonspremie SPK</t>
        </is>
      </c>
      <c r="B5120" s="34" t="inlineStr">
        <is>
          <t>Region Øst</t>
        </is>
      </c>
      <c r="C5120" s="34" t="inlineStr">
        <is>
          <t>Gullhella barne- og familiesenter Avdeling for PMTO</t>
        </is>
      </c>
      <c r="D5120" s="18" t="n"/>
      <c r="E5120" s="18" t="n"/>
      <c r="F5120" s="18" t="n">
        <v>-23378</v>
      </c>
      <c r="G5120" s="18" t="n"/>
      <c r="H5120" s="18" t="n"/>
      <c r="I5120" s="18" t="n"/>
      <c r="J5120" s="19" t="n">
        <v>0</v>
      </c>
      <c r="K5120" s="35" t="n">
        <v>0.065</v>
      </c>
    </row>
    <row r="5121">
      <c r="A5121" s="36" t="inlineStr">
        <is>
          <t>Pensjonspremie SPK</t>
        </is>
      </c>
      <c r="B5121" s="36" t="inlineStr">
        <is>
          <t>Region Øst</t>
        </is>
      </c>
      <c r="C5121" s="36" t="inlineStr">
        <is>
          <t>Gullhella barne- og familiesenter Avdeling for beredskapshjem</t>
        </is>
      </c>
      <c r="D5121" s="26" t="n"/>
      <c r="E5121" s="26" t="n"/>
      <c r="F5121" s="26" t="n">
        <v>-231409</v>
      </c>
      <c r="G5121" s="26" t="n"/>
      <c r="H5121" s="26" t="n">
        <v>46046</v>
      </c>
      <c r="I5121" s="26" t="n"/>
      <c r="J5121" s="19" t="n">
        <v>0</v>
      </c>
      <c r="K5121" s="37" t="n">
        <v>0.065</v>
      </c>
    </row>
    <row r="5122">
      <c r="A5122" s="34" t="inlineStr">
        <is>
          <t>Pensjonspremie SPK</t>
        </is>
      </c>
      <c r="B5122" s="34" t="inlineStr">
        <is>
          <t>Region Øst</t>
        </is>
      </c>
      <c r="C5122" s="34" t="inlineStr">
        <is>
          <t>Gullhella barne- og familiesenter Avdeling for beredskapshjem 2</t>
        </is>
      </c>
      <c r="D5122" s="18" t="n"/>
      <c r="E5122" s="18" t="n"/>
      <c r="F5122" s="18" t="n">
        <v>-142284</v>
      </c>
      <c r="G5122" s="18" t="n"/>
      <c r="H5122" s="18" t="n"/>
      <c r="I5122" s="18" t="n"/>
      <c r="J5122" s="19" t="n">
        <v>0</v>
      </c>
      <c r="K5122" s="35" t="n">
        <v>0.065</v>
      </c>
    </row>
    <row r="5123">
      <c r="A5123" s="36" t="inlineStr">
        <is>
          <t>Pensjonspremie SPK</t>
        </is>
      </c>
      <c r="B5123" s="36" t="inlineStr">
        <is>
          <t>Region Øst</t>
        </is>
      </c>
      <c r="C5123" s="36" t="inlineStr">
        <is>
          <t>Gullhella barne- og familiesenter Avdeling for beredskapshjem 3</t>
        </is>
      </c>
      <c r="D5123" s="26" t="n">
        <v>64136</v>
      </c>
      <c r="E5123" s="26" t="n"/>
      <c r="F5123" s="26" t="n">
        <v>-68912</v>
      </c>
      <c r="G5123" s="26" t="n"/>
      <c r="H5123" s="26" t="n"/>
      <c r="I5123" s="26" t="n"/>
      <c r="J5123" s="19" t="n">
        <v>0</v>
      </c>
      <c r="K5123" s="37" t="n">
        <v>0.065</v>
      </c>
    </row>
    <row r="5124">
      <c r="A5124" s="34" t="inlineStr">
        <is>
          <t>Pensjonspremie SPK</t>
        </is>
      </c>
      <c r="B5124" s="34" t="inlineStr">
        <is>
          <t>Region Øst</t>
        </is>
      </c>
      <c r="C5124" s="34" t="inlineStr">
        <is>
          <t>Gullhella barne- og familiesenter Foreldre- og barn avdeling</t>
        </is>
      </c>
      <c r="D5124" s="18" t="n"/>
      <c r="E5124" s="18" t="n"/>
      <c r="F5124" s="18" t="n">
        <v>-83417</v>
      </c>
      <c r="G5124" s="18" t="n">
        <v>53027</v>
      </c>
      <c r="H5124" s="18" t="n">
        <v>57388</v>
      </c>
      <c r="I5124" s="18" t="n"/>
      <c r="J5124" s="19" t="n">
        <v>0</v>
      </c>
      <c r="K5124" s="35" t="n">
        <v>0.065</v>
      </c>
    </row>
    <row r="5125">
      <c r="A5125" s="36" t="inlineStr">
        <is>
          <t>Pensjonspremie SPK</t>
        </is>
      </c>
      <c r="B5125" s="36" t="inlineStr">
        <is>
          <t>Region Øst</t>
        </is>
      </c>
      <c r="C5125" s="36" t="inlineStr">
        <is>
          <t>Hedmark ungdoms- og  familiesenter - akutt  Administrasjon</t>
        </is>
      </c>
      <c r="D5125" s="26" t="n">
        <v>269147</v>
      </c>
      <c r="E5125" s="26" t="n">
        <v>225739</v>
      </c>
      <c r="F5125" s="26" t="n">
        <v>179036</v>
      </c>
      <c r="G5125" s="26" t="n">
        <v>185396</v>
      </c>
      <c r="H5125" s="26" t="n">
        <v>144136</v>
      </c>
      <c r="I5125" s="26" t="n">
        <v>1105</v>
      </c>
      <c r="J5125" s="19" t="n">
        <v>621.5625</v>
      </c>
      <c r="K5125" s="37" t="n">
        <v>-0.25</v>
      </c>
    </row>
    <row r="5126">
      <c r="A5126" s="34" t="inlineStr">
        <is>
          <t>Pensjonspremie SPK</t>
        </is>
      </c>
      <c r="B5126" s="34" t="inlineStr">
        <is>
          <t>Region Øst</t>
        </is>
      </c>
      <c r="C5126" s="34" t="inlineStr">
        <is>
          <t>Hedmark ungdoms- og  familiesenter - akutt  Avdeling  Stange 1</t>
        </is>
      </c>
      <c r="D5126" s="18" t="n">
        <v>1294827</v>
      </c>
      <c r="E5126" s="18" t="n">
        <v>1126093</v>
      </c>
      <c r="F5126" s="18" t="n">
        <v>882344</v>
      </c>
      <c r="G5126" s="18" t="n">
        <v>993842</v>
      </c>
      <c r="H5126" s="18" t="n">
        <v>1077752</v>
      </c>
      <c r="I5126" s="18" t="n">
        <v>20163</v>
      </c>
      <c r="J5126" s="19" t="n">
        <v>11341.6875</v>
      </c>
      <c r="K5126" s="35" t="n">
        <v>-0.25</v>
      </c>
    </row>
    <row r="5127">
      <c r="A5127" s="36" t="inlineStr">
        <is>
          <t>Pensjonspremie SPK</t>
        </is>
      </c>
      <c r="B5127" s="36" t="inlineStr">
        <is>
          <t>Region Øst</t>
        </is>
      </c>
      <c r="C5127" s="36" t="inlineStr">
        <is>
          <t>Hedmark ungdoms- og  familiesenter - akutt  Avdeling  Vien 1</t>
        </is>
      </c>
      <c r="D5127" s="26" t="n">
        <v>1124784</v>
      </c>
      <c r="E5127" s="26" t="n">
        <v>1050696</v>
      </c>
      <c r="F5127" s="26" t="n">
        <v>856584</v>
      </c>
      <c r="G5127" s="26" t="n">
        <v>1047768</v>
      </c>
      <c r="H5127" s="26" t="n">
        <v>1130142</v>
      </c>
      <c r="I5127" s="26" t="n">
        <v>22707</v>
      </c>
      <c r="J5127" s="19" t="n">
        <v>12772.6875</v>
      </c>
      <c r="K5127" s="37" t="n">
        <v>-0.25</v>
      </c>
    </row>
    <row r="5128">
      <c r="A5128" s="34" t="inlineStr">
        <is>
          <t>Pensjonspremie SPK</t>
        </is>
      </c>
      <c r="B5128" s="34" t="inlineStr">
        <is>
          <t>Region Øst</t>
        </is>
      </c>
      <c r="C5128" s="34" t="inlineStr">
        <is>
          <t>Hedmark ungdoms- og  familiesenter - akutt  Avdeling  Vien 2</t>
        </is>
      </c>
      <c r="D5128" s="18" t="n">
        <v>1123817</v>
      </c>
      <c r="E5128" s="18" t="n">
        <v>1137953</v>
      </c>
      <c r="F5128" s="18" t="n">
        <v>972199</v>
      </c>
      <c r="G5128" s="18" t="n">
        <v>958676</v>
      </c>
      <c r="H5128" s="18" t="n">
        <v>998589</v>
      </c>
      <c r="I5128" s="18" t="n">
        <v>13498</v>
      </c>
      <c r="J5128" s="19" t="n">
        <v>7592.625</v>
      </c>
      <c r="K5128" s="35" t="n">
        <v>-0.25</v>
      </c>
    </row>
    <row r="5129">
      <c r="A5129" s="36" t="inlineStr">
        <is>
          <t>Pensjonspremie SPK</t>
        </is>
      </c>
      <c r="B5129" s="36" t="inlineStr">
        <is>
          <t>Region Øst</t>
        </is>
      </c>
      <c r="C5129" s="36" t="inlineStr">
        <is>
          <t>Hedmark ungdoms- og familiesenter - akutt Avdeling Disen</t>
        </is>
      </c>
      <c r="D5129" s="26" t="n"/>
      <c r="E5129" s="26" t="n"/>
      <c r="F5129" s="26" t="n">
        <v>795301</v>
      </c>
      <c r="G5129" s="26" t="n">
        <v>982952</v>
      </c>
      <c r="H5129" s="26" t="n">
        <v>1012613</v>
      </c>
      <c r="I5129" s="26" t="n">
        <v>15507</v>
      </c>
      <c r="J5129" s="19" t="n">
        <v>17588.427075</v>
      </c>
      <c r="K5129" s="37" t="n">
        <v>0.065</v>
      </c>
    </row>
    <row r="5130">
      <c r="A5130" s="34" t="inlineStr">
        <is>
          <t>Pensjonspremie SPK</t>
        </is>
      </c>
      <c r="B5130" s="34" t="inlineStr">
        <is>
          <t>Region Øst</t>
        </is>
      </c>
      <c r="C5130" s="34" t="inlineStr">
        <is>
          <t>Hedmark ungdoms- og familiesenter - akutt Avdeling Irstad</t>
        </is>
      </c>
      <c r="D5130" s="18" t="n">
        <v>1164072</v>
      </c>
      <c r="E5130" s="18" t="n">
        <v>1035045</v>
      </c>
      <c r="F5130" s="18" t="n">
        <v>14565</v>
      </c>
      <c r="G5130" s="18" t="n"/>
      <c r="H5130" s="18" t="n"/>
      <c r="I5130" s="18" t="n"/>
      <c r="J5130" s="19" t="n">
        <v>0</v>
      </c>
      <c r="K5130" s="35" t="n">
        <v>0.065</v>
      </c>
    </row>
    <row r="5131">
      <c r="A5131" s="36" t="inlineStr">
        <is>
          <t>Pensjonspremie SPK</t>
        </is>
      </c>
      <c r="B5131" s="36" t="inlineStr">
        <is>
          <t>Region Øst</t>
        </is>
      </c>
      <c r="C5131" s="36" t="inlineStr">
        <is>
          <t>Hedmark ungdoms- og familiesenter - akutt, adm</t>
        </is>
      </c>
      <c r="D5131" s="26" t="n"/>
      <c r="E5131" s="26" t="n"/>
      <c r="F5131" s="26" t="n"/>
      <c r="G5131" s="26" t="n"/>
      <c r="H5131" s="26" t="n"/>
      <c r="I5131" s="26" t="n">
        <v>171196</v>
      </c>
      <c r="J5131" s="19" t="n">
        <v>194174.7831</v>
      </c>
      <c r="K5131" s="37" t="n">
        <v>0.065</v>
      </c>
    </row>
    <row r="5132">
      <c r="A5132" s="34" t="inlineStr">
        <is>
          <t>Pensjonspremie SPK</t>
        </is>
      </c>
      <c r="B5132" s="34" t="inlineStr">
        <is>
          <t>Region Øst</t>
        </is>
      </c>
      <c r="C5132" s="34" t="inlineStr">
        <is>
          <t>Hedmark ungdoms- og familiesenter - akutt, avd Disen</t>
        </is>
      </c>
      <c r="D5132" s="18" t="n"/>
      <c r="E5132" s="18" t="n"/>
      <c r="F5132" s="18" t="n"/>
      <c r="G5132" s="18" t="n"/>
      <c r="H5132" s="18" t="n"/>
      <c r="I5132" s="18" t="n">
        <v>921097</v>
      </c>
      <c r="J5132" s="19" t="n">
        <v>1044731.244825</v>
      </c>
      <c r="K5132" s="35" t="n">
        <v>0.065</v>
      </c>
    </row>
    <row r="5133">
      <c r="A5133" s="36" t="inlineStr">
        <is>
          <t>Pensjonspremie SPK</t>
        </is>
      </c>
      <c r="B5133" s="36" t="inlineStr">
        <is>
          <t>Region Øst</t>
        </is>
      </c>
      <c r="C5133" s="36" t="inlineStr">
        <is>
          <t>Hedmark ungdoms- og familiesenter - akutt, avd Stange 1</t>
        </is>
      </c>
      <c r="D5133" s="26" t="n"/>
      <c r="E5133" s="26" t="n"/>
      <c r="F5133" s="26" t="n"/>
      <c r="G5133" s="26" t="n"/>
      <c r="H5133" s="26" t="n"/>
      <c r="I5133" s="26" t="n">
        <v>980189</v>
      </c>
      <c r="J5133" s="19" t="n">
        <v>1111754.868525</v>
      </c>
      <c r="K5133" s="37" t="n">
        <v>0.065</v>
      </c>
    </row>
    <row r="5134">
      <c r="A5134" s="34" t="inlineStr">
        <is>
          <t>Pensjonspremie SPK</t>
        </is>
      </c>
      <c r="B5134" s="34" t="inlineStr">
        <is>
          <t>Region Øst</t>
        </is>
      </c>
      <c r="C5134" s="34" t="inlineStr">
        <is>
          <t>Hedmark ungdoms- og familiesenter - akutt, avd Vien 1</t>
        </is>
      </c>
      <c r="D5134" s="18" t="n"/>
      <c r="E5134" s="18" t="n"/>
      <c r="F5134" s="18" t="n"/>
      <c r="G5134" s="18" t="n"/>
      <c r="H5134" s="18" t="n"/>
      <c r="I5134" s="18" t="n">
        <v>1165320</v>
      </c>
      <c r="J5134" s="19" t="n">
        <v>1321735.077</v>
      </c>
      <c r="K5134" s="35" t="n">
        <v>0.065</v>
      </c>
    </row>
    <row r="5135">
      <c r="A5135" s="36" t="inlineStr">
        <is>
          <t>Pensjonspremie SPK</t>
        </is>
      </c>
      <c r="B5135" s="36" t="inlineStr">
        <is>
          <t>Region Øst</t>
        </is>
      </c>
      <c r="C5135" s="36" t="inlineStr">
        <is>
          <t>Hedmark ungdoms- og familiesenter - akutt, avd Vien 2</t>
        </is>
      </c>
      <c r="D5135" s="26" t="n"/>
      <c r="E5135" s="26" t="n"/>
      <c r="F5135" s="26" t="n"/>
      <c r="G5135" s="26" t="n"/>
      <c r="H5135" s="26" t="n"/>
      <c r="I5135" s="26" t="n">
        <v>898109</v>
      </c>
      <c r="J5135" s="19" t="n">
        <v>1018657.680525</v>
      </c>
      <c r="K5135" s="37" t="n">
        <v>0.065</v>
      </c>
    </row>
    <row r="5136">
      <c r="A5136" s="34" t="inlineStr">
        <is>
          <t>Pensjonspremie SPK</t>
        </is>
      </c>
      <c r="B5136" s="34" t="inlineStr">
        <is>
          <t>Region Øst</t>
        </is>
      </c>
      <c r="C5136" s="34" t="inlineStr">
        <is>
          <t>Innlandet Barnevernsenter avdeling Sandvig</t>
        </is>
      </c>
      <c r="D5136" s="18" t="n">
        <v>281852</v>
      </c>
      <c r="E5136" s="18" t="n">
        <v>755757</v>
      </c>
      <c r="F5136" s="18" t="n">
        <v>620227</v>
      </c>
      <c r="G5136" s="18" t="n">
        <v>771663</v>
      </c>
      <c r="H5136" s="18" t="n">
        <v>931819</v>
      </c>
      <c r="I5136" s="18" t="n">
        <v>1018306</v>
      </c>
      <c r="J5136" s="19" t="n">
        <v>1591103.125</v>
      </c>
      <c r="K5136" s="35" t="n">
        <v>0.25</v>
      </c>
    </row>
    <row r="5137">
      <c r="A5137" s="36" t="inlineStr">
        <is>
          <t>Pensjonspremie SPK</t>
        </is>
      </c>
      <c r="B5137" s="36" t="inlineStr">
        <is>
          <t>Region Øst</t>
        </is>
      </c>
      <c r="C5137" s="36" t="inlineStr">
        <is>
          <t>Innlandet barnevernsenter avdeling Aukrust</t>
        </is>
      </c>
      <c r="D5137" s="26" t="n">
        <v>991100</v>
      </c>
      <c r="E5137" s="26" t="n">
        <v>802499</v>
      </c>
      <c r="F5137" s="26" t="n">
        <v>623252</v>
      </c>
      <c r="G5137" s="26" t="n">
        <v>781835</v>
      </c>
      <c r="H5137" s="26" t="n">
        <v>851358</v>
      </c>
      <c r="I5137" s="26" t="n">
        <v>889200</v>
      </c>
      <c r="J5137" s="19" t="n">
        <v>851436.4633198874</v>
      </c>
      <c r="K5137" s="37" t="n">
        <v>-0.02146492887328022</v>
      </c>
    </row>
    <row r="5138">
      <c r="A5138" s="34" t="inlineStr">
        <is>
          <t>Pensjonspremie SPK</t>
        </is>
      </c>
      <c r="B5138" s="34" t="inlineStr">
        <is>
          <t>Region Øst</t>
        </is>
      </c>
      <c r="C5138" s="34" t="inlineStr">
        <is>
          <t>Innlandet barnevernsenter avdeling Kauffeldt</t>
        </is>
      </c>
      <c r="D5138" s="18" t="n"/>
      <c r="E5138" s="18" t="n"/>
      <c r="F5138" s="18" t="n"/>
      <c r="G5138" s="18" t="n">
        <v>177658</v>
      </c>
      <c r="H5138" s="18" t="n">
        <v>687106</v>
      </c>
      <c r="I5138" s="18" t="n">
        <v>895290</v>
      </c>
      <c r="J5138" s="19" t="n">
        <v>1015460.30025</v>
      </c>
      <c r="K5138" s="35" t="n">
        <v>0.065</v>
      </c>
    </row>
    <row r="5139">
      <c r="A5139" s="36" t="inlineStr">
        <is>
          <t>Pensjonspremie SPK</t>
        </is>
      </c>
      <c r="B5139" s="36" t="inlineStr">
        <is>
          <t>Region Øst</t>
        </is>
      </c>
      <c r="C5139" s="36" t="inlineStr">
        <is>
          <t>Innlandet barnevernsenter avdeling Prøysen</t>
        </is>
      </c>
      <c r="D5139" s="26" t="n">
        <v>897038</v>
      </c>
      <c r="E5139" s="26" t="n">
        <v>895845</v>
      </c>
      <c r="F5139" s="26" t="n">
        <v>695313</v>
      </c>
      <c r="G5139" s="26" t="n">
        <v>844301</v>
      </c>
      <c r="H5139" s="26" t="n">
        <v>939958</v>
      </c>
      <c r="I5139" s="26" t="n">
        <v>1055679</v>
      </c>
      <c r="J5139" s="19" t="n">
        <v>1126731.144771056</v>
      </c>
      <c r="K5139" s="37" t="n">
        <v>0.03310439312690949</v>
      </c>
    </row>
    <row r="5140">
      <c r="A5140" s="34" t="inlineStr">
        <is>
          <t>Pensjonspremie SPK</t>
        </is>
      </c>
      <c r="B5140" s="34" t="inlineStr">
        <is>
          <t>Region Øst</t>
        </is>
      </c>
      <c r="C5140" s="34" t="inlineStr">
        <is>
          <t>Innlandet barnevernsenter avdeling Vestly</t>
        </is>
      </c>
      <c r="D5140" s="18" t="n">
        <v>956479</v>
      </c>
      <c r="E5140" s="18" t="n">
        <v>836866</v>
      </c>
      <c r="F5140" s="18" t="n">
        <v>698424</v>
      </c>
      <c r="G5140" s="18" t="n">
        <v>908901</v>
      </c>
      <c r="H5140" s="18" t="n">
        <v>862180</v>
      </c>
      <c r="I5140" s="18" t="n">
        <v>832311</v>
      </c>
      <c r="J5140" s="19" t="n">
        <v>787280.8948588372</v>
      </c>
      <c r="K5140" s="35" t="n">
        <v>-0.02742738014856183</v>
      </c>
    </row>
    <row r="5141">
      <c r="A5141" s="36" t="inlineStr">
        <is>
          <t>Pensjonspremie SPK</t>
        </is>
      </c>
      <c r="B5141" s="36" t="inlineStr">
        <is>
          <t>Region Øst</t>
        </is>
      </c>
      <c r="C5141" s="36" t="inlineStr">
        <is>
          <t>Jong ungdoms- og familiesenter, Administrasjon</t>
        </is>
      </c>
      <c r="D5141" s="26" t="n">
        <v>133261</v>
      </c>
      <c r="E5141" s="26" t="n">
        <v>177846</v>
      </c>
      <c r="F5141" s="26" t="n">
        <v>141372</v>
      </c>
      <c r="G5141" s="26" t="n">
        <v>115765</v>
      </c>
      <c r="H5141" s="26" t="n">
        <v>106613</v>
      </c>
      <c r="I5141" s="26" t="n">
        <v>-1637</v>
      </c>
      <c r="J5141" s="19" t="n">
        <v>-1856.726325</v>
      </c>
      <c r="K5141" s="37" t="n">
        <v>0.065</v>
      </c>
    </row>
    <row r="5142">
      <c r="A5142" s="34" t="inlineStr">
        <is>
          <t>Pensjonspremie SPK</t>
        </is>
      </c>
      <c r="B5142" s="34" t="inlineStr">
        <is>
          <t>Region Øst</t>
        </is>
      </c>
      <c r="C5142" s="34" t="inlineStr">
        <is>
          <t>Jong ungdoms- og familiesenter, adm</t>
        </is>
      </c>
      <c r="D5142" s="18" t="n"/>
      <c r="E5142" s="18" t="n"/>
      <c r="F5142" s="18" t="n"/>
      <c r="G5142" s="18" t="n"/>
      <c r="H5142" s="18" t="n"/>
      <c r="I5142" s="18" t="n">
        <v>126067</v>
      </c>
      <c r="J5142" s="19" t="n">
        <v>142988.343075</v>
      </c>
      <c r="K5142" s="35" t="n">
        <v>0.065</v>
      </c>
    </row>
    <row r="5143">
      <c r="A5143" s="36" t="inlineStr">
        <is>
          <t>Pensjonspremie SPK</t>
        </is>
      </c>
      <c r="B5143" s="36" t="inlineStr">
        <is>
          <t>Region Øst</t>
        </is>
      </c>
      <c r="C5143" s="36" t="inlineStr">
        <is>
          <t>Jong ungdoms- og familiesenter, avd Åsen</t>
        </is>
      </c>
      <c r="D5143" s="26" t="n"/>
      <c r="E5143" s="26" t="n"/>
      <c r="F5143" s="26" t="n"/>
      <c r="G5143" s="26" t="n"/>
      <c r="H5143" s="26" t="n"/>
      <c r="I5143" s="26" t="n">
        <v>985441</v>
      </c>
      <c r="J5143" s="19" t="n">
        <v>1117711.818225</v>
      </c>
      <c r="K5143" s="37" t="n">
        <v>0.065</v>
      </c>
    </row>
    <row r="5144">
      <c r="A5144" s="34" t="inlineStr">
        <is>
          <t>Pensjonspremie SPK</t>
        </is>
      </c>
      <c r="B5144" s="34" t="inlineStr">
        <is>
          <t>Region Øst</t>
        </is>
      </c>
      <c r="C5144" s="34" t="inlineStr">
        <is>
          <t>Jong ungdoms- og familiesenter, avd. Kollen</t>
        </is>
      </c>
      <c r="D5144" s="18" t="n"/>
      <c r="E5144" s="18" t="n"/>
      <c r="F5144" s="18" t="n"/>
      <c r="G5144" s="18" t="n"/>
      <c r="H5144" s="18" t="n"/>
      <c r="I5144" s="18" t="n">
        <v>887546</v>
      </c>
      <c r="J5144" s="19" t="n">
        <v>1006676.86185</v>
      </c>
      <c r="K5144" s="35" t="n">
        <v>0.065</v>
      </c>
    </row>
    <row r="5145">
      <c r="A5145" s="36" t="inlineStr">
        <is>
          <t>Pensjonspremie SPK</t>
        </is>
      </c>
      <c r="B5145" s="36" t="inlineStr">
        <is>
          <t>Region Øst</t>
        </is>
      </c>
      <c r="C5145" s="36" t="inlineStr">
        <is>
          <t>Jong ungdoms- og familiesenter, avdeling Kollen</t>
        </is>
      </c>
      <c r="D5145" s="26" t="n">
        <v>7517</v>
      </c>
      <c r="E5145" s="26" t="n">
        <v>18504</v>
      </c>
      <c r="F5145" s="26" t="n">
        <v>41049</v>
      </c>
      <c r="G5145" s="26" t="n">
        <v>34359</v>
      </c>
      <c r="H5145" s="26" t="n">
        <v>354845</v>
      </c>
      <c r="I5145" s="26" t="n">
        <v>5039</v>
      </c>
      <c r="J5145" s="19" t="n">
        <v>4294.022162435164</v>
      </c>
      <c r="K5145" s="37" t="n">
        <v>-0.07687617126291679</v>
      </c>
    </row>
    <row r="5146">
      <c r="A5146" s="34" t="inlineStr">
        <is>
          <t>Pensjonspremie SPK</t>
        </is>
      </c>
      <c r="B5146" s="34" t="inlineStr">
        <is>
          <t>Region Øst</t>
        </is>
      </c>
      <c r="C5146" s="34" t="inlineStr">
        <is>
          <t>Jong ungdoms- og familiesenter, avdeling Åsen</t>
        </is>
      </c>
      <c r="D5146" s="18" t="n">
        <v>1219760</v>
      </c>
      <c r="E5146" s="18" t="n">
        <v>1009774</v>
      </c>
      <c r="F5146" s="18" t="n">
        <v>770720</v>
      </c>
      <c r="G5146" s="18" t="n">
        <v>912177</v>
      </c>
      <c r="H5146" s="18" t="n">
        <v>937707</v>
      </c>
      <c r="I5146" s="18" t="n"/>
      <c r="J5146" s="19" t="n">
        <v>0</v>
      </c>
      <c r="K5146" s="35" t="n">
        <v>0.065</v>
      </c>
    </row>
    <row r="5147">
      <c r="A5147" s="36" t="inlineStr">
        <is>
          <t>Pensjonspremie SPK</t>
        </is>
      </c>
      <c r="B5147" s="36" t="inlineStr">
        <is>
          <t>Region Øst</t>
        </is>
      </c>
      <c r="C5147" s="36" t="inlineStr">
        <is>
          <t>Kirkenær barnever- og omsorgssenter Avdeling Frigg</t>
        </is>
      </c>
      <c r="D5147" s="26" t="n"/>
      <c r="E5147" s="26" t="n">
        <v>593992</v>
      </c>
      <c r="F5147" s="26" t="n">
        <v>562861</v>
      </c>
      <c r="G5147" s="26" t="n">
        <v>719645</v>
      </c>
      <c r="H5147" s="26" t="n">
        <v>862158</v>
      </c>
      <c r="I5147" s="26" t="n">
        <v>788083</v>
      </c>
      <c r="J5147" s="19" t="n">
        <v>907752.8916120714</v>
      </c>
      <c r="K5147" s="37" t="n">
        <v>0.07324244716699502</v>
      </c>
    </row>
    <row r="5148">
      <c r="A5148" s="34" t="inlineStr">
        <is>
          <t>Pensjonspremie SPK</t>
        </is>
      </c>
      <c r="B5148" s="34" t="inlineStr">
        <is>
          <t>Region Øst</t>
        </is>
      </c>
      <c r="C5148" s="34" t="inlineStr">
        <is>
          <t>Kirkenær barnevern- og omsorgssenter  Administrasjon</t>
        </is>
      </c>
      <c r="D5148" s="18" t="n">
        <v>247172</v>
      </c>
      <c r="E5148" s="18" t="n">
        <v>196122</v>
      </c>
      <c r="F5148" s="18" t="n">
        <v>171472</v>
      </c>
      <c r="G5148" s="18" t="n">
        <v>198920</v>
      </c>
      <c r="H5148" s="18" t="n">
        <v>177197</v>
      </c>
      <c r="I5148" s="18" t="n">
        <v>181430</v>
      </c>
      <c r="J5148" s="19" t="n">
        <v>160321.9668201493</v>
      </c>
      <c r="K5148" s="35" t="n">
        <v>-0.0599694546901266</v>
      </c>
    </row>
    <row r="5149">
      <c r="A5149" s="36" t="inlineStr">
        <is>
          <t>Pensjonspremie SPK</t>
        </is>
      </c>
      <c r="B5149" s="36" t="inlineStr">
        <is>
          <t>Region Øst</t>
        </is>
      </c>
      <c r="C5149" s="36" t="inlineStr">
        <is>
          <t>Kirkenær barnevern- og omsorgssenter  Avdeling Frydenlund</t>
        </is>
      </c>
      <c r="D5149" s="26" t="n">
        <v>906</v>
      </c>
      <c r="E5149" s="26" t="n">
        <v>26074</v>
      </c>
      <c r="F5149" s="26" t="n"/>
      <c r="G5149" s="26" t="n"/>
      <c r="H5149" s="26" t="n"/>
      <c r="I5149" s="26" t="n"/>
      <c r="J5149" s="19" t="n">
        <v>0</v>
      </c>
      <c r="K5149" s="37" t="n">
        <v>0.065</v>
      </c>
    </row>
    <row r="5150">
      <c r="A5150" s="34" t="inlineStr">
        <is>
          <t>Pensjonspremie SPK</t>
        </is>
      </c>
      <c r="B5150" s="34" t="inlineStr">
        <is>
          <t>Region Øst</t>
        </is>
      </c>
      <c r="C5150" s="34" t="inlineStr">
        <is>
          <t>Kirkenær barnevern- og omsorgssenter  Avdeling Furubo</t>
        </is>
      </c>
      <c r="D5150" s="18" t="n">
        <v>19464</v>
      </c>
      <c r="E5150" s="18" t="n">
        <v>70643</v>
      </c>
      <c r="F5150" s="18" t="n">
        <v>1</v>
      </c>
      <c r="G5150" s="18" t="n"/>
      <c r="H5150" s="18" t="n"/>
      <c r="I5150" s="18" t="n"/>
      <c r="J5150" s="19" t="n">
        <v>0</v>
      </c>
      <c r="K5150" s="35" t="n">
        <v>0.065</v>
      </c>
    </row>
    <row r="5151">
      <c r="A5151" s="36" t="inlineStr">
        <is>
          <t>Pensjonspremie SPK</t>
        </is>
      </c>
      <c r="B5151" s="36" t="inlineStr">
        <is>
          <t>Region Øst</t>
        </is>
      </c>
      <c r="C5151" s="36" t="inlineStr">
        <is>
          <t>Kirkenær barnevern- og omsorgssenter  Avdeling Kirkenærtunet</t>
        </is>
      </c>
      <c r="D5151" s="26" t="n">
        <v>333</v>
      </c>
      <c r="E5151" s="26" t="n"/>
      <c r="F5151" s="26" t="n"/>
      <c r="G5151" s="26" t="n">
        <v>12879</v>
      </c>
      <c r="H5151" s="26" t="n">
        <v>12894</v>
      </c>
      <c r="I5151" s="26" t="n"/>
      <c r="J5151" s="19" t="n">
        <v>0</v>
      </c>
      <c r="K5151" s="37" t="n">
        <v>0.065</v>
      </c>
    </row>
    <row r="5152">
      <c r="A5152" s="34" t="inlineStr">
        <is>
          <t>Pensjonspremie SPK</t>
        </is>
      </c>
      <c r="B5152" s="34" t="inlineStr">
        <is>
          <t>Region Øst</t>
        </is>
      </c>
      <c r="C5152" s="34" t="inlineStr">
        <is>
          <t>Kirkenær barnevern- og omsorgssenter  Edda ungdomshjem</t>
        </is>
      </c>
      <c r="D5152" s="18" t="n">
        <v>874856</v>
      </c>
      <c r="E5152" s="18" t="n">
        <v>765479</v>
      </c>
      <c r="F5152" s="18" t="n">
        <v>725330</v>
      </c>
      <c r="G5152" s="18" t="n">
        <v>881979</v>
      </c>
      <c r="H5152" s="18" t="n">
        <v>1047763</v>
      </c>
      <c r="I5152" s="18" t="n">
        <v>1010193</v>
      </c>
      <c r="J5152" s="19" t="n">
        <v>1070018.944468914</v>
      </c>
      <c r="K5152" s="35" t="n">
        <v>0.02918525623433044</v>
      </c>
    </row>
    <row r="5153">
      <c r="A5153" s="36" t="inlineStr">
        <is>
          <t>Pensjonspremie SPK</t>
        </is>
      </c>
      <c r="B5153" s="36" t="inlineStr">
        <is>
          <t>Region Øst</t>
        </is>
      </c>
      <c r="C5153" s="36" t="inlineStr">
        <is>
          <t>Kirkenær barnevern- og omsorgssenter  Snorre ungdomshjem</t>
        </is>
      </c>
      <c r="D5153" s="26" t="n">
        <v>1014953</v>
      </c>
      <c r="E5153" s="26" t="n">
        <v>935397</v>
      </c>
      <c r="F5153" s="26" t="n">
        <v>712024</v>
      </c>
      <c r="G5153" s="26" t="n">
        <v>902184</v>
      </c>
      <c r="H5153" s="26" t="n">
        <v>927137</v>
      </c>
      <c r="I5153" s="26" t="n">
        <v>1015489</v>
      </c>
      <c r="J5153" s="19" t="n">
        <v>1015703.479249369</v>
      </c>
      <c r="K5153" s="37" t="n">
        <v>0.0001055983499771429</v>
      </c>
    </row>
    <row r="5154">
      <c r="A5154" s="34" t="inlineStr">
        <is>
          <t>Pensjonspremie SPK</t>
        </is>
      </c>
      <c r="B5154" s="34" t="inlineStr">
        <is>
          <t>Region Øst</t>
        </is>
      </c>
      <c r="C5154" s="34" t="inlineStr">
        <is>
          <t>Kirkenær barnevern- og omsorgssenter Avdeling Balder</t>
        </is>
      </c>
      <c r="D5154" s="18" t="n">
        <v>631061</v>
      </c>
      <c r="E5154" s="18" t="n">
        <v>938734</v>
      </c>
      <c r="F5154" s="18" t="n">
        <v>638872</v>
      </c>
      <c r="G5154" s="18" t="n">
        <v>697406</v>
      </c>
      <c r="H5154" s="18" t="n">
        <v>859117</v>
      </c>
      <c r="I5154" s="18" t="n">
        <v>852805</v>
      </c>
      <c r="J5154" s="19" t="n">
        <v>961969.0437367114</v>
      </c>
      <c r="K5154" s="35" t="n">
        <v>0.06207620601663799</v>
      </c>
    </row>
    <row r="5155">
      <c r="A5155" s="36" t="inlineStr">
        <is>
          <t>Pensjonspremie SPK</t>
        </is>
      </c>
      <c r="B5155" s="36" t="inlineStr">
        <is>
          <t>Region Øst</t>
        </is>
      </c>
      <c r="C5155" s="36" t="inlineStr">
        <is>
          <t>Kirkenær barnevern- og omsorgssenter avdeling for spesialiserte fosterhjem</t>
        </is>
      </c>
      <c r="D5155" s="26" t="n">
        <v>207371</v>
      </c>
      <c r="E5155" s="26" t="n">
        <v>176890</v>
      </c>
      <c r="F5155" s="26" t="n">
        <v>-62891</v>
      </c>
      <c r="G5155" s="26" t="n"/>
      <c r="H5155" s="26" t="n"/>
      <c r="I5155" s="26" t="n"/>
      <c r="J5155" s="19" t="n">
        <v>0</v>
      </c>
      <c r="K5155" s="37" t="n">
        <v>0.065</v>
      </c>
    </row>
    <row r="5156">
      <c r="A5156" s="34" t="inlineStr">
        <is>
          <t>Pensjonspremie SPK</t>
        </is>
      </c>
      <c r="B5156" s="34" t="inlineStr">
        <is>
          <t>Region Øst</t>
        </is>
      </c>
      <c r="C5156" s="34" t="inlineStr">
        <is>
          <t>Lierfoss ungdoms- og familiesenter - avdeling Skogtun</t>
        </is>
      </c>
      <c r="D5156" s="18" t="n"/>
      <c r="E5156" s="18" t="n"/>
      <c r="F5156" s="18" t="n"/>
      <c r="G5156" s="18" t="n">
        <v>57851</v>
      </c>
      <c r="H5156" s="18" t="n">
        <v>1140195</v>
      </c>
      <c r="I5156" s="18" t="n">
        <v>1264000</v>
      </c>
      <c r="J5156" s="19" t="n">
        <v>1433660.4</v>
      </c>
      <c r="K5156" s="35" t="n">
        <v>0.065</v>
      </c>
    </row>
    <row r="5157">
      <c r="A5157" s="36" t="inlineStr">
        <is>
          <t>Pensjonspremie SPK</t>
        </is>
      </c>
      <c r="B5157" s="36" t="inlineStr">
        <is>
          <t>Region Øst</t>
        </is>
      </c>
      <c r="C5157" s="36" t="inlineStr">
        <is>
          <t>Lierfoss ungdoms- og familiesenter - omsorg  Administrasjon</t>
        </is>
      </c>
      <c r="D5157" s="26" t="n">
        <v>53168</v>
      </c>
      <c r="E5157" s="26" t="n">
        <v>47984</v>
      </c>
      <c r="F5157" s="26" t="n">
        <v>53839</v>
      </c>
      <c r="G5157" s="26" t="n">
        <v>160776</v>
      </c>
      <c r="H5157" s="26" t="n">
        <v>132118</v>
      </c>
      <c r="I5157" s="26" t="n">
        <v>140042</v>
      </c>
      <c r="J5157" s="19" t="n">
        <v>206301.0777023635</v>
      </c>
      <c r="K5157" s="37" t="n">
        <v>0.2137286291794662</v>
      </c>
    </row>
    <row r="5158">
      <c r="A5158" s="34" t="inlineStr">
        <is>
          <t>Pensjonspremie SPK</t>
        </is>
      </c>
      <c r="B5158" s="34" t="inlineStr">
        <is>
          <t>Region Øst</t>
        </is>
      </c>
      <c r="C5158" s="34" t="inlineStr">
        <is>
          <t>Lierfoss ungdoms- og familiesenter - omsorg  Autentoppen ungdomshjem</t>
        </is>
      </c>
      <c r="D5158" s="18" t="n">
        <v>556609</v>
      </c>
      <c r="E5158" s="18" t="n">
        <v>429808</v>
      </c>
      <c r="F5158" s="18" t="n">
        <v>13714</v>
      </c>
      <c r="G5158" s="18" t="n"/>
      <c r="H5158" s="18" t="n"/>
      <c r="I5158" s="18" t="n"/>
      <c r="J5158" s="19" t="n">
        <v>0</v>
      </c>
      <c r="K5158" s="35" t="n">
        <v>0.065</v>
      </c>
    </row>
    <row r="5159">
      <c r="A5159" s="36" t="inlineStr">
        <is>
          <t>Pensjonspremie SPK</t>
        </is>
      </c>
      <c r="B5159" s="36" t="inlineStr">
        <is>
          <t>Region Øst</t>
        </is>
      </c>
      <c r="C5159" s="36" t="inlineStr">
        <is>
          <t>Lierfoss ungdoms- og familiesenter - omsorg  Berglia ungdomshjem</t>
        </is>
      </c>
      <c r="D5159" s="26" t="n">
        <v>1131439</v>
      </c>
      <c r="E5159" s="26" t="n">
        <v>1027947</v>
      </c>
      <c r="F5159" s="26" t="n">
        <v>746417</v>
      </c>
      <c r="G5159" s="26" t="n">
        <v>788704</v>
      </c>
      <c r="H5159" s="26" t="n">
        <v>512943</v>
      </c>
      <c r="I5159" s="26" t="n">
        <v>779868</v>
      </c>
      <c r="J5159" s="19" t="n">
        <v>672012.0845196543</v>
      </c>
      <c r="K5159" s="37" t="n">
        <v>-0.0717221425515423</v>
      </c>
    </row>
    <row r="5160">
      <c r="A5160" s="34" t="inlineStr">
        <is>
          <t>Pensjonspremie SPK</t>
        </is>
      </c>
      <c r="B5160" s="34" t="inlineStr">
        <is>
          <t>Region Øst</t>
        </is>
      </c>
      <c r="C5160" s="34" t="inlineStr">
        <is>
          <t>Lierfoss ungdoms- og familiesenter - omsorg  Furulia ungdomshjem</t>
        </is>
      </c>
      <c r="D5160" s="18" t="n">
        <v>439982</v>
      </c>
      <c r="E5160" s="18" t="n">
        <v>367713</v>
      </c>
      <c r="F5160" s="18" t="n">
        <v>503298</v>
      </c>
      <c r="G5160" s="18" t="n">
        <v>888240</v>
      </c>
      <c r="H5160" s="18" t="n">
        <v>976331</v>
      </c>
      <c r="I5160" s="18" t="n">
        <v>1001030</v>
      </c>
      <c r="J5160" s="19" t="n">
        <v>1390759.280095852</v>
      </c>
      <c r="K5160" s="35" t="n">
        <v>0.1786977016927269</v>
      </c>
    </row>
    <row r="5161">
      <c r="A5161" s="36" t="inlineStr">
        <is>
          <t>Pensjonspremie SPK</t>
        </is>
      </c>
      <c r="B5161" s="36" t="inlineStr">
        <is>
          <t>Region Øst</t>
        </is>
      </c>
      <c r="C5161" s="36" t="inlineStr">
        <is>
          <t>Lierfoss ungdoms- og familiesenter - omsorg Lillehagen</t>
        </is>
      </c>
      <c r="D5161" s="26" t="n">
        <v>960577</v>
      </c>
      <c r="E5161" s="26" t="n">
        <v>556143</v>
      </c>
      <c r="F5161" s="26" t="n">
        <v>9070</v>
      </c>
      <c r="G5161" s="26" t="n"/>
      <c r="H5161" s="26" t="n"/>
      <c r="I5161" s="26" t="n"/>
      <c r="J5161" s="19" t="n">
        <v>0</v>
      </c>
      <c r="K5161" s="37" t="n">
        <v>0.065</v>
      </c>
    </row>
    <row r="5162">
      <c r="A5162" s="34" t="inlineStr">
        <is>
          <t>Pensjonspremie SPK</t>
        </is>
      </c>
      <c r="B5162" s="34" t="inlineStr">
        <is>
          <t>Region Øst</t>
        </is>
      </c>
      <c r="C5162" s="34" t="inlineStr">
        <is>
          <t>Lierfoss ungdoms- og familiesenter, avdeling Riserhagen</t>
        </is>
      </c>
      <c r="D5162" s="18" t="n"/>
      <c r="E5162" s="18" t="n">
        <v>290666</v>
      </c>
      <c r="F5162" s="18" t="n">
        <v>838895</v>
      </c>
      <c r="G5162" s="18" t="n">
        <v>1067384</v>
      </c>
      <c r="H5162" s="18" t="n">
        <v>1056569</v>
      </c>
      <c r="I5162" s="18" t="n">
        <v>1097172</v>
      </c>
      <c r="J5162" s="19" t="n">
        <v>1714331.25</v>
      </c>
      <c r="K5162" s="35" t="n">
        <v>0.25</v>
      </c>
    </row>
    <row r="5163">
      <c r="A5163" s="36" t="inlineStr">
        <is>
          <t>Pensjonspremie SPK</t>
        </is>
      </c>
      <c r="B5163" s="36" t="inlineStr">
        <is>
          <t>Region Øst</t>
        </is>
      </c>
      <c r="C5163" s="36" t="inlineStr">
        <is>
          <t>Multisystemisk  terapi-team Gjøvik</t>
        </is>
      </c>
      <c r="D5163" s="26" t="n"/>
      <c r="E5163" s="26" t="n"/>
      <c r="F5163" s="26" t="n">
        <v>-53743</v>
      </c>
      <c r="G5163" s="26" t="n"/>
      <c r="H5163" s="26" t="n"/>
      <c r="I5163" s="26" t="n"/>
      <c r="J5163" s="19" t="n">
        <v>0</v>
      </c>
      <c r="K5163" s="37" t="n">
        <v>0.065</v>
      </c>
    </row>
    <row r="5164">
      <c r="A5164" s="34" t="inlineStr">
        <is>
          <t>Pensjonspremie SPK</t>
        </is>
      </c>
      <c r="B5164" s="34" t="inlineStr">
        <is>
          <t>Region Øst</t>
        </is>
      </c>
      <c r="C5164" s="34" t="inlineStr">
        <is>
          <t>Multisystemisk  terapi-team Hamar</t>
        </is>
      </c>
      <c r="D5164" s="18" t="n"/>
      <c r="E5164" s="18" t="n"/>
      <c r="F5164" s="18" t="n">
        <v>-54078</v>
      </c>
      <c r="G5164" s="18" t="n"/>
      <c r="H5164" s="18" t="n"/>
      <c r="I5164" s="18" t="n"/>
      <c r="J5164" s="19" t="n">
        <v>0</v>
      </c>
      <c r="K5164" s="35" t="n">
        <v>0.065</v>
      </c>
    </row>
    <row r="5165">
      <c r="A5165" s="36" t="inlineStr">
        <is>
          <t>Pensjonspremie SPK</t>
        </is>
      </c>
      <c r="B5165" s="36" t="inlineStr">
        <is>
          <t>Region Øst</t>
        </is>
      </c>
      <c r="C5165" s="36" t="inlineStr">
        <is>
          <t>Multisystemisk  terapi-team Sarpsborg</t>
        </is>
      </c>
      <c r="D5165" s="26" t="n"/>
      <c r="E5165" s="26" t="n"/>
      <c r="F5165" s="26" t="n">
        <v>-58396</v>
      </c>
      <c r="G5165" s="26" t="n"/>
      <c r="H5165" s="26" t="n"/>
      <c r="I5165" s="26" t="n"/>
      <c r="J5165" s="19" t="n">
        <v>0</v>
      </c>
      <c r="K5165" s="37" t="n">
        <v>0.065</v>
      </c>
    </row>
    <row r="5166">
      <c r="A5166" s="34" t="inlineStr">
        <is>
          <t>Pensjonspremie SPK</t>
        </is>
      </c>
      <c r="B5166" s="34" t="inlineStr">
        <is>
          <t>Region Øst</t>
        </is>
      </c>
      <c r="C5166" s="34" t="inlineStr">
        <is>
          <t>Multisystemisk  terapi-team Ski</t>
        </is>
      </c>
      <c r="D5166" s="18" t="n"/>
      <c r="E5166" s="18" t="n">
        <v>16962</v>
      </c>
      <c r="F5166" s="18" t="n">
        <v>-55080</v>
      </c>
      <c r="G5166" s="18" t="n"/>
      <c r="H5166" s="18" t="n"/>
      <c r="I5166" s="18" t="n"/>
      <c r="J5166" s="19" t="n">
        <v>0</v>
      </c>
      <c r="K5166" s="35" t="n">
        <v>0.065</v>
      </c>
    </row>
    <row r="5167">
      <c r="A5167" s="36" t="inlineStr">
        <is>
          <t>Pensjonspremie SPK</t>
        </is>
      </c>
      <c r="B5167" s="36" t="inlineStr">
        <is>
          <t>Region Øst</t>
        </is>
      </c>
      <c r="C5167" s="36" t="inlineStr">
        <is>
          <t>Multisystemisk terapi-team Nedre Romerike</t>
        </is>
      </c>
      <c r="D5167" s="26" t="n"/>
      <c r="E5167" s="26" t="n">
        <v>17261</v>
      </c>
      <c r="F5167" s="26" t="n">
        <v>-61912</v>
      </c>
      <c r="G5167" s="26" t="n"/>
      <c r="H5167" s="26" t="n"/>
      <c r="I5167" s="26" t="n"/>
      <c r="J5167" s="19" t="n">
        <v>0</v>
      </c>
      <c r="K5167" s="37" t="n">
        <v>0.065</v>
      </c>
    </row>
    <row r="5168">
      <c r="A5168" s="34" t="inlineStr">
        <is>
          <t>Pensjonspremie SPK</t>
        </is>
      </c>
      <c r="B5168" s="34" t="inlineStr">
        <is>
          <t>Region Øst</t>
        </is>
      </c>
      <c r="C5168" s="34" t="inlineStr">
        <is>
          <t>Multisystemisk terapi-team Sandvika</t>
        </is>
      </c>
      <c r="D5168" s="18" t="n"/>
      <c r="E5168" s="18" t="n">
        <v>32304</v>
      </c>
      <c r="F5168" s="18" t="n">
        <v>-48632</v>
      </c>
      <c r="G5168" s="18" t="n"/>
      <c r="H5168" s="18" t="n"/>
      <c r="I5168" s="18" t="n"/>
      <c r="J5168" s="19" t="n">
        <v>0</v>
      </c>
      <c r="K5168" s="35" t="n">
        <v>0.065</v>
      </c>
    </row>
    <row r="5169">
      <c r="A5169" s="36" t="inlineStr">
        <is>
          <t>Pensjonspremie SPK</t>
        </is>
      </c>
      <c r="B5169" s="36" t="inlineStr">
        <is>
          <t>Region Øst</t>
        </is>
      </c>
      <c r="C5169" s="36" t="inlineStr">
        <is>
          <t>Regionalt ressursmiljø rus i barnevernstiltak</t>
        </is>
      </c>
      <c r="D5169" s="26" t="n"/>
      <c r="E5169" s="26" t="n"/>
      <c r="F5169" s="26" t="n"/>
      <c r="G5169" s="26" t="n">
        <v>54295</v>
      </c>
      <c r="H5169" s="26" t="n">
        <v>59336</v>
      </c>
      <c r="I5169" s="26" t="n">
        <v>59543</v>
      </c>
      <c r="J5169" s="19" t="n">
        <v>67535.15917499999</v>
      </c>
      <c r="K5169" s="37" t="n">
        <v>0.065</v>
      </c>
    </row>
    <row r="5170">
      <c r="A5170" s="34" t="inlineStr">
        <is>
          <t>Pensjonspremie SPK</t>
        </is>
      </c>
      <c r="B5170" s="34" t="inlineStr">
        <is>
          <t>Region Øst</t>
        </is>
      </c>
      <c r="C5170" s="34" t="inlineStr">
        <is>
          <t>Regionkontor F3 Funksjon omsorg ungdom</t>
        </is>
      </c>
      <c r="D5170" s="18" t="n">
        <v>83006</v>
      </c>
      <c r="E5170" s="18" t="n">
        <v>71723</v>
      </c>
      <c r="F5170" s="18" t="n">
        <v>54864</v>
      </c>
      <c r="G5170" s="18" t="n"/>
      <c r="H5170" s="18" t="n"/>
      <c r="I5170" s="18" t="n"/>
      <c r="J5170" s="19" t="n">
        <v>0</v>
      </c>
      <c r="K5170" s="35" t="n">
        <v>0.065</v>
      </c>
    </row>
    <row r="5171">
      <c r="A5171" s="36" t="inlineStr">
        <is>
          <t>Pensjonspremie SPK</t>
        </is>
      </c>
      <c r="B5171" s="36" t="inlineStr">
        <is>
          <t>Region Øst</t>
        </is>
      </c>
      <c r="C5171" s="36" t="inlineStr">
        <is>
          <t>Regionkontor Seksjon ØV - teknisk</t>
        </is>
      </c>
      <c r="D5171" s="26" t="n"/>
      <c r="E5171" s="26" t="n"/>
      <c r="F5171" s="26" t="n"/>
      <c r="G5171" s="26" t="n"/>
      <c r="H5171" s="26" t="n"/>
      <c r="I5171" s="26" t="n">
        <v>-448278</v>
      </c>
      <c r="J5171" s="19" t="n">
        <v>-508448.1145499999</v>
      </c>
      <c r="K5171" s="37" t="n">
        <v>0.065</v>
      </c>
    </row>
    <row r="5172">
      <c r="A5172" s="34" t="inlineStr">
        <is>
          <t>Pensjonspremie SPK</t>
        </is>
      </c>
      <c r="B5172" s="34" t="inlineStr">
        <is>
          <t>Region Øst</t>
        </is>
      </c>
      <c r="C5172" s="34" t="inlineStr">
        <is>
          <t>Regionkontor Seksjon ØV - teknisk Statlige institusjoner</t>
        </is>
      </c>
      <c r="D5172" s="18" t="n"/>
      <c r="E5172" s="18" t="n"/>
      <c r="F5172" s="18" t="n">
        <v>46806</v>
      </c>
      <c r="G5172" s="18" t="n">
        <v>14420</v>
      </c>
      <c r="H5172" s="18" t="n"/>
      <c r="I5172" s="18" t="n"/>
      <c r="J5172" s="19" t="n">
        <v>0</v>
      </c>
      <c r="K5172" s="35" t="n">
        <v>0.065</v>
      </c>
    </row>
    <row r="5173">
      <c r="A5173" s="36" t="inlineStr">
        <is>
          <t>Pensjonspremie SPK</t>
        </is>
      </c>
      <c r="B5173" s="36" t="inlineStr">
        <is>
          <t>Region Øst</t>
        </is>
      </c>
      <c r="C5173" s="36" t="inlineStr">
        <is>
          <t>Sarpsborg ungdoms og familiesenter - avdeling for spesialiserte fosterhjem</t>
        </is>
      </c>
      <c r="D5173" s="26" t="n">
        <v>29233</v>
      </c>
      <c r="E5173" s="26" t="n">
        <v>27623</v>
      </c>
      <c r="F5173" s="26" t="n">
        <v>-255615</v>
      </c>
      <c r="G5173" s="26" t="n"/>
      <c r="H5173" s="26" t="n"/>
      <c r="I5173" s="26" t="n"/>
      <c r="J5173" s="19" t="n">
        <v>0</v>
      </c>
      <c r="K5173" s="37" t="n">
        <v>0.065</v>
      </c>
    </row>
    <row r="5174">
      <c r="A5174" s="34" t="inlineStr">
        <is>
          <t>Pensjonspremie SPK</t>
        </is>
      </c>
      <c r="B5174" s="34" t="inlineStr">
        <is>
          <t>Region Øst</t>
        </is>
      </c>
      <c r="C5174" s="34" t="inlineStr">
        <is>
          <t>Sarpsborg ungdoms og familiesenter - behandling  Administrasjon</t>
        </is>
      </c>
      <c r="D5174" s="18" t="n">
        <v>222720</v>
      </c>
      <c r="E5174" s="18" t="n">
        <v>222670</v>
      </c>
      <c r="F5174" s="18" t="n">
        <v>178999</v>
      </c>
      <c r="G5174" s="18" t="n">
        <v>68736</v>
      </c>
      <c r="H5174" s="18" t="n"/>
      <c r="I5174" s="18" t="n"/>
      <c r="J5174" s="19" t="n">
        <v>0</v>
      </c>
      <c r="K5174" s="35" t="n">
        <v>0.065</v>
      </c>
    </row>
    <row r="5175">
      <c r="A5175" s="36" t="inlineStr">
        <is>
          <t>Pensjonspremie SPK</t>
        </is>
      </c>
      <c r="B5175" s="36" t="inlineStr">
        <is>
          <t>Region Øst</t>
        </is>
      </c>
      <c r="C5175" s="36" t="inlineStr">
        <is>
          <t>Sarpsborg ungdoms og familiesenter - behandling  Avdeling Østheim</t>
        </is>
      </c>
      <c r="D5175" s="26" t="n">
        <v>1273639</v>
      </c>
      <c r="E5175" s="26" t="n">
        <v>1041423</v>
      </c>
      <c r="F5175" s="26" t="n">
        <v>894591</v>
      </c>
      <c r="G5175" s="26" t="n">
        <v>552177</v>
      </c>
      <c r="H5175" s="26" t="n"/>
      <c r="I5175" s="26" t="n"/>
      <c r="J5175" s="19" t="n">
        <v>0</v>
      </c>
      <c r="K5175" s="37" t="n">
        <v>0.065</v>
      </c>
    </row>
    <row r="5176">
      <c r="A5176" s="34" t="inlineStr">
        <is>
          <t>Pensjonspremie SPK</t>
        </is>
      </c>
      <c r="B5176" s="34" t="inlineStr">
        <is>
          <t>Region Øst</t>
        </is>
      </c>
      <c r="C5176" s="34" t="inlineStr">
        <is>
          <t>Sarpsborg ungdoms og familiesenter - behandling  Avdeling Østlund</t>
        </is>
      </c>
      <c r="D5176" s="18" t="n">
        <v>1091749</v>
      </c>
      <c r="E5176" s="18" t="n">
        <v>976990</v>
      </c>
      <c r="F5176" s="18" t="n">
        <v>703653</v>
      </c>
      <c r="G5176" s="18" t="n">
        <v>423062</v>
      </c>
      <c r="H5176" s="18" t="n">
        <v>6</v>
      </c>
      <c r="I5176" s="18" t="n"/>
      <c r="J5176" s="19" t="n">
        <v>0</v>
      </c>
      <c r="K5176" s="35" t="n">
        <v>0.065</v>
      </c>
    </row>
    <row r="5177">
      <c r="A5177" s="36" t="inlineStr">
        <is>
          <t>Pensjonspremie SPK</t>
        </is>
      </c>
      <c r="B5177" s="36" t="inlineStr">
        <is>
          <t>Region Øst</t>
        </is>
      </c>
      <c r="C5177" s="36" t="inlineStr">
        <is>
          <t>Seljelia barne- og  familiesenter  Avdeling for beredskapshjem</t>
        </is>
      </c>
      <c r="D5177" s="26" t="n">
        <v>2023</v>
      </c>
      <c r="E5177" s="26" t="n"/>
      <c r="F5177" s="26" t="n"/>
      <c r="G5177" s="26" t="n"/>
      <c r="H5177" s="26" t="n"/>
      <c r="I5177" s="26" t="n"/>
      <c r="J5177" s="19" t="n">
        <v>0</v>
      </c>
      <c r="K5177" s="37" t="n">
        <v>0.065</v>
      </c>
    </row>
    <row r="5178">
      <c r="A5178" s="34" t="inlineStr">
        <is>
          <t>Pensjonspremie SPK</t>
        </is>
      </c>
      <c r="B5178" s="34" t="inlineStr">
        <is>
          <t>Region Øst</t>
        </is>
      </c>
      <c r="C5178" s="34" t="inlineStr">
        <is>
          <t>Seljelia barne- og  familiesenter  Foreldre- og barn avdeling</t>
        </is>
      </c>
      <c r="D5178" s="18" t="n">
        <v>7789</v>
      </c>
      <c r="E5178" s="18" t="n"/>
      <c r="F5178" s="18" t="n"/>
      <c r="G5178" s="18" t="n"/>
      <c r="H5178" s="18" t="n"/>
      <c r="I5178" s="18" t="n"/>
      <c r="J5178" s="19" t="n">
        <v>0</v>
      </c>
      <c r="K5178" s="35" t="n">
        <v>0.065</v>
      </c>
    </row>
    <row r="5179">
      <c r="A5179" s="36" t="inlineStr">
        <is>
          <t>Pensjonspremie SPK</t>
        </is>
      </c>
      <c r="B5179" s="36" t="inlineStr">
        <is>
          <t>Region Øst</t>
        </is>
      </c>
      <c r="C5179" s="36" t="inlineStr">
        <is>
          <t>Seljelia barne- og familiesenter Administrasjon</t>
        </is>
      </c>
      <c r="D5179" s="26" t="n"/>
      <c r="E5179" s="26" t="n"/>
      <c r="F5179" s="26" t="n">
        <v>-15142</v>
      </c>
      <c r="G5179" s="26" t="n"/>
      <c r="H5179" s="26" t="n"/>
      <c r="I5179" s="26" t="n"/>
      <c r="J5179" s="19" t="n">
        <v>0</v>
      </c>
      <c r="K5179" s="37" t="n">
        <v>0.065</v>
      </c>
    </row>
    <row r="5180">
      <c r="A5180" s="34" t="inlineStr">
        <is>
          <t>Pensjonspremie SPK</t>
        </is>
      </c>
      <c r="B5180" s="34" t="inlineStr">
        <is>
          <t>Region Øst</t>
        </is>
      </c>
      <c r="C5180" s="34" t="inlineStr">
        <is>
          <t>Seljelia barne- og familiesenter Avdeling for PMTO</t>
        </is>
      </c>
      <c r="D5180" s="18" t="n"/>
      <c r="E5180" s="18" t="n"/>
      <c r="F5180" s="18" t="n">
        <v>-16663</v>
      </c>
      <c r="G5180" s="18" t="n"/>
      <c r="H5180" s="18" t="n"/>
      <c r="I5180" s="18" t="n"/>
      <c r="J5180" s="19" t="n">
        <v>0</v>
      </c>
      <c r="K5180" s="35" t="n">
        <v>0.065</v>
      </c>
    </row>
    <row r="5181">
      <c r="A5181" s="36" t="inlineStr">
        <is>
          <t>Pensjonspremie SPK</t>
        </is>
      </c>
      <c r="B5181" s="36" t="inlineStr">
        <is>
          <t>Region Øst</t>
        </is>
      </c>
      <c r="C5181" s="36" t="inlineStr">
        <is>
          <t>Seljelia barne- og familiesenter Avdeling for beredskapshjem 1</t>
        </is>
      </c>
      <c r="D5181" s="26" t="n"/>
      <c r="E5181" s="26" t="n"/>
      <c r="F5181" s="26" t="n">
        <v>-231843</v>
      </c>
      <c r="G5181" s="26" t="n"/>
      <c r="H5181" s="26" t="n"/>
      <c r="I5181" s="26" t="n"/>
      <c r="J5181" s="19" t="n">
        <v>0</v>
      </c>
      <c r="K5181" s="37" t="n">
        <v>0.065</v>
      </c>
    </row>
    <row r="5182">
      <c r="A5182" s="34" t="inlineStr">
        <is>
          <t>Pensjonspremie SPK</t>
        </is>
      </c>
      <c r="B5182" s="34" t="inlineStr">
        <is>
          <t>Region Øst</t>
        </is>
      </c>
      <c r="C5182" s="34" t="inlineStr">
        <is>
          <t>Seljelia barne- og familiesenter Avdeling for beredskapshjem 2</t>
        </is>
      </c>
      <c r="D5182" s="18" t="n"/>
      <c r="E5182" s="18" t="n"/>
      <c r="F5182" s="18" t="n">
        <v>-228579</v>
      </c>
      <c r="G5182" s="18" t="n"/>
      <c r="H5182" s="18" t="n"/>
      <c r="I5182" s="18" t="n"/>
      <c r="J5182" s="19" t="n">
        <v>0</v>
      </c>
      <c r="K5182" s="35" t="n">
        <v>0.065</v>
      </c>
    </row>
    <row r="5183">
      <c r="A5183" s="36" t="inlineStr">
        <is>
          <t>Pensjonspremie SPK</t>
        </is>
      </c>
      <c r="B5183" s="36" t="inlineStr">
        <is>
          <t>Region Øst</t>
        </is>
      </c>
      <c r="C5183" s="36" t="inlineStr">
        <is>
          <t>Seljelia barne- og familiesenter Foreldre- og barn avdeling</t>
        </is>
      </c>
      <c r="D5183" s="26" t="n">
        <v>1186</v>
      </c>
      <c r="E5183" s="26" t="n">
        <v>5497</v>
      </c>
      <c r="F5183" s="26" t="n">
        <v>-104542</v>
      </c>
      <c r="G5183" s="26" t="n"/>
      <c r="H5183" s="26" t="n"/>
      <c r="I5183" s="26" t="n"/>
      <c r="J5183" s="19" t="n">
        <v>0</v>
      </c>
      <c r="K5183" s="37" t="n">
        <v>0.065</v>
      </c>
    </row>
    <row r="5184">
      <c r="A5184" s="34" t="inlineStr">
        <is>
          <t>Pensjonspremie SPK</t>
        </is>
      </c>
      <c r="B5184" s="34" t="inlineStr">
        <is>
          <t>Region Øst</t>
        </is>
      </c>
      <c r="C5184" s="34" t="inlineStr">
        <is>
          <t>Spisskompetansemiljø for trygghet og sikkerhet i institusjon for barn og ansatte</t>
        </is>
      </c>
      <c r="D5184" s="18" t="n">
        <v>693838</v>
      </c>
      <c r="E5184" s="18" t="n">
        <v>718259</v>
      </c>
      <c r="F5184" s="18" t="n">
        <v>602703</v>
      </c>
      <c r="G5184" s="18" t="n">
        <v>602050</v>
      </c>
      <c r="H5184" s="18" t="n">
        <v>768555</v>
      </c>
      <c r="I5184" s="18" t="n">
        <v>791924</v>
      </c>
      <c r="J5184" s="19" t="n">
        <v>834936.9367216243</v>
      </c>
      <c r="K5184" s="35" t="n">
        <v>0.02679816689188308</v>
      </c>
    </row>
    <row r="5185">
      <c r="A5185" s="36" t="inlineStr">
        <is>
          <t>Pensjonspremie SPK</t>
        </is>
      </c>
      <c r="B5185" s="36" t="inlineStr">
        <is>
          <t>Region Øst</t>
        </is>
      </c>
      <c r="C5185" s="36" t="inlineStr">
        <is>
          <t>Støttespillerne - Ambulant team</t>
        </is>
      </c>
      <c r="D5185" s="26" t="n"/>
      <c r="E5185" s="26" t="n">
        <v>247810</v>
      </c>
      <c r="F5185" s="26" t="n">
        <v>130922</v>
      </c>
      <c r="G5185" s="26" t="n">
        <v>-6314</v>
      </c>
      <c r="H5185" s="26" t="n"/>
      <c r="I5185" s="26" t="n"/>
      <c r="J5185" s="19" t="n">
        <v>0</v>
      </c>
      <c r="K5185" s="37" t="n">
        <v>0.065</v>
      </c>
    </row>
    <row r="5186">
      <c r="A5186" s="34" t="inlineStr">
        <is>
          <t>Pensjonspremie SPK</t>
        </is>
      </c>
      <c r="B5186" s="34" t="inlineStr">
        <is>
          <t>Region Øst</t>
        </is>
      </c>
      <c r="C5186" s="34" t="inlineStr">
        <is>
          <t>Støttespillerne - Huset</t>
        </is>
      </c>
      <c r="D5186" s="18" t="n"/>
      <c r="E5186" s="18" t="n">
        <v>984750</v>
      </c>
      <c r="F5186" s="18" t="n">
        <v>1115023</v>
      </c>
      <c r="G5186" s="18" t="n">
        <v>682454</v>
      </c>
      <c r="H5186" s="18" t="n"/>
      <c r="I5186" s="18" t="n"/>
      <c r="J5186" s="19" t="n">
        <v>0</v>
      </c>
      <c r="K5186" s="35" t="n">
        <v>0.065</v>
      </c>
    </row>
    <row r="5187">
      <c r="A5187" s="36" t="inlineStr">
        <is>
          <t>Pensjonspremie SPK</t>
        </is>
      </c>
      <c r="B5187" s="36" t="inlineStr">
        <is>
          <t>Region Øst</t>
        </is>
      </c>
      <c r="C5187" s="36" t="inlineStr">
        <is>
          <t>TFCO Lillestrøm</t>
        </is>
      </c>
      <c r="D5187" s="26" t="n">
        <v>319281</v>
      </c>
      <c r="E5187" s="26" t="n">
        <v>372961</v>
      </c>
      <c r="F5187" s="26" t="n">
        <v>303423</v>
      </c>
      <c r="G5187" s="26" t="n">
        <v>446080</v>
      </c>
      <c r="H5187" s="26" t="n">
        <v>26820</v>
      </c>
      <c r="I5187" s="26" t="n">
        <v>3037</v>
      </c>
      <c r="J5187" s="19" t="n">
        <v>1708.3125</v>
      </c>
      <c r="K5187" s="37" t="n">
        <v>-0.25</v>
      </c>
    </row>
    <row r="5188">
      <c r="A5188" s="34" t="inlineStr">
        <is>
          <t>Pensjonspremie SPK</t>
        </is>
      </c>
      <c r="B5188" s="34" t="inlineStr">
        <is>
          <t>Region Øst</t>
        </is>
      </c>
      <c r="C5188" s="34" t="inlineStr">
        <is>
          <t>TFCO Sandvika</t>
        </is>
      </c>
      <c r="D5188" s="18" t="n">
        <v>568967</v>
      </c>
      <c r="E5188" s="18" t="n">
        <v>306547</v>
      </c>
      <c r="F5188" s="18" t="n">
        <v>229472</v>
      </c>
      <c r="G5188" s="18" t="n"/>
      <c r="H5188" s="18" t="n"/>
      <c r="I5188" s="18" t="n"/>
      <c r="J5188" s="19" t="n">
        <v>0</v>
      </c>
      <c r="K5188" s="35" t="n">
        <v>0.065</v>
      </c>
    </row>
    <row r="5189">
      <c r="A5189" s="36" t="inlineStr">
        <is>
          <t>Pensjonspremie SPK</t>
        </is>
      </c>
      <c r="B5189" s="36" t="inlineStr">
        <is>
          <t>Region Øst</t>
        </is>
      </c>
      <c r="C5189" s="36" t="inlineStr">
        <is>
          <t>Ås ungdomssenter  - MulitifunC-behandling  Avdeling Institusjon</t>
        </is>
      </c>
      <c r="D5189" s="26" t="n">
        <v>2144101</v>
      </c>
      <c r="E5189" s="26" t="n">
        <v>1768273</v>
      </c>
      <c r="F5189" s="26" t="n">
        <v>1174027</v>
      </c>
      <c r="G5189" s="26" t="n">
        <v>644098</v>
      </c>
      <c r="H5189" s="26" t="n">
        <v>-2</v>
      </c>
      <c r="I5189" s="26" t="n"/>
      <c r="J5189" s="19" t="n">
        <v>0</v>
      </c>
      <c r="K5189" s="37" t="n">
        <v>0.065</v>
      </c>
    </row>
    <row r="5190">
      <c r="A5190" s="34" t="inlineStr">
        <is>
          <t>Pensjonspremie SPK</t>
        </is>
      </c>
      <c r="B5190" s="34" t="inlineStr">
        <is>
          <t>Region Øst</t>
        </is>
      </c>
      <c r="C5190" s="34" t="inlineStr">
        <is>
          <t>Ås ungdomssenter  - MulitifunC-behandling  Avdeling Oppfølging</t>
        </is>
      </c>
      <c r="D5190" s="18" t="n">
        <v>60088</v>
      </c>
      <c r="E5190" s="18" t="n">
        <v>22247</v>
      </c>
      <c r="F5190" s="18" t="n">
        <v>-24396</v>
      </c>
      <c r="G5190" s="18" t="n"/>
      <c r="H5190" s="18" t="n"/>
      <c r="I5190" s="18" t="n"/>
      <c r="J5190" s="19" t="n">
        <v>0</v>
      </c>
      <c r="K5190" s="35" t="n">
        <v>0.065</v>
      </c>
    </row>
    <row r="5191">
      <c r="A5191" s="36" t="inlineStr">
        <is>
          <t>Pensjonspremie SPK</t>
        </is>
      </c>
      <c r="B5191" s="36" t="inlineStr">
        <is>
          <t>Region Øst</t>
        </is>
      </c>
      <c r="C5191" s="36" t="inlineStr">
        <is>
          <t>Ås ungdomssenter - Administrasjon</t>
        </is>
      </c>
      <c r="D5191" s="26" t="n">
        <v>231301</v>
      </c>
      <c r="E5191" s="26" t="n">
        <v>456511</v>
      </c>
      <c r="F5191" s="26" t="n">
        <v>319488</v>
      </c>
      <c r="G5191" s="26" t="n">
        <v>146233</v>
      </c>
      <c r="H5191" s="26" t="n"/>
      <c r="I5191" s="26" t="n"/>
      <c r="J5191" s="19" t="n">
        <v>0</v>
      </c>
      <c r="K5191" s="37" t="n">
        <v>0.065</v>
      </c>
    </row>
    <row r="5192">
      <c r="A5192" s="34" t="inlineStr">
        <is>
          <t>Pensjonspremie SPK</t>
        </is>
      </c>
      <c r="B5192" s="34" t="inlineStr">
        <is>
          <t>Region Øst</t>
        </is>
      </c>
      <c r="C5192" s="34" t="inlineStr">
        <is>
          <t>Østfold ungdoms - og familiesenter - omsorg  Administrasjon</t>
        </is>
      </c>
      <c r="D5192" s="18" t="n">
        <v>365683</v>
      </c>
      <c r="E5192" s="18" t="n">
        <v>268436</v>
      </c>
      <c r="F5192" s="18" t="n">
        <v>155088</v>
      </c>
      <c r="G5192" s="18" t="n">
        <v>213030</v>
      </c>
      <c r="H5192" s="18" t="n">
        <v>222569</v>
      </c>
      <c r="I5192" s="18" t="n">
        <v>215903</v>
      </c>
      <c r="J5192" s="19" t="n">
        <v>174871.984779719</v>
      </c>
      <c r="K5192" s="35" t="n">
        <v>-0.1000243045045867</v>
      </c>
    </row>
    <row r="5193">
      <c r="A5193" s="36" t="inlineStr">
        <is>
          <t>Pensjonspremie SPK</t>
        </is>
      </c>
      <c r="B5193" s="36" t="inlineStr">
        <is>
          <t>Region Øst</t>
        </is>
      </c>
      <c r="C5193" s="36" t="inlineStr">
        <is>
          <t>Østfold ungdoms - og familiesenter - omsorg  avdeling Eika</t>
        </is>
      </c>
      <c r="D5193" s="26" t="n">
        <v>6511</v>
      </c>
      <c r="E5193" s="26" t="n"/>
      <c r="F5193" s="26" t="n"/>
      <c r="G5193" s="26" t="n"/>
      <c r="H5193" s="26" t="n"/>
      <c r="I5193" s="26" t="n"/>
      <c r="J5193" s="19" t="n">
        <v>0</v>
      </c>
      <c r="K5193" s="37" t="n">
        <v>0.065</v>
      </c>
    </row>
    <row r="5194">
      <c r="A5194" s="34" t="inlineStr">
        <is>
          <t>Pensjonspremie SPK</t>
        </is>
      </c>
      <c r="B5194" s="34" t="inlineStr">
        <is>
          <t>Region Øst</t>
        </is>
      </c>
      <c r="C5194" s="34" t="inlineStr">
        <is>
          <t>Østfold ungdoms - og familiesenter - omsorg, avdeling Kurland ungdomshjem</t>
        </is>
      </c>
      <c r="D5194" s="18" t="n">
        <v>929947</v>
      </c>
      <c r="E5194" s="18" t="n">
        <v>167143</v>
      </c>
      <c r="F5194" s="18" t="n">
        <v>359366</v>
      </c>
      <c r="G5194" s="18" t="n">
        <v>1172800</v>
      </c>
      <c r="H5194" s="18" t="n">
        <v>1132920</v>
      </c>
      <c r="I5194" s="18" t="n">
        <v>1077630</v>
      </c>
      <c r="J5194" s="19" t="n">
        <v>1143073.78096005</v>
      </c>
      <c r="K5194" s="35" t="n">
        <v>0.02991716205222428</v>
      </c>
    </row>
    <row r="5195">
      <c r="A5195" s="36" t="inlineStr">
        <is>
          <t>Pensjonspremie SPK</t>
        </is>
      </c>
      <c r="B5195" s="36" t="inlineStr">
        <is>
          <t>Region Øst</t>
        </is>
      </c>
      <c r="C5195" s="36" t="inlineStr">
        <is>
          <t>Østfold ungdoms- og familiesenter - avdeling Fossen</t>
        </is>
      </c>
      <c r="D5195" s="26" t="n"/>
      <c r="E5195" s="26" t="n"/>
      <c r="F5195" s="26" t="n"/>
      <c r="G5195" s="26" t="n">
        <v>10698</v>
      </c>
      <c r="H5195" s="26" t="n">
        <v>622755</v>
      </c>
      <c r="I5195" s="26" t="n">
        <v>983239</v>
      </c>
      <c r="J5195" s="19" t="n">
        <v>1115214.254775</v>
      </c>
      <c r="K5195" s="37" t="n">
        <v>0.065</v>
      </c>
    </row>
    <row r="5196">
      <c r="A5196" s="34" t="inlineStr">
        <is>
          <t>Pensjonspremie SPK</t>
        </is>
      </c>
      <c r="B5196" s="34" t="inlineStr">
        <is>
          <t>Region Øst</t>
        </is>
      </c>
      <c r="C5196" s="34" t="inlineStr">
        <is>
          <t>Østfold ungdoms- og familiesenter - omsorg, avdeling Alfheim ungdomshjem</t>
        </is>
      </c>
      <c r="D5196" s="18" t="n">
        <v>1011077</v>
      </c>
      <c r="E5196" s="18" t="n">
        <v>1018910</v>
      </c>
      <c r="F5196" s="18" t="n">
        <v>843281</v>
      </c>
      <c r="G5196" s="18" t="n">
        <v>938487</v>
      </c>
      <c r="H5196" s="18" t="n">
        <v>1019818</v>
      </c>
      <c r="I5196" s="18" t="n">
        <v>1023791</v>
      </c>
      <c r="J5196" s="19" t="n">
        <v>1028921.252942717</v>
      </c>
      <c r="K5196" s="35" t="n">
        <v>0.002502386730090178</v>
      </c>
    </row>
    <row r="5197">
      <c r="A5197" s="36" t="inlineStr">
        <is>
          <t>Pensjonspremie SPK</t>
        </is>
      </c>
      <c r="B5197" s="36" t="inlineStr">
        <is>
          <t>Region Øst</t>
        </is>
      </c>
      <c r="C5197" s="36" t="inlineStr">
        <is>
          <t>Østfold ungdoms- og familiesenter - omsorg, avdeling Dal</t>
        </is>
      </c>
      <c r="D5197" s="26" t="n">
        <v>55323</v>
      </c>
      <c r="E5197" s="26" t="n">
        <v>630540</v>
      </c>
      <c r="F5197" s="26" t="n">
        <v>495656</v>
      </c>
      <c r="G5197" s="26" t="n">
        <v>874715</v>
      </c>
      <c r="H5197" s="26" t="n">
        <v>1101412</v>
      </c>
      <c r="I5197" s="26" t="n">
        <v>1009617</v>
      </c>
      <c r="J5197" s="19" t="n">
        <v>1577526.5625</v>
      </c>
      <c r="K5197" s="37" t="n">
        <v>0.25</v>
      </c>
    </row>
    <row r="5198">
      <c r="A5198" s="34" t="inlineStr">
        <is>
          <t>Pensjonspremie SPK</t>
        </is>
      </c>
      <c r="B5198" s="34" t="inlineStr">
        <is>
          <t>Region Øst</t>
        </is>
      </c>
      <c r="C5198" s="34" t="inlineStr">
        <is>
          <t>Østfold ungdoms- og familiesenter - omsorg, avdeling Rokkeveien ungdomshjem</t>
        </is>
      </c>
      <c r="D5198" s="18" t="n">
        <v>994049</v>
      </c>
      <c r="E5198" s="18" t="n">
        <v>930840</v>
      </c>
      <c r="F5198" s="18" t="n">
        <v>923583</v>
      </c>
      <c r="G5198" s="18" t="n">
        <v>973786</v>
      </c>
      <c r="H5198" s="18" t="n">
        <v>1039001</v>
      </c>
      <c r="I5198" s="18" t="n">
        <v>1024339</v>
      </c>
      <c r="J5198" s="19" t="n">
        <v>1036711.877420782</v>
      </c>
      <c r="K5198" s="35" t="n">
        <v>0.006021316540210764</v>
      </c>
    </row>
    <row r="5199">
      <c r="A5199" s="36" t="inlineStr">
        <is>
          <t>Pensjonspremie SPK</t>
        </is>
      </c>
      <c r="B5199" s="36" t="inlineStr">
        <is>
          <t>Region Øst</t>
        </is>
      </c>
      <c r="C5199" s="36" t="inlineStr">
        <is>
          <t>Østfold ungdoms- og familiesenter - omsorg, avdeling Tune ungdomshjem</t>
        </is>
      </c>
      <c r="D5199" s="26" t="n">
        <v>981021</v>
      </c>
      <c r="E5199" s="26" t="n">
        <v>1061759</v>
      </c>
      <c r="F5199" s="26" t="n">
        <v>844215</v>
      </c>
      <c r="G5199" s="26" t="n">
        <v>964725</v>
      </c>
      <c r="H5199" s="26" t="n">
        <v>1006764</v>
      </c>
      <c r="I5199" s="26" t="n">
        <v>1099386</v>
      </c>
      <c r="J5199" s="19" t="n">
        <v>1150638.659339808</v>
      </c>
      <c r="K5199" s="37" t="n">
        <v>0.02304415776905655</v>
      </c>
    </row>
    <row r="5200">
      <c r="A5200" s="34" t="inlineStr">
        <is>
          <t>Turnustillegg</t>
        </is>
      </c>
      <c r="B5200" s="34" t="inlineStr">
        <is>
          <t>Region Midt-Norge</t>
        </is>
      </c>
      <c r="C5200" s="34" t="inlineStr">
        <is>
          <t>Buvika ungdomssenter</t>
        </is>
      </c>
      <c r="D5200" s="18" t="n">
        <v>223108</v>
      </c>
      <c r="E5200" s="18" t="n">
        <v>1650690</v>
      </c>
      <c r="F5200" s="18" t="n">
        <v>1711895</v>
      </c>
      <c r="G5200" s="18" t="n">
        <v>1599314</v>
      </c>
      <c r="H5200" s="18" t="n">
        <v>2139862</v>
      </c>
      <c r="I5200" s="18" t="n">
        <v>2647855</v>
      </c>
      <c r="J5200" s="19" t="n">
        <v>4137273.4375</v>
      </c>
      <c r="K5200" s="35" t="n">
        <v>0.25</v>
      </c>
    </row>
    <row r="5201">
      <c r="A5201" s="36" t="inlineStr">
        <is>
          <t>Turnustillegg</t>
        </is>
      </c>
      <c r="B5201" s="36" t="inlineStr">
        <is>
          <t>Region Midt-Norge</t>
        </is>
      </c>
      <c r="C5201" s="36" t="inlineStr">
        <is>
          <t>Clausenengen ungdomshjem</t>
        </is>
      </c>
      <c r="D5201" s="26" t="n">
        <v>1234974</v>
      </c>
      <c r="E5201" s="26" t="n">
        <v>1363972</v>
      </c>
      <c r="F5201" s="26" t="n">
        <v>1413078</v>
      </c>
      <c r="G5201" s="26" t="n">
        <v>1646559</v>
      </c>
      <c r="H5201" s="26" t="n">
        <v>1728036</v>
      </c>
      <c r="I5201" s="26" t="n">
        <v>1883987</v>
      </c>
      <c r="J5201" s="19" t="n">
        <v>2230724.497311551</v>
      </c>
      <c r="K5201" s="37" t="n">
        <v>0.08813810131925814</v>
      </c>
    </row>
    <row r="5202">
      <c r="A5202" s="34" t="inlineStr">
        <is>
          <t>Turnustillegg</t>
        </is>
      </c>
      <c r="B5202" s="34" t="inlineStr">
        <is>
          <t>Region Midt-Norge</t>
        </is>
      </c>
      <c r="C5202" s="34" t="inlineStr">
        <is>
          <t>Gilantunet ungdomshjem</t>
        </is>
      </c>
      <c r="D5202" s="18" t="n">
        <v>2757827</v>
      </c>
      <c r="E5202" s="18" t="n">
        <v>2861542</v>
      </c>
      <c r="F5202" s="18" t="n">
        <v>2832840</v>
      </c>
      <c r="G5202" s="18" t="n">
        <v>3191235</v>
      </c>
      <c r="H5202" s="18" t="n">
        <v>3462957</v>
      </c>
      <c r="I5202" s="18" t="n">
        <v>3337485</v>
      </c>
      <c r="J5202" s="19" t="n">
        <v>3602137.145151934</v>
      </c>
      <c r="K5202" s="35" t="n">
        <v>0.03889214035068811</v>
      </c>
    </row>
    <row r="5203">
      <c r="A5203" s="36" t="inlineStr">
        <is>
          <t>Turnustillegg</t>
        </is>
      </c>
      <c r="B5203" s="36" t="inlineStr">
        <is>
          <t>Region Midt-Norge</t>
        </is>
      </c>
      <c r="C5203" s="36" t="inlineStr">
        <is>
          <t>Humla Akuttsenter</t>
        </is>
      </c>
      <c r="D5203" s="26" t="n">
        <v>1529490</v>
      </c>
      <c r="E5203" s="26" t="n">
        <v>1349343</v>
      </c>
      <c r="F5203" s="26" t="n">
        <v>1334259</v>
      </c>
      <c r="G5203" s="26" t="n">
        <v>1340958</v>
      </c>
      <c r="H5203" s="26" t="n">
        <v>1776068</v>
      </c>
      <c r="I5203" s="26" t="n">
        <v>1816382</v>
      </c>
      <c r="J5203" s="19" t="n">
        <v>1945679.972189986</v>
      </c>
      <c r="K5203" s="37" t="n">
        <v>0.03498036217729705</v>
      </c>
    </row>
    <row r="5204">
      <c r="A5204" s="34" t="inlineStr">
        <is>
          <t>Turnustillegg</t>
        </is>
      </c>
      <c r="B5204" s="34" t="inlineStr">
        <is>
          <t>Region Midt-Norge</t>
        </is>
      </c>
      <c r="C5204" s="34" t="inlineStr">
        <is>
          <t>Husafjellheimen ungdomsheim</t>
        </is>
      </c>
      <c r="D5204" s="18" t="n">
        <v>1505204</v>
      </c>
      <c r="E5204" s="18" t="n">
        <v>1540783</v>
      </c>
      <c r="F5204" s="18" t="n">
        <v>1480973</v>
      </c>
      <c r="G5204" s="18" t="n">
        <v>1719204</v>
      </c>
      <c r="H5204" s="18" t="n">
        <v>1955709</v>
      </c>
      <c r="I5204" s="18" t="n">
        <v>1869829</v>
      </c>
      <c r="J5204" s="19" t="n">
        <v>2039315.884939819</v>
      </c>
      <c r="K5204" s="35" t="n">
        <v>0.04433854021216321</v>
      </c>
    </row>
    <row r="5205">
      <c r="A5205" s="36" t="inlineStr">
        <is>
          <t>Turnustillegg</t>
        </is>
      </c>
      <c r="B5205" s="36" t="inlineStr">
        <is>
          <t>Region Midt-Norge</t>
        </is>
      </c>
      <c r="C5205" s="36" t="inlineStr">
        <is>
          <t>Karienborg ungdomsheim</t>
        </is>
      </c>
      <c r="D5205" s="26" t="n">
        <v>1558551</v>
      </c>
      <c r="E5205" s="26" t="n">
        <v>1311229</v>
      </c>
      <c r="F5205" s="26" t="n">
        <v>1330997</v>
      </c>
      <c r="G5205" s="26" t="n">
        <v>1169178</v>
      </c>
      <c r="H5205" s="26" t="n">
        <v>1705682</v>
      </c>
      <c r="I5205" s="26" t="n">
        <v>1886384</v>
      </c>
      <c r="J5205" s="19" t="n">
        <v>2036074.84581018</v>
      </c>
      <c r="K5205" s="37" t="n">
        <v>0.03891930711078651</v>
      </c>
    </row>
    <row r="5206">
      <c r="A5206" s="34" t="inlineStr">
        <is>
          <t>Turnustillegg</t>
        </is>
      </c>
      <c r="B5206" s="34" t="inlineStr">
        <is>
          <t>Region Midt-Norge</t>
        </is>
      </c>
      <c r="C5206" s="34" t="inlineStr">
        <is>
          <t>Kollen ungdomsbase</t>
        </is>
      </c>
      <c r="D5206" s="18" t="n">
        <v>2856742</v>
      </c>
      <c r="E5206" s="18" t="n">
        <v>2715769</v>
      </c>
      <c r="F5206" s="18" t="n">
        <v>2678494</v>
      </c>
      <c r="G5206" s="18" t="n">
        <v>3096933</v>
      </c>
      <c r="H5206" s="18" t="n">
        <v>3486306</v>
      </c>
      <c r="I5206" s="18" t="n">
        <v>3575306</v>
      </c>
      <c r="J5206" s="19" t="n">
        <v>3911020.540658559</v>
      </c>
      <c r="K5206" s="35" t="n">
        <v>0.04589584953030545</v>
      </c>
    </row>
    <row r="5207">
      <c r="A5207" s="36" t="inlineStr">
        <is>
          <t>Turnustillegg</t>
        </is>
      </c>
      <c r="B5207" s="36" t="inlineStr">
        <is>
          <t>Region Midt-Norge</t>
        </is>
      </c>
      <c r="C5207" s="36" t="inlineStr">
        <is>
          <t>Kvammen akuttsenter</t>
        </is>
      </c>
      <c r="D5207" s="26" t="n">
        <v>2141586</v>
      </c>
      <c r="E5207" s="26" t="n">
        <v>2108338</v>
      </c>
      <c r="F5207" s="26" t="n">
        <v>2580199</v>
      </c>
      <c r="G5207" s="26" t="n">
        <v>2285140</v>
      </c>
      <c r="H5207" s="26" t="n">
        <v>834</v>
      </c>
      <c r="I5207" s="26" t="n"/>
      <c r="J5207" s="19" t="n">
        <v>0</v>
      </c>
      <c r="K5207" s="37" t="n">
        <v>0.065</v>
      </c>
    </row>
    <row r="5208">
      <c r="A5208" s="34" t="inlineStr">
        <is>
          <t>Turnustillegg</t>
        </is>
      </c>
      <c r="B5208" s="34" t="inlineStr">
        <is>
          <t>Region Midt-Norge</t>
        </is>
      </c>
      <c r="C5208" s="34" t="inlineStr">
        <is>
          <t>Kvammen akuttsenter, avdeling Fannrem</t>
        </is>
      </c>
      <c r="D5208" s="18" t="n"/>
      <c r="E5208" s="18" t="n"/>
      <c r="F5208" s="18" t="n"/>
      <c r="G5208" s="18" t="n"/>
      <c r="H5208" s="18" t="n">
        <v>688164</v>
      </c>
      <c r="I5208" s="18" t="n">
        <v>2643220</v>
      </c>
      <c r="J5208" s="19" t="n">
        <v>2998006.2045</v>
      </c>
      <c r="K5208" s="35" t="n">
        <v>0.065</v>
      </c>
    </row>
    <row r="5209">
      <c r="A5209" s="36" t="inlineStr">
        <is>
          <t>Turnustillegg</t>
        </is>
      </c>
      <c r="B5209" s="36" t="inlineStr">
        <is>
          <t>Region Midt-Norge</t>
        </is>
      </c>
      <c r="C5209" s="36" t="inlineStr">
        <is>
          <t>Kvammen akuttsenter, avdeling Melhus</t>
        </is>
      </c>
      <c r="D5209" s="26" t="n"/>
      <c r="E5209" s="26" t="n"/>
      <c r="F5209" s="26" t="n"/>
      <c r="G5209" s="26" t="n"/>
      <c r="H5209" s="26" t="n">
        <v>2388912</v>
      </c>
      <c r="I5209" s="26" t="n">
        <v>2931667</v>
      </c>
      <c r="J5209" s="19" t="n">
        <v>3325170.003074999</v>
      </c>
      <c r="K5209" s="37" t="n">
        <v>0.065</v>
      </c>
    </row>
    <row r="5210">
      <c r="A5210" s="34" t="inlineStr">
        <is>
          <t>Turnustillegg</t>
        </is>
      </c>
      <c r="B5210" s="34" t="inlineStr">
        <is>
          <t>Region Midt-Norge</t>
        </is>
      </c>
      <c r="C5210" s="34" t="inlineStr">
        <is>
          <t>Kvammen, avdelig enetiltak</t>
        </is>
      </c>
      <c r="D5210" s="18" t="n"/>
      <c r="E5210" s="18" t="n"/>
      <c r="F5210" s="18" t="n"/>
      <c r="G5210" s="18" t="n"/>
      <c r="H5210" s="18" t="n"/>
      <c r="I5210" s="18" t="n">
        <v>507703</v>
      </c>
      <c r="J5210" s="19" t="n">
        <v>575849.4351749999</v>
      </c>
      <c r="K5210" s="35" t="n">
        <v>0.065</v>
      </c>
    </row>
    <row r="5211">
      <c r="A5211" s="36" t="inlineStr">
        <is>
          <t>Turnustillegg</t>
        </is>
      </c>
      <c r="B5211" s="36" t="inlineStr">
        <is>
          <t>Region Midt-Norge</t>
        </is>
      </c>
      <c r="C5211" s="36" t="inlineStr">
        <is>
          <t>Moholt ungdomssenter</t>
        </is>
      </c>
      <c r="D5211" s="26" t="n"/>
      <c r="E5211" s="26" t="n"/>
      <c r="F5211" s="26" t="n">
        <v>599815</v>
      </c>
      <c r="G5211" s="26" t="n">
        <v>1814677</v>
      </c>
      <c r="H5211" s="26" t="n">
        <v>2334761</v>
      </c>
      <c r="I5211" s="26" t="n">
        <v>2090635</v>
      </c>
      <c r="J5211" s="19" t="n">
        <v>2371250.482875</v>
      </c>
      <c r="K5211" s="37" t="n">
        <v>0.065</v>
      </c>
    </row>
    <row r="5212">
      <c r="A5212" s="34" t="inlineStr">
        <is>
          <t>Turnustillegg</t>
        </is>
      </c>
      <c r="B5212" s="34" t="inlineStr">
        <is>
          <t>Region Midt-Norge</t>
        </is>
      </c>
      <c r="C5212" s="34" t="inlineStr">
        <is>
          <t>Orkdal barnevernsenter</t>
        </is>
      </c>
      <c r="D5212" s="18" t="n">
        <v>1445662</v>
      </c>
      <c r="E5212" s="18" t="n">
        <v>1441019</v>
      </c>
      <c r="F5212" s="18" t="n">
        <v>1184254</v>
      </c>
      <c r="G5212" s="18" t="n">
        <v>1236582</v>
      </c>
      <c r="H5212" s="18" t="n"/>
      <c r="I5212" s="18" t="n"/>
      <c r="J5212" s="19" t="n">
        <v>0</v>
      </c>
      <c r="K5212" s="35" t="n">
        <v>0.065</v>
      </c>
    </row>
    <row r="5213">
      <c r="A5213" s="36" t="inlineStr">
        <is>
          <t>Turnustillegg</t>
        </is>
      </c>
      <c r="B5213" s="36" t="inlineStr">
        <is>
          <t>Region Midt-Norge</t>
        </is>
      </c>
      <c r="C5213" s="36" t="inlineStr">
        <is>
          <t>Ranheim Vestre</t>
        </is>
      </c>
      <c r="D5213" s="26" t="n">
        <v>1895675</v>
      </c>
      <c r="E5213" s="26" t="n">
        <v>1687486</v>
      </c>
      <c r="F5213" s="26" t="n">
        <v>1905789</v>
      </c>
      <c r="G5213" s="26" t="n">
        <v>2098443</v>
      </c>
      <c r="H5213" s="26" t="n">
        <v>2703092</v>
      </c>
      <c r="I5213" s="26" t="n">
        <v>2960529</v>
      </c>
      <c r="J5213" s="19" t="n">
        <v>3538437.217762779</v>
      </c>
      <c r="K5213" s="37" t="n">
        <v>0.09325403112457176</v>
      </c>
    </row>
    <row r="5214">
      <c r="A5214" s="34" t="inlineStr">
        <is>
          <t>Turnustillegg</t>
        </is>
      </c>
      <c r="B5214" s="34" t="inlineStr">
        <is>
          <t>Region Midt-Norge</t>
        </is>
      </c>
      <c r="C5214" s="34" t="inlineStr">
        <is>
          <t>Ranheim Vestre, familiehjem</t>
        </is>
      </c>
      <c r="D5214" s="18" t="n"/>
      <c r="E5214" s="18" t="n"/>
      <c r="F5214" s="18" t="n"/>
      <c r="G5214" s="18" t="n"/>
      <c r="H5214" s="18" t="n"/>
      <c r="I5214" s="18" t="n">
        <v>3656</v>
      </c>
      <c r="J5214" s="19" t="n">
        <v>4146.726599999999</v>
      </c>
      <c r="K5214" s="35" t="n">
        <v>0.065</v>
      </c>
    </row>
    <row r="5215">
      <c r="A5215" s="36" t="inlineStr">
        <is>
          <t>Turnustillegg</t>
        </is>
      </c>
      <c r="B5215" s="36" t="inlineStr">
        <is>
          <t>Region Midt-Norge</t>
        </is>
      </c>
      <c r="C5215" s="36" t="inlineStr">
        <is>
          <t>Region Midt-Norge felleskostnader barnevern</t>
        </is>
      </c>
      <c r="D5215" s="26" t="n"/>
      <c r="E5215" s="26" t="n"/>
      <c r="F5215" s="26" t="n"/>
      <c r="G5215" s="26" t="n"/>
      <c r="H5215" s="26" t="n">
        <v>47507</v>
      </c>
      <c r="I5215" s="26" t="n"/>
      <c r="J5215" s="19" t="n">
        <v>0</v>
      </c>
      <c r="K5215" s="37" t="n">
        <v>0.065</v>
      </c>
    </row>
    <row r="5216">
      <c r="A5216" s="34" t="inlineStr">
        <is>
          <t>Turnustillegg</t>
        </is>
      </c>
      <c r="B5216" s="34" t="inlineStr">
        <is>
          <t>Region Midt-Norge</t>
        </is>
      </c>
      <c r="C5216" s="34" t="inlineStr">
        <is>
          <t>Skatval ungdomssenter</t>
        </is>
      </c>
      <c r="D5216" s="18" t="n"/>
      <c r="E5216" s="18" t="n"/>
      <c r="F5216" s="18" t="n"/>
      <c r="G5216" s="18" t="n"/>
      <c r="H5216" s="18" t="n">
        <v>649028</v>
      </c>
      <c r="I5216" s="18" t="n">
        <v>3890179</v>
      </c>
      <c r="J5216" s="19" t="n">
        <v>4412338.276275</v>
      </c>
      <c r="K5216" s="35" t="n">
        <v>0.065</v>
      </c>
    </row>
    <row r="5217">
      <c r="A5217" s="36" t="inlineStr">
        <is>
          <t>Turnustillegg</t>
        </is>
      </c>
      <c r="B5217" s="36" t="inlineStr">
        <is>
          <t>Region Midt-Norge</t>
        </is>
      </c>
      <c r="C5217" s="36" t="inlineStr">
        <is>
          <t>Spillumheimen ungdomsheim</t>
        </is>
      </c>
      <c r="D5217" s="26" t="n">
        <v>1592213</v>
      </c>
      <c r="E5217" s="26" t="n">
        <v>1465184</v>
      </c>
      <c r="F5217" s="26" t="n">
        <v>1288443</v>
      </c>
      <c r="G5217" s="26" t="n">
        <v>1499771</v>
      </c>
      <c r="H5217" s="26" t="n">
        <v>1231410</v>
      </c>
      <c r="I5217" s="26" t="n">
        <v>541201</v>
      </c>
      <c r="J5217" s="19" t="n">
        <v>351480.7628739256</v>
      </c>
      <c r="K5217" s="37" t="n">
        <v>-0.1941179454404491</v>
      </c>
    </row>
    <row r="5218">
      <c r="A5218" s="34" t="inlineStr">
        <is>
          <t>Turnustillegg</t>
        </is>
      </c>
      <c r="B5218" s="34" t="inlineStr">
        <is>
          <t>Region Midt-Norge</t>
        </is>
      </c>
      <c r="C5218" s="34" t="inlineStr">
        <is>
          <t>SpisskompetansemiljøF4 behandling ungdom</t>
        </is>
      </c>
      <c r="D5218" s="18" t="n"/>
      <c r="E5218" s="18" t="n"/>
      <c r="F5218" s="18" t="n"/>
      <c r="G5218" s="18" t="n"/>
      <c r="H5218" s="18" t="n"/>
      <c r="I5218" s="18" t="n">
        <v>4917</v>
      </c>
      <c r="J5218" s="19" t="n">
        <v>5576.984324999999</v>
      </c>
      <c r="K5218" s="35" t="n">
        <v>0.065</v>
      </c>
    </row>
    <row r="5219">
      <c r="A5219" s="36" t="inlineStr">
        <is>
          <t>Turnustillegg</t>
        </is>
      </c>
      <c r="B5219" s="36" t="inlineStr">
        <is>
          <t>Region Midt-Norge</t>
        </is>
      </c>
      <c r="C5219" s="36" t="inlineStr">
        <is>
          <t>Stjørdal ungdomssenter</t>
        </is>
      </c>
      <c r="D5219" s="26" t="n">
        <v>2072485</v>
      </c>
      <c r="E5219" s="26" t="n">
        <v>1979190</v>
      </c>
      <c r="F5219" s="26" t="n">
        <v>1181762</v>
      </c>
      <c r="G5219" s="26" t="n"/>
      <c r="H5219" s="26" t="n"/>
      <c r="I5219" s="26" t="n"/>
      <c r="J5219" s="19" t="n">
        <v>0</v>
      </c>
      <c r="K5219" s="37" t="n">
        <v>0.065</v>
      </c>
    </row>
    <row r="5220">
      <c r="A5220" s="34" t="inlineStr">
        <is>
          <t>Turnustillegg</t>
        </is>
      </c>
      <c r="B5220" s="34" t="inlineStr">
        <is>
          <t>Region Midt-Norge</t>
        </is>
      </c>
      <c r="C5220" s="34" t="inlineStr">
        <is>
          <t>Sunnmørsheimen akuttinstitusjon, avd. Klatrevegen</t>
        </is>
      </c>
      <c r="D5220" s="18" t="n"/>
      <c r="E5220" s="18" t="n"/>
      <c r="F5220" s="18" t="n">
        <v>538668</v>
      </c>
      <c r="G5220" s="18" t="n">
        <v>1703022</v>
      </c>
      <c r="H5220" s="18" t="n">
        <v>1961500</v>
      </c>
      <c r="I5220" s="18" t="n">
        <v>2326099</v>
      </c>
      <c r="J5220" s="19" t="n">
        <v>2638319.638275</v>
      </c>
      <c r="K5220" s="35" t="n">
        <v>0.065</v>
      </c>
    </row>
    <row r="5221">
      <c r="A5221" s="36" t="inlineStr">
        <is>
          <t>Turnustillegg</t>
        </is>
      </c>
      <c r="B5221" s="36" t="inlineStr">
        <is>
          <t>Region Midt-Norge</t>
        </is>
      </c>
      <c r="C5221" s="36" t="inlineStr">
        <is>
          <t>Sunnmørsheimen ungdomsheim, avd. Klatrevegen</t>
        </is>
      </c>
      <c r="D5221" s="26" t="n">
        <v>942884</v>
      </c>
      <c r="E5221" s="26" t="n">
        <v>1081493</v>
      </c>
      <c r="F5221" s="26" t="n">
        <v>754896</v>
      </c>
      <c r="G5221" s="26" t="n"/>
      <c r="H5221" s="26" t="n"/>
      <c r="I5221" s="26" t="n"/>
      <c r="J5221" s="19" t="n">
        <v>0</v>
      </c>
      <c r="K5221" s="37" t="n">
        <v>0.065</v>
      </c>
    </row>
    <row r="5222">
      <c r="A5222" s="34" t="inlineStr">
        <is>
          <t>Turnustillegg</t>
        </is>
      </c>
      <c r="B5222" s="34" t="inlineStr">
        <is>
          <t>Region Midt-Norge</t>
        </is>
      </c>
      <c r="C5222" s="34" t="inlineStr">
        <is>
          <t>Sunnmørsheimen ungdomsheim, avd. Nygardsvegen</t>
        </is>
      </c>
      <c r="D5222" s="18" t="n">
        <v>798904</v>
      </c>
      <c r="E5222" s="18" t="n">
        <v>1232941</v>
      </c>
      <c r="F5222" s="18" t="n">
        <v>1154389</v>
      </c>
      <c r="G5222" s="18" t="n">
        <v>1451930</v>
      </c>
      <c r="H5222" s="18" t="n">
        <v>1671602</v>
      </c>
      <c r="I5222" s="18" t="n">
        <v>2066685</v>
      </c>
      <c r="J5222" s="19" t="n">
        <v>3022638.182119911</v>
      </c>
      <c r="K5222" s="35" t="n">
        <v>0.2093609420052081</v>
      </c>
    </row>
    <row r="5223">
      <c r="A5223" s="36" t="inlineStr">
        <is>
          <t>Turnustillegg</t>
        </is>
      </c>
      <c r="B5223" s="36" t="inlineStr">
        <is>
          <t>Region Midt-Norge</t>
        </is>
      </c>
      <c r="C5223" s="36" t="inlineStr">
        <is>
          <t>TFCO Trondheim</t>
        </is>
      </c>
      <c r="D5223" s="26" t="n"/>
      <c r="E5223" s="26" t="n">
        <v>5001</v>
      </c>
      <c r="F5223" s="26" t="n">
        <v>22421</v>
      </c>
      <c r="G5223" s="26" t="n">
        <v>7622</v>
      </c>
      <c r="H5223" s="26" t="n"/>
      <c r="I5223" s="26" t="n"/>
      <c r="J5223" s="19" t="n">
        <v>0</v>
      </c>
      <c r="K5223" s="37" t="n">
        <v>0.065</v>
      </c>
    </row>
    <row r="5224">
      <c r="A5224" s="34" t="inlineStr">
        <is>
          <t>Turnustillegg</t>
        </is>
      </c>
      <c r="B5224" s="34" t="inlineStr">
        <is>
          <t>Region Midt-Norge</t>
        </is>
      </c>
      <c r="C5224" s="34" t="inlineStr">
        <is>
          <t>Trøndelag behandlingssenter for ungdom</t>
        </is>
      </c>
      <c r="D5224" s="18" t="n"/>
      <c r="E5224" s="18" t="n"/>
      <c r="F5224" s="18" t="n"/>
      <c r="G5224" s="18" t="n">
        <v>85848</v>
      </c>
      <c r="H5224" s="18" t="n">
        <v>45989</v>
      </c>
      <c r="I5224" s="18" t="n">
        <v>1391</v>
      </c>
      <c r="J5224" s="19" t="n">
        <v>1577.706975</v>
      </c>
      <c r="K5224" s="35" t="n">
        <v>0.065</v>
      </c>
    </row>
    <row r="5225">
      <c r="A5225" s="36" t="inlineStr">
        <is>
          <t>Turnustillegg</t>
        </is>
      </c>
      <c r="B5225" s="36" t="inlineStr">
        <is>
          <t>Region Midt-Norge</t>
        </is>
      </c>
      <c r="C5225" s="36" t="inlineStr">
        <is>
          <t>Vikhovlia akuttsenter</t>
        </is>
      </c>
      <c r="D5225" s="26" t="n">
        <v>1775447</v>
      </c>
      <c r="E5225" s="26" t="n">
        <v>1671565</v>
      </c>
      <c r="F5225" s="26" t="n">
        <v>1837091</v>
      </c>
      <c r="G5225" s="26" t="n">
        <v>1928389</v>
      </c>
      <c r="H5225" s="26" t="n">
        <v>2607684</v>
      </c>
      <c r="I5225" s="26" t="n">
        <v>2735297</v>
      </c>
      <c r="J5225" s="19" t="n">
        <v>3251495.818603683</v>
      </c>
      <c r="K5225" s="37" t="n">
        <v>0.09028328832363686</v>
      </c>
    </row>
    <row r="5226">
      <c r="A5226" s="34" t="inlineStr">
        <is>
          <t>Turnustillegg</t>
        </is>
      </c>
      <c r="B5226" s="34" t="inlineStr">
        <is>
          <t>Region Nord</t>
        </is>
      </c>
      <c r="C5226" s="34" t="inlineStr">
        <is>
          <t>Alta Ungdomssenter sjøtun</t>
        </is>
      </c>
      <c r="D5226" s="18" t="n">
        <v>1665998</v>
      </c>
      <c r="E5226" s="18" t="n">
        <v>1497815</v>
      </c>
      <c r="F5226" s="18" t="n">
        <v>1438460</v>
      </c>
      <c r="G5226" s="18" t="n">
        <v>2251520</v>
      </c>
      <c r="H5226" s="18" t="n">
        <v>2231861</v>
      </c>
      <c r="I5226" s="18" t="n">
        <v>2182946</v>
      </c>
      <c r="J5226" s="19" t="n">
        <v>2432150.242694955</v>
      </c>
      <c r="K5226" s="35" t="n">
        <v>0.05553758826257171</v>
      </c>
    </row>
    <row r="5227">
      <c r="A5227" s="36" t="inlineStr">
        <is>
          <t>Turnustillegg</t>
        </is>
      </c>
      <c r="B5227" s="36" t="inlineStr">
        <is>
          <t>Region Nord</t>
        </is>
      </c>
      <c r="C5227" s="36" t="inlineStr">
        <is>
          <t>Alta Ungdomssenter utsikten</t>
        </is>
      </c>
      <c r="D5227" s="26" t="n">
        <v>271802</v>
      </c>
      <c r="E5227" s="26" t="n"/>
      <c r="F5227" s="26" t="n"/>
      <c r="G5227" s="26" t="n"/>
      <c r="H5227" s="26" t="n"/>
      <c r="I5227" s="26" t="n"/>
      <c r="J5227" s="19" t="n">
        <v>0</v>
      </c>
      <c r="K5227" s="37" t="n">
        <v>0.065</v>
      </c>
    </row>
    <row r="5228">
      <c r="A5228" s="34" t="inlineStr">
        <is>
          <t>Turnustillegg</t>
        </is>
      </c>
      <c r="B5228" s="34" t="inlineStr">
        <is>
          <t>Region Nord</t>
        </is>
      </c>
      <c r="C5228" s="34" t="inlineStr">
        <is>
          <t>Alta ungdomssenter Utsikten akutt</t>
        </is>
      </c>
      <c r="D5228" s="18" t="n"/>
      <c r="E5228" s="18" t="n"/>
      <c r="F5228" s="18" t="n"/>
      <c r="G5228" s="18" t="n"/>
      <c r="H5228" s="18" t="n">
        <v>327299</v>
      </c>
      <c r="I5228" s="18" t="n">
        <v>1652141</v>
      </c>
      <c r="J5228" s="19" t="n">
        <v>1873899.625725</v>
      </c>
      <c r="K5228" s="35" t="n">
        <v>0.065</v>
      </c>
    </row>
    <row r="5229">
      <c r="A5229" s="36" t="inlineStr">
        <is>
          <t>Turnustillegg</t>
        </is>
      </c>
      <c r="B5229" s="36" t="inlineStr">
        <is>
          <t>Region Nord</t>
        </is>
      </c>
      <c r="C5229" s="36" t="inlineStr">
        <is>
          <t>Alta ungdomssenter Utsikten omsorg</t>
        </is>
      </c>
      <c r="D5229" s="26" t="n">
        <v>159267</v>
      </c>
      <c r="E5229" s="26" t="n">
        <v>955870</v>
      </c>
      <c r="F5229" s="26" t="n">
        <v>978947</v>
      </c>
      <c r="G5229" s="26" t="n">
        <v>796354</v>
      </c>
      <c r="H5229" s="26" t="n">
        <v>524108</v>
      </c>
      <c r="I5229" s="26" t="n">
        <v>6818</v>
      </c>
      <c r="J5229" s="19" t="n">
        <v>3835.125</v>
      </c>
      <c r="K5229" s="37" t="n">
        <v>-0.25</v>
      </c>
    </row>
    <row r="5230">
      <c r="A5230" s="34" t="inlineStr">
        <is>
          <t>Turnustillegg</t>
        </is>
      </c>
      <c r="B5230" s="34" t="inlineStr">
        <is>
          <t>Region Nord</t>
        </is>
      </c>
      <c r="C5230" s="34" t="inlineStr">
        <is>
          <t>Bodø behandlingssenter Sandhornet</t>
        </is>
      </c>
      <c r="D5230" s="18" t="n">
        <v>1976052</v>
      </c>
      <c r="E5230" s="18" t="n">
        <v>1722545</v>
      </c>
      <c r="F5230" s="18" t="n">
        <v>2122669</v>
      </c>
      <c r="G5230" s="18" t="n">
        <v>2329702</v>
      </c>
      <c r="H5230" s="18" t="n">
        <v>2305137</v>
      </c>
      <c r="I5230" s="18" t="n">
        <v>2433174</v>
      </c>
      <c r="J5230" s="19" t="n">
        <v>2644375.266147573</v>
      </c>
      <c r="K5230" s="35" t="n">
        <v>0.04249734989900356</v>
      </c>
    </row>
    <row r="5231">
      <c r="A5231" s="36" t="inlineStr">
        <is>
          <t>Turnustillegg</t>
        </is>
      </c>
      <c r="B5231" s="36" t="inlineStr">
        <is>
          <t>Region Nord</t>
        </is>
      </c>
      <c r="C5231" s="36" t="inlineStr">
        <is>
          <t>Lamo ungdomssenter Tunet</t>
        </is>
      </c>
      <c r="D5231" s="26" t="n">
        <v>1390763</v>
      </c>
      <c r="E5231" s="26" t="n">
        <v>1508326</v>
      </c>
      <c r="F5231" s="26" t="n">
        <v>1634266</v>
      </c>
      <c r="G5231" s="26" t="n">
        <v>1617825</v>
      </c>
      <c r="H5231" s="26" t="n">
        <v>1894647</v>
      </c>
      <c r="I5231" s="26" t="n">
        <v>2187839</v>
      </c>
      <c r="J5231" s="19" t="n">
        <v>2622528.716243801</v>
      </c>
      <c r="K5231" s="37" t="n">
        <v>0.09484451335895283</v>
      </c>
    </row>
    <row r="5232">
      <c r="A5232" s="34" t="inlineStr">
        <is>
          <t>Turnustillegg</t>
        </is>
      </c>
      <c r="B5232" s="34" t="inlineStr">
        <is>
          <t>Region Nord</t>
        </is>
      </c>
      <c r="C5232" s="34" t="inlineStr">
        <is>
          <t>Nye Kvæfjord ungdomssenter Lilleheimen</t>
        </is>
      </c>
      <c r="D5232" s="18" t="n">
        <v>1333288</v>
      </c>
      <c r="E5232" s="18" t="n">
        <v>1117308</v>
      </c>
      <c r="F5232" s="18" t="n">
        <v>1190099</v>
      </c>
      <c r="G5232" s="18" t="n">
        <v>1435454</v>
      </c>
      <c r="H5232" s="18" t="n">
        <v>1416249</v>
      </c>
      <c r="I5232" s="18" t="n">
        <v>1587895</v>
      </c>
      <c r="J5232" s="19" t="n">
        <v>1702867.690886719</v>
      </c>
      <c r="K5232" s="35" t="n">
        <v>0.03557024212644633</v>
      </c>
    </row>
    <row r="5233">
      <c r="A5233" s="36" t="inlineStr">
        <is>
          <t>Turnustillegg</t>
        </is>
      </c>
      <c r="B5233" s="36" t="inlineStr">
        <is>
          <t>Region Nord</t>
        </is>
      </c>
      <c r="C5233" s="36" t="inlineStr">
        <is>
          <t>Nye Kvæfjord ungdomssenter Storheimen</t>
        </is>
      </c>
      <c r="D5233" s="26" t="n">
        <v>1341364</v>
      </c>
      <c r="E5233" s="26" t="n">
        <v>1393597</v>
      </c>
      <c r="F5233" s="26" t="n">
        <v>1283780</v>
      </c>
      <c r="G5233" s="26" t="n">
        <v>1444438</v>
      </c>
      <c r="H5233" s="26" t="n">
        <v>1818498</v>
      </c>
      <c r="I5233" s="26" t="n">
        <v>1937685</v>
      </c>
      <c r="J5233" s="19" t="n">
        <v>2244800.702934039</v>
      </c>
      <c r="K5233" s="37" t="n">
        <v>0.07633461187318735</v>
      </c>
    </row>
    <row r="5234">
      <c r="A5234" s="34" t="inlineStr">
        <is>
          <t>Turnustillegg</t>
        </is>
      </c>
      <c r="B5234" s="34" t="inlineStr">
        <is>
          <t>Region Nord</t>
        </is>
      </c>
      <c r="C5234" s="34" t="inlineStr">
        <is>
          <t>Røvika ungdomssenter Skogly</t>
        </is>
      </c>
      <c r="D5234" s="18" t="n">
        <v>1276970</v>
      </c>
      <c r="E5234" s="18" t="n">
        <v>1506886</v>
      </c>
      <c r="F5234" s="18" t="n">
        <v>1522063</v>
      </c>
      <c r="G5234" s="18" t="n">
        <v>1563906</v>
      </c>
      <c r="H5234" s="18" t="n">
        <v>1475193</v>
      </c>
      <c r="I5234" s="18" t="n">
        <v>2287716</v>
      </c>
      <c r="J5234" s="19" t="n">
        <v>2888621.741257994</v>
      </c>
      <c r="K5234" s="35" t="n">
        <v>0.1236842224788206</v>
      </c>
    </row>
    <row r="5235">
      <c r="A5235" s="36" t="inlineStr">
        <is>
          <t>Turnustillegg</t>
        </is>
      </c>
      <c r="B5235" s="36" t="inlineStr">
        <is>
          <t>Region Nord</t>
        </is>
      </c>
      <c r="C5235" s="36" t="inlineStr">
        <is>
          <t>Røvika ungdomssenter Åsheim akutt</t>
        </is>
      </c>
      <c r="D5235" s="26" t="n"/>
      <c r="E5235" s="26" t="n"/>
      <c r="F5235" s="26" t="n"/>
      <c r="G5235" s="26" t="n"/>
      <c r="H5235" s="26" t="n">
        <v>263680</v>
      </c>
      <c r="I5235" s="26" t="n">
        <v>1557424</v>
      </c>
      <c r="J5235" s="19" t="n">
        <v>1766469.2364</v>
      </c>
      <c r="K5235" s="37" t="n">
        <v>0.065</v>
      </c>
    </row>
    <row r="5236">
      <c r="A5236" s="34" t="inlineStr">
        <is>
          <t>Turnustillegg</t>
        </is>
      </c>
      <c r="B5236" s="34" t="inlineStr">
        <is>
          <t>Region Nord</t>
        </is>
      </c>
      <c r="C5236" s="34" t="inlineStr">
        <is>
          <t>Røvika Åsheim</t>
        </is>
      </c>
      <c r="D5236" s="18" t="n">
        <v>908130</v>
      </c>
      <c r="E5236" s="18" t="n">
        <v>946086</v>
      </c>
      <c r="F5236" s="18" t="n">
        <v>882812</v>
      </c>
      <c r="G5236" s="18" t="n">
        <v>1104405</v>
      </c>
      <c r="H5236" s="18" t="n">
        <v>962909</v>
      </c>
      <c r="I5236" s="18" t="n">
        <v>13284</v>
      </c>
      <c r="J5236" s="19" t="n">
        <v>7472.25</v>
      </c>
      <c r="K5236" s="35" t="n">
        <v>-0.25</v>
      </c>
    </row>
    <row r="5237">
      <c r="A5237" s="36" t="inlineStr">
        <is>
          <t>Turnustillegg</t>
        </is>
      </c>
      <c r="B5237" s="36" t="inlineStr">
        <is>
          <t>Region Nord</t>
        </is>
      </c>
      <c r="C5237" s="36" t="inlineStr">
        <is>
          <t>Silsand ungdomssenter administrasjon</t>
        </is>
      </c>
      <c r="D5237" s="26" t="n"/>
      <c r="E5237" s="26" t="n"/>
      <c r="F5237" s="26" t="n">
        <v>777</v>
      </c>
      <c r="G5237" s="26" t="n"/>
      <c r="H5237" s="26" t="n"/>
      <c r="I5237" s="26" t="n"/>
      <c r="J5237" s="19" t="n">
        <v>0</v>
      </c>
      <c r="K5237" s="37" t="n">
        <v>0.065</v>
      </c>
    </row>
    <row r="5238">
      <c r="A5238" s="34" t="inlineStr">
        <is>
          <t>Turnustillegg</t>
        </is>
      </c>
      <c r="B5238" s="34" t="inlineStr">
        <is>
          <t>Region Nord</t>
        </is>
      </c>
      <c r="C5238" s="34" t="inlineStr">
        <is>
          <t>Silsand ungdomssenter avdeling 1</t>
        </is>
      </c>
      <c r="D5238" s="18" t="n">
        <v>998084</v>
      </c>
      <c r="E5238" s="18" t="n">
        <v>1097032</v>
      </c>
      <c r="F5238" s="18" t="n">
        <v>1283179</v>
      </c>
      <c r="G5238" s="18" t="n">
        <v>1419814</v>
      </c>
      <c r="H5238" s="18" t="n">
        <v>1462621</v>
      </c>
      <c r="I5238" s="18" t="n">
        <v>15613</v>
      </c>
      <c r="J5238" s="19" t="n">
        <v>8782.3125</v>
      </c>
      <c r="K5238" s="35" t="n">
        <v>-0.25</v>
      </c>
    </row>
    <row r="5239">
      <c r="A5239" s="36" t="inlineStr">
        <is>
          <t>Turnustillegg</t>
        </is>
      </c>
      <c r="B5239" s="36" t="inlineStr">
        <is>
          <t>Region Nord</t>
        </is>
      </c>
      <c r="C5239" s="36" t="inlineStr">
        <is>
          <t>Silsand ungdomssenter miljøavdeling</t>
        </is>
      </c>
      <c r="D5239" s="26" t="n"/>
      <c r="E5239" s="26" t="n"/>
      <c r="F5239" s="26" t="n"/>
      <c r="G5239" s="26" t="n"/>
      <c r="H5239" s="26" t="n">
        <v>639487</v>
      </c>
      <c r="I5239" s="26" t="n">
        <v>2859887</v>
      </c>
      <c r="J5239" s="19" t="n">
        <v>3243755.332574999</v>
      </c>
      <c r="K5239" s="37" t="n">
        <v>0.065</v>
      </c>
    </row>
    <row r="5240">
      <c r="A5240" s="34" t="inlineStr">
        <is>
          <t>Turnustillegg</t>
        </is>
      </c>
      <c r="B5240" s="34" t="inlineStr">
        <is>
          <t>Region Nord</t>
        </is>
      </c>
      <c r="C5240" s="34" t="inlineStr">
        <is>
          <t>Sollia barne- og ungdomssenter miljøavdeling</t>
        </is>
      </c>
      <c r="D5240" s="18" t="n">
        <v>1318696</v>
      </c>
      <c r="E5240" s="18" t="n">
        <v>1103422</v>
      </c>
      <c r="F5240" s="18" t="n">
        <v>1178571</v>
      </c>
      <c r="G5240" s="18" t="n">
        <v>1400444</v>
      </c>
      <c r="H5240" s="18" t="n">
        <v>1594898</v>
      </c>
      <c r="I5240" s="18" t="n">
        <v>1431955</v>
      </c>
      <c r="J5240" s="19" t="n">
        <v>1479937.049921394</v>
      </c>
      <c r="K5240" s="35" t="n">
        <v>0.01661598997784108</v>
      </c>
    </row>
    <row r="5241">
      <c r="A5241" s="36" t="inlineStr">
        <is>
          <t>Turnustillegg</t>
        </is>
      </c>
      <c r="B5241" s="36" t="inlineStr">
        <is>
          <t>Region Nord</t>
        </is>
      </c>
      <c r="C5241" s="36" t="inlineStr">
        <is>
          <t>Tromsø ungdomssenter Fjære</t>
        </is>
      </c>
      <c r="D5241" s="26" t="n">
        <v>1076840</v>
      </c>
      <c r="E5241" s="26" t="n">
        <v>1191717</v>
      </c>
      <c r="F5241" s="26" t="n">
        <v>1058583</v>
      </c>
      <c r="G5241" s="26" t="n">
        <v>1284217</v>
      </c>
      <c r="H5241" s="26" t="n">
        <v>1408746</v>
      </c>
      <c r="I5241" s="26" t="n">
        <v>1540578</v>
      </c>
      <c r="J5241" s="19" t="n">
        <v>1777856.47023211</v>
      </c>
      <c r="K5241" s="37" t="n">
        <v>0.07425282012446277</v>
      </c>
    </row>
    <row r="5242">
      <c r="A5242" s="34" t="inlineStr">
        <is>
          <t>Turnustillegg</t>
        </is>
      </c>
      <c r="B5242" s="34" t="inlineStr">
        <is>
          <t>Region Nord</t>
        </is>
      </c>
      <c r="C5242" s="34" t="inlineStr">
        <is>
          <t>Tromsø ungdomssenter Flo</t>
        </is>
      </c>
      <c r="D5242" s="18" t="n">
        <v>1169291</v>
      </c>
      <c r="E5242" s="18" t="n">
        <v>1214957</v>
      </c>
      <c r="F5242" s="18" t="n">
        <v>1565702</v>
      </c>
      <c r="G5242" s="18" t="n">
        <v>1589225</v>
      </c>
      <c r="H5242" s="18" t="n">
        <v>1740641</v>
      </c>
      <c r="I5242" s="18" t="n">
        <v>2057822</v>
      </c>
      <c r="J5242" s="19" t="n">
        <v>2579894.136727761</v>
      </c>
      <c r="K5242" s="35" t="n">
        <v>0.1196880412848742</v>
      </c>
    </row>
    <row r="5243">
      <c r="A5243" s="36" t="inlineStr">
        <is>
          <t>Turnustillegg</t>
        </is>
      </c>
      <c r="B5243" s="36" t="inlineStr">
        <is>
          <t>Region Nord</t>
        </is>
      </c>
      <c r="C5243" s="36" t="inlineStr">
        <is>
          <t>Vadsø ungdomssenter avdeling 1</t>
        </is>
      </c>
      <c r="D5243" s="26" t="n">
        <v>619039</v>
      </c>
      <c r="E5243" s="26" t="n"/>
      <c r="F5243" s="26" t="n"/>
      <c r="G5243" s="26" t="n"/>
      <c r="H5243" s="26" t="n"/>
      <c r="I5243" s="26" t="n"/>
      <c r="J5243" s="19" t="n">
        <v>0</v>
      </c>
      <c r="K5243" s="37" t="n">
        <v>0.065</v>
      </c>
    </row>
    <row r="5244">
      <c r="A5244" s="34" t="inlineStr">
        <is>
          <t>Turnustillegg</t>
        </is>
      </c>
      <c r="B5244" s="34" t="inlineStr">
        <is>
          <t>Region Nord</t>
        </is>
      </c>
      <c r="C5244" s="34" t="inlineStr">
        <is>
          <t>Yttrabekken ungdomssenter avdeling 1</t>
        </is>
      </c>
      <c r="D5244" s="18" t="n">
        <v>1238814</v>
      </c>
      <c r="E5244" s="18" t="n">
        <v>1195799</v>
      </c>
      <c r="F5244" s="18" t="n">
        <v>1310297</v>
      </c>
      <c r="G5244" s="18" t="n">
        <v>1977058</v>
      </c>
      <c r="H5244" s="18" t="n">
        <v>1822832</v>
      </c>
      <c r="I5244" s="18" t="n">
        <v>2168017</v>
      </c>
      <c r="J5244" s="19" t="n">
        <v>2711972.708256227</v>
      </c>
      <c r="K5244" s="35" t="n">
        <v>0.1184364586617346</v>
      </c>
    </row>
    <row r="5245">
      <c r="A5245" s="36" t="inlineStr">
        <is>
          <t>Turnustillegg</t>
        </is>
      </c>
      <c r="B5245" s="36" t="inlineStr">
        <is>
          <t>Region Sør</t>
        </is>
      </c>
      <c r="C5245" s="36" t="inlineStr">
        <is>
          <t>Agder ungdomshjem</t>
        </is>
      </c>
      <c r="D5245" s="26" t="n"/>
      <c r="E5245" s="26" t="n"/>
      <c r="F5245" s="26" t="n"/>
      <c r="G5245" s="26" t="n"/>
      <c r="H5245" s="26" t="n">
        <v>2014</v>
      </c>
      <c r="I5245" s="26" t="n">
        <v>78</v>
      </c>
      <c r="J5245" s="19" t="n">
        <v>88.46954999999998</v>
      </c>
      <c r="K5245" s="37" t="n">
        <v>0.065</v>
      </c>
    </row>
    <row r="5246">
      <c r="A5246" s="34" t="inlineStr">
        <is>
          <t>Turnustillegg</t>
        </is>
      </c>
      <c r="B5246" s="34" t="inlineStr">
        <is>
          <t>Region Sør</t>
        </is>
      </c>
      <c r="C5246" s="34" t="inlineStr">
        <is>
          <t>Avdeling Barkåker</t>
        </is>
      </c>
      <c r="D5246" s="18" t="n">
        <v>1920957</v>
      </c>
      <c r="E5246" s="18" t="n"/>
      <c r="F5246" s="18" t="n"/>
      <c r="G5246" s="18" t="n"/>
      <c r="H5246" s="18" t="n"/>
      <c r="I5246" s="18" t="n"/>
      <c r="J5246" s="19" t="n">
        <v>0</v>
      </c>
      <c r="K5246" s="35" t="n">
        <v>0.065</v>
      </c>
    </row>
    <row r="5247">
      <c r="A5247" s="36" t="inlineStr">
        <is>
          <t>Turnustillegg</t>
        </is>
      </c>
      <c r="B5247" s="36" t="inlineStr">
        <is>
          <t>Region Sør</t>
        </is>
      </c>
      <c r="C5247" s="36" t="inlineStr">
        <is>
          <t>Avdeling Furuly</t>
        </is>
      </c>
      <c r="D5247" s="26" t="n">
        <v>1472263</v>
      </c>
      <c r="E5247" s="26" t="n">
        <v>1360593</v>
      </c>
      <c r="F5247" s="26" t="n">
        <v>25218</v>
      </c>
      <c r="G5247" s="26" t="n"/>
      <c r="H5247" s="26" t="n"/>
      <c r="I5247" s="26" t="n"/>
      <c r="J5247" s="19" t="n">
        <v>0</v>
      </c>
      <c r="K5247" s="37" t="n">
        <v>0.065</v>
      </c>
    </row>
    <row r="5248">
      <c r="A5248" s="34" t="inlineStr">
        <is>
          <t>Turnustillegg</t>
        </is>
      </c>
      <c r="B5248" s="34" t="inlineStr">
        <is>
          <t>Region Sør</t>
        </is>
      </c>
      <c r="C5248" s="34" t="inlineStr">
        <is>
          <t>Avdeling Geithus</t>
        </is>
      </c>
      <c r="D5248" s="18" t="n">
        <v>2138059</v>
      </c>
      <c r="E5248" s="18" t="n">
        <v>2099180</v>
      </c>
      <c r="F5248" s="18" t="n">
        <v>2337976</v>
      </c>
      <c r="G5248" s="18" t="n">
        <v>772516</v>
      </c>
      <c r="H5248" s="18" t="n">
        <v>19281</v>
      </c>
      <c r="I5248" s="18" t="n"/>
      <c r="J5248" s="19" t="n">
        <v>0</v>
      </c>
      <c r="K5248" s="35" t="n">
        <v>0.065</v>
      </c>
    </row>
    <row r="5249">
      <c r="A5249" s="36" t="inlineStr">
        <is>
          <t>Turnustillegg</t>
        </is>
      </c>
      <c r="B5249" s="36" t="inlineStr">
        <is>
          <t>Region Sør</t>
        </is>
      </c>
      <c r="C5249" s="36" t="inlineStr">
        <is>
          <t>Avdeling Gemini</t>
        </is>
      </c>
      <c r="D5249" s="26" t="n">
        <v>1051396</v>
      </c>
      <c r="E5249" s="26" t="n">
        <v>1256288</v>
      </c>
      <c r="F5249" s="26" t="n">
        <v>49975</v>
      </c>
      <c r="G5249" s="26" t="n"/>
      <c r="H5249" s="26" t="n"/>
      <c r="I5249" s="26" t="n"/>
      <c r="J5249" s="19" t="n">
        <v>0</v>
      </c>
      <c r="K5249" s="37" t="n">
        <v>0.065</v>
      </c>
    </row>
    <row r="5250">
      <c r="A5250" s="34" t="inlineStr">
        <is>
          <t>Turnustillegg</t>
        </is>
      </c>
      <c r="B5250" s="34" t="inlineStr">
        <is>
          <t>Region Sør</t>
        </is>
      </c>
      <c r="C5250" s="34" t="inlineStr">
        <is>
          <t>Avdeling Kjørbekk</t>
        </is>
      </c>
      <c r="D5250" s="18" t="n">
        <v>1396359</v>
      </c>
      <c r="E5250" s="18" t="n">
        <v>1577122</v>
      </c>
      <c r="F5250" s="18" t="n">
        <v>1546636</v>
      </c>
      <c r="G5250" s="18" t="n">
        <v>1841066</v>
      </c>
      <c r="H5250" s="18" t="n">
        <v>2052692</v>
      </c>
      <c r="I5250" s="18" t="n">
        <v>2068425</v>
      </c>
      <c r="J5250" s="19" t="n">
        <v>2420454.115274422</v>
      </c>
      <c r="K5250" s="35" t="n">
        <v>0.0817540701756454</v>
      </c>
    </row>
    <row r="5251">
      <c r="A5251" s="36" t="inlineStr">
        <is>
          <t>Turnustillegg</t>
        </is>
      </c>
      <c r="B5251" s="36" t="inlineStr">
        <is>
          <t>Region Sør</t>
        </is>
      </c>
      <c r="C5251" s="36" t="inlineStr">
        <is>
          <t>Avdeling Larønningen</t>
        </is>
      </c>
      <c r="D5251" s="26" t="n">
        <v>1381399</v>
      </c>
      <c r="E5251" s="26" t="n">
        <v>1001850</v>
      </c>
      <c r="F5251" s="26" t="n"/>
      <c r="G5251" s="26" t="n"/>
      <c r="H5251" s="26" t="n"/>
      <c r="I5251" s="26" t="n"/>
      <c r="J5251" s="19" t="n">
        <v>0</v>
      </c>
      <c r="K5251" s="37" t="n">
        <v>0.065</v>
      </c>
    </row>
    <row r="5252">
      <c r="A5252" s="34" t="inlineStr">
        <is>
          <t>Turnustillegg</t>
        </is>
      </c>
      <c r="B5252" s="34" t="inlineStr">
        <is>
          <t>Region Sør</t>
        </is>
      </c>
      <c r="C5252" s="34" t="inlineStr">
        <is>
          <t>Avdeling Miljøheimen</t>
        </is>
      </c>
      <c r="D5252" s="18" t="n">
        <v>1093119</v>
      </c>
      <c r="E5252" s="18" t="n">
        <v>1313979</v>
      </c>
      <c r="F5252" s="18" t="n">
        <v>1310739</v>
      </c>
      <c r="G5252" s="18" t="n">
        <v>1460444</v>
      </c>
      <c r="H5252" s="18" t="n">
        <v>1671823</v>
      </c>
      <c r="I5252" s="18" t="n">
        <v>2546748</v>
      </c>
      <c r="J5252" s="19" t="n">
        <v>3572015.922075995</v>
      </c>
      <c r="K5252" s="35" t="n">
        <v>0.1843053908325694</v>
      </c>
    </row>
    <row r="5253">
      <c r="A5253" s="36" t="inlineStr">
        <is>
          <t>Turnustillegg</t>
        </is>
      </c>
      <c r="B5253" s="36" t="inlineStr">
        <is>
          <t>Region Sør</t>
        </is>
      </c>
      <c r="C5253" s="36" t="inlineStr">
        <is>
          <t>Avdeling Nes</t>
        </is>
      </c>
      <c r="D5253" s="26" t="n">
        <v>1083489</v>
      </c>
      <c r="E5253" s="26" t="n">
        <v>1016921</v>
      </c>
      <c r="F5253" s="26" t="n">
        <v>1317028</v>
      </c>
      <c r="G5253" s="26" t="n">
        <v>1290459</v>
      </c>
      <c r="H5253" s="26" t="n">
        <v>2394004</v>
      </c>
      <c r="I5253" s="26" t="n">
        <v>2579517</v>
      </c>
      <c r="J5253" s="19" t="n">
        <v>3649420.854788732</v>
      </c>
      <c r="K5253" s="37" t="n">
        <v>0.1894406522446188</v>
      </c>
    </row>
    <row r="5254">
      <c r="A5254" s="34" t="inlineStr">
        <is>
          <t>Turnustillegg</t>
        </is>
      </c>
      <c r="B5254" s="34" t="inlineStr">
        <is>
          <t>Region Sør</t>
        </is>
      </c>
      <c r="C5254" s="34" t="inlineStr">
        <is>
          <t>Avdeling Nyli</t>
        </is>
      </c>
      <c r="D5254" s="18" t="n">
        <v>1201276</v>
      </c>
      <c r="E5254" s="18" t="n">
        <v>604536</v>
      </c>
      <c r="F5254" s="18" t="n"/>
      <c r="G5254" s="18" t="n"/>
      <c r="H5254" s="18" t="n"/>
      <c r="I5254" s="18" t="n"/>
      <c r="J5254" s="19" t="n">
        <v>0</v>
      </c>
      <c r="K5254" s="35" t="n">
        <v>0.065</v>
      </c>
    </row>
    <row r="5255">
      <c r="A5255" s="36" t="inlineStr">
        <is>
          <t>Turnustillegg</t>
        </is>
      </c>
      <c r="B5255" s="36" t="inlineStr">
        <is>
          <t>Region Sør</t>
        </is>
      </c>
      <c r="C5255" s="36" t="inlineStr">
        <is>
          <t>Avdeling Orion</t>
        </is>
      </c>
      <c r="D5255" s="26" t="n">
        <v>1120326</v>
      </c>
      <c r="E5255" s="26" t="n">
        <v>1365618</v>
      </c>
      <c r="F5255" s="26" t="n">
        <v>188589</v>
      </c>
      <c r="G5255" s="26" t="n"/>
      <c r="H5255" s="26" t="n"/>
      <c r="I5255" s="26" t="n"/>
      <c r="J5255" s="19" t="n">
        <v>0</v>
      </c>
      <c r="K5255" s="37" t="n">
        <v>0.065</v>
      </c>
    </row>
    <row r="5256">
      <c r="A5256" s="34" t="inlineStr">
        <is>
          <t>Turnustillegg</t>
        </is>
      </c>
      <c r="B5256" s="34" t="inlineStr">
        <is>
          <t>Region Sør</t>
        </is>
      </c>
      <c r="C5256" s="34" t="inlineStr">
        <is>
          <t>Avdeling Skomrak</t>
        </is>
      </c>
      <c r="D5256" s="18" t="n">
        <v>1507119</v>
      </c>
      <c r="E5256" s="18" t="n">
        <v>1576753</v>
      </c>
      <c r="F5256" s="18" t="n">
        <v>1770258</v>
      </c>
      <c r="G5256" s="18" t="n">
        <v>1611536</v>
      </c>
      <c r="H5256" s="18" t="n">
        <v>1718342</v>
      </c>
      <c r="I5256" s="18" t="n">
        <v>1908379</v>
      </c>
      <c r="J5256" s="19" t="n">
        <v>2097352.666206263</v>
      </c>
      <c r="K5256" s="35" t="n">
        <v>0.04834304133027856</v>
      </c>
    </row>
    <row r="5257">
      <c r="A5257" s="36" t="inlineStr">
        <is>
          <t>Turnustillegg</t>
        </is>
      </c>
      <c r="B5257" s="36" t="inlineStr">
        <is>
          <t>Region Sør</t>
        </is>
      </c>
      <c r="C5257" s="36" t="inlineStr">
        <is>
          <t>Avdeling Vestre Kjenner</t>
        </is>
      </c>
      <c r="D5257" s="26" t="n">
        <v>1192983</v>
      </c>
      <c r="E5257" s="26" t="n">
        <v>1448147</v>
      </c>
      <c r="F5257" s="26" t="n">
        <v>304052</v>
      </c>
      <c r="G5257" s="26" t="n"/>
      <c r="H5257" s="26" t="n"/>
      <c r="I5257" s="26" t="n"/>
      <c r="J5257" s="19" t="n">
        <v>0</v>
      </c>
      <c r="K5257" s="37" t="n">
        <v>0.065</v>
      </c>
    </row>
    <row r="5258">
      <c r="A5258" s="34" t="inlineStr">
        <is>
          <t>Turnustillegg</t>
        </is>
      </c>
      <c r="B5258" s="34" t="inlineStr">
        <is>
          <t>Region Sør</t>
        </is>
      </c>
      <c r="C5258" s="34" t="inlineStr">
        <is>
          <t>Barkåker.</t>
        </is>
      </c>
      <c r="D5258" s="18" t="n"/>
      <c r="E5258" s="18" t="n">
        <v>1737898</v>
      </c>
      <c r="F5258" s="18" t="n">
        <v>1659723</v>
      </c>
      <c r="G5258" s="18" t="n">
        <v>2385051</v>
      </c>
      <c r="H5258" s="18" t="n">
        <v>2857338</v>
      </c>
      <c r="I5258" s="18" t="n">
        <v>2833936</v>
      </c>
      <c r="J5258" s="19" t="n">
        <v>3618869.443561743</v>
      </c>
      <c r="K5258" s="35" t="n">
        <v>0.1300338129933554</v>
      </c>
    </row>
    <row r="5259">
      <c r="A5259" s="36" t="inlineStr">
        <is>
          <t>Turnustillegg</t>
        </is>
      </c>
      <c r="B5259" s="36" t="inlineStr">
        <is>
          <t>Region Sør</t>
        </is>
      </c>
      <c r="C5259" s="36" t="inlineStr">
        <is>
          <t>Furuly</t>
        </is>
      </c>
      <c r="D5259" s="26" t="n"/>
      <c r="E5259" s="26" t="n"/>
      <c r="F5259" s="26" t="n">
        <v>1484010</v>
      </c>
      <c r="G5259" s="26" t="n">
        <v>1337860</v>
      </c>
      <c r="H5259" s="26" t="n">
        <v>1622625</v>
      </c>
      <c r="I5259" s="26" t="n">
        <v>2213088</v>
      </c>
      <c r="J5259" s="19" t="n">
        <v>2510139.7368</v>
      </c>
      <c r="K5259" s="37" t="n">
        <v>0.065</v>
      </c>
    </row>
    <row r="5260">
      <c r="A5260" s="34" t="inlineStr">
        <is>
          <t>Turnustillegg</t>
        </is>
      </c>
      <c r="B5260" s="34" t="inlineStr">
        <is>
          <t>Region Sør</t>
        </is>
      </c>
      <c r="C5260" s="34" t="inlineStr">
        <is>
          <t>Ilaug</t>
        </is>
      </c>
      <c r="D5260" s="18" t="n">
        <v>1513163</v>
      </c>
      <c r="E5260" s="18" t="n">
        <v>863878</v>
      </c>
      <c r="F5260" s="18" t="n"/>
      <c r="G5260" s="18" t="n"/>
      <c r="H5260" s="18" t="n"/>
      <c r="I5260" s="18" t="n"/>
      <c r="J5260" s="19" t="n">
        <v>0</v>
      </c>
      <c r="K5260" s="35" t="n">
        <v>0.065</v>
      </c>
    </row>
    <row r="5261">
      <c r="A5261" s="36" t="inlineStr">
        <is>
          <t>Turnustillegg</t>
        </is>
      </c>
      <c r="B5261" s="36" t="inlineStr">
        <is>
          <t>Region Sør</t>
        </is>
      </c>
      <c r="C5261" s="36" t="inlineStr">
        <is>
          <t>Justøya</t>
        </is>
      </c>
      <c r="D5261" s="26" t="n"/>
      <c r="E5261" s="26" t="n"/>
      <c r="F5261" s="26" t="n"/>
      <c r="G5261" s="26" t="n"/>
      <c r="H5261" s="26" t="n"/>
      <c r="I5261" s="26" t="n">
        <v>520360</v>
      </c>
      <c r="J5261" s="19" t="n">
        <v>590205.3209999999</v>
      </c>
      <c r="K5261" s="37" t="n">
        <v>0.065</v>
      </c>
    </row>
    <row r="5262">
      <c r="A5262" s="34" t="inlineStr">
        <is>
          <t>Turnustillegg</t>
        </is>
      </c>
      <c r="B5262" s="34" t="inlineStr">
        <is>
          <t>Region Sør</t>
        </is>
      </c>
      <c r="C5262" s="34" t="inlineStr">
        <is>
          <t>Kantum</t>
        </is>
      </c>
      <c r="D5262" s="18" t="n">
        <v>1127367</v>
      </c>
      <c r="E5262" s="18" t="n">
        <v>1107073</v>
      </c>
      <c r="F5262" s="18" t="n">
        <v>1156824</v>
      </c>
      <c r="G5262" s="18" t="n">
        <v>1266454</v>
      </c>
      <c r="H5262" s="18" t="n">
        <v>1725233</v>
      </c>
      <c r="I5262" s="18" t="n">
        <v>1859060</v>
      </c>
      <c r="J5262" s="19" t="n">
        <v>2270830.098826449</v>
      </c>
      <c r="K5262" s="35" t="n">
        <v>0.1052120661866816</v>
      </c>
    </row>
    <row r="5263">
      <c r="A5263" s="36" t="inlineStr">
        <is>
          <t>Turnustillegg</t>
        </is>
      </c>
      <c r="B5263" s="36" t="inlineStr">
        <is>
          <t>Region Sør</t>
        </is>
      </c>
      <c r="C5263" s="36" t="inlineStr">
        <is>
          <t>Katfoss</t>
        </is>
      </c>
      <c r="D5263" s="26" t="n"/>
      <c r="E5263" s="26" t="n"/>
      <c r="F5263" s="26" t="n"/>
      <c r="G5263" s="26" t="n"/>
      <c r="H5263" s="26" t="n">
        <v>2423657</v>
      </c>
      <c r="I5263" s="26" t="n">
        <v>4659662</v>
      </c>
      <c r="J5263" s="19" t="n">
        <v>5285105.131949999</v>
      </c>
      <c r="K5263" s="37" t="n">
        <v>0.065</v>
      </c>
    </row>
    <row r="5264">
      <c r="A5264" s="34" t="inlineStr">
        <is>
          <t>Turnustillegg</t>
        </is>
      </c>
      <c r="B5264" s="34" t="inlineStr">
        <is>
          <t>Region Sør</t>
        </is>
      </c>
      <c r="C5264" s="34" t="inlineStr">
        <is>
          <t>Klokkerhuset</t>
        </is>
      </c>
      <c r="D5264" s="18" t="n">
        <v>1887927</v>
      </c>
      <c r="E5264" s="18" t="n">
        <v>1978519</v>
      </c>
      <c r="F5264" s="18" t="n">
        <v>2138105</v>
      </c>
      <c r="G5264" s="18" t="n">
        <v>2749306</v>
      </c>
      <c r="H5264" s="18" t="n">
        <v>3030948</v>
      </c>
      <c r="I5264" s="18" t="n">
        <v>3148762</v>
      </c>
      <c r="J5264" s="19" t="n">
        <v>3863684.813083736</v>
      </c>
      <c r="K5264" s="35" t="n">
        <v>0.1077223736144086</v>
      </c>
    </row>
    <row r="5265">
      <c r="A5265" s="36" t="inlineStr">
        <is>
          <t>Turnustillegg</t>
        </is>
      </c>
      <c r="B5265" s="36" t="inlineStr">
        <is>
          <t>Region Sør</t>
        </is>
      </c>
      <c r="C5265" s="36" t="inlineStr">
        <is>
          <t>Knuten</t>
        </is>
      </c>
      <c r="D5265" s="26" t="n"/>
      <c r="E5265" s="26" t="n"/>
      <c r="F5265" s="26" t="n">
        <v>1394816</v>
      </c>
      <c r="G5265" s="26" t="n">
        <v>1891389</v>
      </c>
      <c r="H5265" s="26" t="n">
        <v>2039180</v>
      </c>
      <c r="I5265" s="26" t="n">
        <v>1724606</v>
      </c>
      <c r="J5265" s="19" t="n">
        <v>1956091.24035</v>
      </c>
      <c r="K5265" s="37" t="n">
        <v>0.065</v>
      </c>
    </row>
    <row r="5266">
      <c r="A5266" s="34" t="inlineStr">
        <is>
          <t>Turnustillegg</t>
        </is>
      </c>
      <c r="B5266" s="34" t="inlineStr">
        <is>
          <t>Region Sør</t>
        </is>
      </c>
      <c r="C5266" s="34" t="inlineStr">
        <is>
          <t>Lerketoppen</t>
        </is>
      </c>
      <c r="D5266" s="18" t="n"/>
      <c r="E5266" s="18" t="n"/>
      <c r="F5266" s="18" t="n"/>
      <c r="G5266" s="18" t="n"/>
      <c r="H5266" s="18" t="n">
        <v>834490</v>
      </c>
      <c r="I5266" s="18" t="n">
        <v>3169754</v>
      </c>
      <c r="J5266" s="19" t="n">
        <v>3595214.230649999</v>
      </c>
      <c r="K5266" s="35" t="n">
        <v>0.065</v>
      </c>
    </row>
    <row r="5267">
      <c r="A5267" s="36" t="inlineStr">
        <is>
          <t>Turnustillegg</t>
        </is>
      </c>
      <c r="B5267" s="36" t="inlineStr">
        <is>
          <t>Region Sør</t>
        </is>
      </c>
      <c r="C5267" s="36" t="inlineStr">
        <is>
          <t>Lunde behandlingssenter</t>
        </is>
      </c>
      <c r="D5267" s="26" t="n">
        <v>2712016</v>
      </c>
      <c r="E5267" s="26" t="n">
        <v>2504924</v>
      </c>
      <c r="F5267" s="26" t="n">
        <v>2791479</v>
      </c>
      <c r="G5267" s="26" t="n">
        <v>2793648</v>
      </c>
      <c r="H5267" s="26" t="n">
        <v>2984592</v>
      </c>
      <c r="I5267" s="26" t="n">
        <v>2757228</v>
      </c>
      <c r="J5267" s="19" t="n">
        <v>2775523.145092176</v>
      </c>
      <c r="K5267" s="37" t="n">
        <v>0.003312184689932884</v>
      </c>
    </row>
    <row r="5268">
      <c r="A5268" s="34" t="inlineStr">
        <is>
          <t>Turnustillegg</t>
        </is>
      </c>
      <c r="B5268" s="34" t="inlineStr">
        <is>
          <t>Region Sør</t>
        </is>
      </c>
      <c r="C5268" s="34" t="inlineStr">
        <is>
          <t>Lågen ungdomshjem</t>
        </is>
      </c>
      <c r="D5268" s="18" t="n"/>
      <c r="E5268" s="18" t="n"/>
      <c r="F5268" s="18" t="n">
        <v>4838</v>
      </c>
      <c r="G5268" s="18" t="n"/>
      <c r="H5268" s="18" t="n"/>
      <c r="I5268" s="18" t="n"/>
      <c r="J5268" s="19" t="n">
        <v>0</v>
      </c>
      <c r="K5268" s="35" t="n">
        <v>0.065</v>
      </c>
    </row>
    <row r="5269">
      <c r="A5269" s="36" t="inlineStr">
        <is>
          <t>Turnustillegg</t>
        </is>
      </c>
      <c r="B5269" s="36" t="inlineStr">
        <is>
          <t>Region Sør</t>
        </is>
      </c>
      <c r="C5269" s="36" t="inlineStr">
        <is>
          <t>Mynten</t>
        </is>
      </c>
      <c r="D5269" s="26" t="n"/>
      <c r="E5269" s="26" t="n"/>
      <c r="F5269" s="26" t="n">
        <v>1631251</v>
      </c>
      <c r="G5269" s="26" t="n">
        <v>2471458</v>
      </c>
      <c r="H5269" s="26" t="n">
        <v>2179596</v>
      </c>
      <c r="I5269" s="26" t="n">
        <v>2287297</v>
      </c>
      <c r="J5269" s="19" t="n">
        <v>2594309.439825</v>
      </c>
      <c r="K5269" s="37" t="n">
        <v>0.065</v>
      </c>
    </row>
    <row r="5270">
      <c r="A5270" s="34" t="inlineStr">
        <is>
          <t>Turnustillegg</t>
        </is>
      </c>
      <c r="B5270" s="34" t="inlineStr">
        <is>
          <t>Region Sør</t>
        </is>
      </c>
      <c r="C5270" s="34" t="inlineStr">
        <is>
          <t>Nye Toppen</t>
        </is>
      </c>
      <c r="D5270" s="18" t="n">
        <v>1458971</v>
      </c>
      <c r="E5270" s="18" t="n">
        <v>1640615</v>
      </c>
      <c r="F5270" s="18" t="n">
        <v>1676379</v>
      </c>
      <c r="G5270" s="18" t="n">
        <v>2122897</v>
      </c>
      <c r="H5270" s="18" t="n">
        <v>2490569</v>
      </c>
      <c r="I5270" s="18" t="n">
        <v>2384431</v>
      </c>
      <c r="J5270" s="19" t="n">
        <v>2902150.961574708</v>
      </c>
      <c r="K5270" s="35" t="n">
        <v>0.1032339550886792</v>
      </c>
    </row>
    <row r="5271">
      <c r="A5271" s="36" t="inlineStr">
        <is>
          <t>Turnustillegg</t>
        </is>
      </c>
      <c r="B5271" s="36" t="inlineStr">
        <is>
          <t>Region Sør</t>
        </is>
      </c>
      <c r="C5271" s="36" t="inlineStr">
        <is>
          <t>Nyhuset</t>
        </is>
      </c>
      <c r="D5271" s="26" t="n"/>
      <c r="E5271" s="26" t="n"/>
      <c r="F5271" s="26" t="n"/>
      <c r="G5271" s="26" t="n">
        <v>1898506</v>
      </c>
      <c r="H5271" s="26" t="n">
        <v>2106679</v>
      </c>
      <c r="I5271" s="26" t="n">
        <v>2443798</v>
      </c>
      <c r="J5271" s="19" t="n">
        <v>2771816.786549999</v>
      </c>
      <c r="K5271" s="37" t="n">
        <v>0.065</v>
      </c>
    </row>
    <row r="5272">
      <c r="A5272" s="34" t="inlineStr">
        <is>
          <t>Turnustillegg</t>
        </is>
      </c>
      <c r="B5272" s="34" t="inlineStr">
        <is>
          <t>Region Sør</t>
        </is>
      </c>
      <c r="C5272" s="34" t="inlineStr">
        <is>
          <t>Ressursmiljø for trygghet og sikkerhet</t>
        </is>
      </c>
      <c r="D5272" s="18" t="n">
        <v>11284</v>
      </c>
      <c r="E5272" s="18" t="n"/>
      <c r="F5272" s="18" t="n"/>
      <c r="G5272" s="18" t="n"/>
      <c r="H5272" s="18" t="n"/>
      <c r="I5272" s="18" t="n"/>
      <c r="J5272" s="19" t="n">
        <v>0</v>
      </c>
      <c r="K5272" s="35" t="n">
        <v>0.065</v>
      </c>
    </row>
    <row r="5273">
      <c r="A5273" s="36" t="inlineStr">
        <is>
          <t>Turnustillegg</t>
        </is>
      </c>
      <c r="B5273" s="36" t="inlineStr">
        <is>
          <t>Region Sør</t>
        </is>
      </c>
      <c r="C5273" s="36" t="inlineStr">
        <is>
          <t>Skjerfheimkollektivet</t>
        </is>
      </c>
      <c r="D5273" s="26" t="n">
        <v>11614</v>
      </c>
      <c r="E5273" s="26" t="n"/>
      <c r="F5273" s="26" t="n">
        <v>345614</v>
      </c>
      <c r="G5273" s="26" t="n">
        <v>209390</v>
      </c>
      <c r="H5273" s="26" t="n"/>
      <c r="I5273" s="26" t="n"/>
      <c r="J5273" s="19" t="n">
        <v>0</v>
      </c>
      <c r="K5273" s="37" t="n">
        <v>0.065</v>
      </c>
    </row>
    <row r="5274">
      <c r="A5274" s="34" t="inlineStr">
        <is>
          <t>Turnustillegg</t>
        </is>
      </c>
      <c r="B5274" s="34" t="inlineStr">
        <is>
          <t>Region Sør</t>
        </is>
      </c>
      <c r="C5274" s="34" t="inlineStr">
        <is>
          <t>St.Hansgården</t>
        </is>
      </c>
      <c r="D5274" s="18" t="n">
        <v>1865752</v>
      </c>
      <c r="E5274" s="18" t="n">
        <v>1670034</v>
      </c>
      <c r="F5274" s="18" t="n">
        <v>1922786</v>
      </c>
      <c r="G5274" s="18" t="n">
        <v>2550120</v>
      </c>
      <c r="H5274" s="18" t="n">
        <v>2985111</v>
      </c>
      <c r="I5274" s="18" t="n">
        <v>3393382</v>
      </c>
      <c r="J5274" s="19" t="n">
        <v>4310665.128142041</v>
      </c>
      <c r="K5274" s="35" t="n">
        <v>0.1270826571943722</v>
      </c>
    </row>
    <row r="5275">
      <c r="A5275" s="36" t="inlineStr">
        <is>
          <t>Turnustillegg</t>
        </is>
      </c>
      <c r="B5275" s="36" t="inlineStr">
        <is>
          <t>Region Sør</t>
        </is>
      </c>
      <c r="C5275" s="36" t="inlineStr">
        <is>
          <t>Stokke barnesenter</t>
        </is>
      </c>
      <c r="D5275" s="26" t="n"/>
      <c r="E5275" s="26" t="n"/>
      <c r="F5275" s="26" t="n"/>
      <c r="G5275" s="26" t="n"/>
      <c r="H5275" s="26" t="n"/>
      <c r="I5275" s="26" t="n">
        <v>533</v>
      </c>
      <c r="J5275" s="19" t="n">
        <v>604.5419249999999</v>
      </c>
      <c r="K5275" s="37" t="n">
        <v>0.065</v>
      </c>
    </row>
    <row r="5276">
      <c r="A5276" s="34" t="inlineStr">
        <is>
          <t>Turnustillegg</t>
        </is>
      </c>
      <c r="B5276" s="34" t="inlineStr">
        <is>
          <t>Region Sør</t>
        </is>
      </c>
      <c r="C5276" s="34" t="inlineStr">
        <is>
          <t>Sundstedtråkka</t>
        </is>
      </c>
      <c r="D5276" s="18" t="n">
        <v>1400773</v>
      </c>
      <c r="E5276" s="18" t="n">
        <v>1146057</v>
      </c>
      <c r="F5276" s="18" t="n">
        <v>1365629</v>
      </c>
      <c r="G5276" s="18" t="n">
        <v>2720095</v>
      </c>
      <c r="H5276" s="18" t="n">
        <v>3235218</v>
      </c>
      <c r="I5276" s="18" t="n">
        <v>3295678</v>
      </c>
      <c r="J5276" s="19" t="n">
        <v>4640615.403455704</v>
      </c>
      <c r="K5276" s="35" t="n">
        <v>0.1866302140173508</v>
      </c>
    </row>
    <row r="5277">
      <c r="A5277" s="36" t="inlineStr">
        <is>
          <t>Turnustillegg</t>
        </is>
      </c>
      <c r="B5277" s="36" t="inlineStr">
        <is>
          <t>Region Sør</t>
        </is>
      </c>
      <c r="C5277" s="36" t="inlineStr">
        <is>
          <t>Svenner</t>
        </is>
      </c>
      <c r="D5277" s="26" t="n"/>
      <c r="E5277" s="26" t="n">
        <v>339687</v>
      </c>
      <c r="F5277" s="26" t="n">
        <v>1905998</v>
      </c>
      <c r="G5277" s="26" t="n">
        <v>2252790</v>
      </c>
      <c r="H5277" s="26" t="n">
        <v>2289684</v>
      </c>
      <c r="I5277" s="26" t="n">
        <v>2234158</v>
      </c>
      <c r="J5277" s="19" t="n">
        <v>3490871.875</v>
      </c>
      <c r="K5277" s="37" t="n">
        <v>0.25</v>
      </c>
    </row>
    <row r="5278">
      <c r="A5278" s="34" t="inlineStr">
        <is>
          <t>Turnustillegg</t>
        </is>
      </c>
      <c r="B5278" s="34" t="inlineStr">
        <is>
          <t>Region Sør</t>
        </is>
      </c>
      <c r="C5278" s="34" t="inlineStr">
        <is>
          <t>Thorøya</t>
        </is>
      </c>
      <c r="D5278" s="18" t="n">
        <v>2314628</v>
      </c>
      <c r="E5278" s="18" t="n">
        <v>2037354</v>
      </c>
      <c r="F5278" s="18" t="n">
        <v>2471552</v>
      </c>
      <c r="G5278" s="18" t="n">
        <v>3058790</v>
      </c>
      <c r="H5278" s="18" t="n">
        <v>3248403</v>
      </c>
      <c r="I5278" s="18" t="n">
        <v>3122174</v>
      </c>
      <c r="J5278" s="19" t="n">
        <v>3519228.474726781</v>
      </c>
      <c r="K5278" s="35" t="n">
        <v>0.06168377424275295</v>
      </c>
    </row>
    <row r="5279">
      <c r="A5279" s="36" t="inlineStr">
        <is>
          <t>Turnustillegg</t>
        </is>
      </c>
      <c r="B5279" s="36" t="inlineStr">
        <is>
          <t>Region Sør</t>
        </is>
      </c>
      <c r="C5279" s="36" t="inlineStr">
        <is>
          <t>Ulabrand</t>
        </is>
      </c>
      <c r="D5279" s="26" t="n"/>
      <c r="E5279" s="26" t="n">
        <v>287044</v>
      </c>
      <c r="F5279" s="26" t="n">
        <v>1261473</v>
      </c>
      <c r="G5279" s="26" t="n">
        <v>1656717</v>
      </c>
      <c r="H5279" s="26" t="n">
        <v>1722483</v>
      </c>
      <c r="I5279" s="26" t="n">
        <v>1711010</v>
      </c>
      <c r="J5279" s="19" t="n">
        <v>2673453.125</v>
      </c>
      <c r="K5279" s="37" t="n">
        <v>0.25</v>
      </c>
    </row>
    <row r="5280">
      <c r="A5280" s="34" t="inlineStr">
        <is>
          <t>Turnustillegg</t>
        </is>
      </c>
      <c r="B5280" s="34" t="inlineStr">
        <is>
          <t>Region Vest</t>
        </is>
      </c>
      <c r="C5280" s="34" t="inlineStr">
        <is>
          <t>Bergen Akutts. avd. Nattland</t>
        </is>
      </c>
      <c r="D5280" s="18" t="n">
        <v>1542817</v>
      </c>
      <c r="E5280" s="18" t="n">
        <v>1460794</v>
      </c>
      <c r="F5280" s="18" t="n">
        <v>1639358</v>
      </c>
      <c r="G5280" s="18" t="n">
        <v>1829007</v>
      </c>
      <c r="H5280" s="18" t="n">
        <v>2188183</v>
      </c>
      <c r="I5280" s="18" t="n">
        <v>2508544</v>
      </c>
      <c r="J5280" s="19" t="n">
        <v>3046945.217628862</v>
      </c>
      <c r="K5280" s="35" t="n">
        <v>0.1021011649988859</v>
      </c>
    </row>
    <row r="5281">
      <c r="A5281" s="36" t="inlineStr">
        <is>
          <t>Turnustillegg</t>
        </is>
      </c>
      <c r="B5281" s="36" t="inlineStr">
        <is>
          <t>Region Vest</t>
        </is>
      </c>
      <c r="C5281" s="36" t="inlineStr">
        <is>
          <t>Bergen Akutts. avd. Toppe</t>
        </is>
      </c>
      <c r="D5281" s="26" t="n">
        <v>2688404</v>
      </c>
      <c r="E5281" s="26" t="n">
        <v>2747846</v>
      </c>
      <c r="F5281" s="26" t="n">
        <v>2949589</v>
      </c>
      <c r="G5281" s="26" t="n">
        <v>3099928</v>
      </c>
      <c r="H5281" s="26" t="n">
        <v>3532725</v>
      </c>
      <c r="I5281" s="26" t="n">
        <v>4277980</v>
      </c>
      <c r="J5281" s="19" t="n">
        <v>5151532.412293782</v>
      </c>
      <c r="K5281" s="37" t="n">
        <v>0.0973592868569142</v>
      </c>
    </row>
    <row r="5282">
      <c r="A5282" s="34" t="inlineStr">
        <is>
          <t>Turnustillegg</t>
        </is>
      </c>
      <c r="B5282" s="34" t="inlineStr">
        <is>
          <t>Region Vest</t>
        </is>
      </c>
      <c r="C5282" s="34" t="inlineStr">
        <is>
          <t>Bjørgvin Ungdomssenter, Bønesskogen</t>
        </is>
      </c>
      <c r="D5282" s="18" t="n">
        <v>1285317</v>
      </c>
      <c r="E5282" s="18" t="n">
        <v>1201358</v>
      </c>
      <c r="F5282" s="18" t="n">
        <v>1608885</v>
      </c>
      <c r="G5282" s="18" t="n">
        <v>1654167</v>
      </c>
      <c r="H5282" s="18" t="n">
        <v>1686883</v>
      </c>
      <c r="I5282" s="18" t="n">
        <v>2118831</v>
      </c>
      <c r="J5282" s="19" t="n">
        <v>2587800.217360126</v>
      </c>
      <c r="K5282" s="35" t="n">
        <v>0.105139783854342</v>
      </c>
    </row>
    <row r="5283">
      <c r="A5283" s="36" t="inlineStr">
        <is>
          <t>Turnustillegg</t>
        </is>
      </c>
      <c r="B5283" s="36" t="inlineStr">
        <is>
          <t>Region Vest</t>
        </is>
      </c>
      <c r="C5283" s="36" t="inlineStr">
        <is>
          <t>Bjørgvin Ungdomssenter, Bønesstølen</t>
        </is>
      </c>
      <c r="D5283" s="26" t="n">
        <v>1173899</v>
      </c>
      <c r="E5283" s="26" t="n">
        <v>1101926</v>
      </c>
      <c r="F5283" s="26" t="n">
        <v>1322133</v>
      </c>
      <c r="G5283" s="26" t="n">
        <v>1495074</v>
      </c>
      <c r="H5283" s="26" t="n">
        <v>1873064</v>
      </c>
      <c r="I5283" s="26" t="n">
        <v>1928437</v>
      </c>
      <c r="J5283" s="19" t="n">
        <v>2351989.31607764</v>
      </c>
      <c r="K5283" s="37" t="n">
        <v>0.1043708746714744</v>
      </c>
    </row>
    <row r="5284">
      <c r="A5284" s="34" t="inlineStr">
        <is>
          <t>Turnustillegg</t>
        </is>
      </c>
      <c r="B5284" s="34" t="inlineStr">
        <is>
          <t>Region Vest</t>
        </is>
      </c>
      <c r="C5284" s="34" t="inlineStr">
        <is>
          <t>Bjørgvin Ungdomssenter, administrasjon</t>
        </is>
      </c>
      <c r="D5284" s="18" t="n"/>
      <c r="E5284" s="18" t="n"/>
      <c r="F5284" s="18" t="n"/>
      <c r="G5284" s="18" t="n">
        <v>30314</v>
      </c>
      <c r="H5284" s="18" t="n">
        <v>32111</v>
      </c>
      <c r="I5284" s="18" t="n"/>
      <c r="J5284" s="19" t="n">
        <v>0</v>
      </c>
      <c r="K5284" s="35" t="n">
        <v>0.065</v>
      </c>
    </row>
    <row r="5285">
      <c r="A5285" s="36" t="inlineStr">
        <is>
          <t>Turnustillegg</t>
        </is>
      </c>
      <c r="B5285" s="36" t="inlineStr">
        <is>
          <t>Region Vest</t>
        </is>
      </c>
      <c r="C5285" s="36" t="inlineStr">
        <is>
          <t>Eikelund US avd. beh. høy</t>
        </is>
      </c>
      <c r="D5285" s="26" t="n"/>
      <c r="E5285" s="26" t="n"/>
      <c r="F5285" s="26" t="n"/>
      <c r="G5285" s="26" t="n"/>
      <c r="H5285" s="26" t="n"/>
      <c r="I5285" s="26" t="n">
        <v>834664</v>
      </c>
      <c r="J5285" s="19" t="n">
        <v>946696.7753999998</v>
      </c>
      <c r="K5285" s="37" t="n">
        <v>0.065</v>
      </c>
    </row>
    <row r="5286">
      <c r="A5286" s="34" t="inlineStr">
        <is>
          <t>Turnustillegg</t>
        </is>
      </c>
      <c r="B5286" s="34" t="inlineStr">
        <is>
          <t>Region Vest</t>
        </is>
      </c>
      <c r="C5286" s="34" t="inlineStr">
        <is>
          <t>Kasa Ungdomssenter avd. Flatøy</t>
        </is>
      </c>
      <c r="D5286" s="18" t="n">
        <v>863529</v>
      </c>
      <c r="E5286" s="18" t="n">
        <v>1027651</v>
      </c>
      <c r="F5286" s="18" t="n">
        <v>917706</v>
      </c>
      <c r="G5286" s="18" t="n">
        <v>1128856</v>
      </c>
      <c r="H5286" s="18" t="n">
        <v>1666411</v>
      </c>
      <c r="I5286" s="18" t="n">
        <v>1677788</v>
      </c>
      <c r="J5286" s="19" t="n">
        <v>2188371.985880058</v>
      </c>
      <c r="K5286" s="35" t="n">
        <v>0.1420681795999217</v>
      </c>
    </row>
    <row r="5287">
      <c r="A5287" s="36" t="inlineStr">
        <is>
          <t>Turnustillegg</t>
        </is>
      </c>
      <c r="B5287" s="36" t="inlineStr">
        <is>
          <t>Region Vest</t>
        </is>
      </c>
      <c r="C5287" s="36" t="inlineStr">
        <is>
          <t>Kasa Ungdomssenter avd. Hop</t>
        </is>
      </c>
      <c r="D5287" s="26" t="n">
        <v>1084379</v>
      </c>
      <c r="E5287" s="26" t="n">
        <v>1044778</v>
      </c>
      <c r="F5287" s="26" t="n">
        <v>1044177</v>
      </c>
      <c r="G5287" s="26" t="n">
        <v>1178991</v>
      </c>
      <c r="H5287" s="26" t="n">
        <v>1606069</v>
      </c>
      <c r="I5287" s="26" t="n">
        <v>1816252</v>
      </c>
      <c r="J5287" s="19" t="n">
        <v>2232410.766456875</v>
      </c>
      <c r="K5287" s="37" t="n">
        <v>0.1086615897946215</v>
      </c>
    </row>
    <row r="5288">
      <c r="A5288" s="34" t="inlineStr">
        <is>
          <t>Turnustillegg</t>
        </is>
      </c>
      <c r="B5288" s="34" t="inlineStr">
        <is>
          <t>Region Vest</t>
        </is>
      </c>
      <c r="C5288" s="34" t="inlineStr">
        <is>
          <t>Kasa Ungdomssenter avd. Morvik</t>
        </is>
      </c>
      <c r="D5288" s="18" t="n">
        <v>1064759</v>
      </c>
      <c r="E5288" s="18" t="n">
        <v>890355</v>
      </c>
      <c r="F5288" s="18" t="n">
        <v>996291</v>
      </c>
      <c r="G5288" s="18" t="n">
        <v>1110980</v>
      </c>
      <c r="H5288" s="18" t="n">
        <v>1375741</v>
      </c>
      <c r="I5288" s="18" t="n">
        <v>1808710</v>
      </c>
      <c r="J5288" s="19" t="n">
        <v>2235712.668573705</v>
      </c>
      <c r="K5288" s="35" t="n">
        <v>0.1117919470035749</v>
      </c>
    </row>
    <row r="5289">
      <c r="A5289" s="36" t="inlineStr">
        <is>
          <t>Turnustillegg</t>
        </is>
      </c>
      <c r="B5289" s="36" t="inlineStr">
        <is>
          <t>Region Vest</t>
        </is>
      </c>
      <c r="C5289" s="36" t="inlineStr">
        <is>
          <t>Kasa Ungdomssenter avd. Sandsli</t>
        </is>
      </c>
      <c r="D5289" s="26" t="n">
        <v>562105</v>
      </c>
      <c r="E5289" s="26" t="n">
        <v>545744</v>
      </c>
      <c r="F5289" s="26" t="n">
        <v>507895</v>
      </c>
      <c r="G5289" s="26" t="n">
        <v>780731</v>
      </c>
      <c r="H5289" s="26" t="n">
        <v>1093419</v>
      </c>
      <c r="I5289" s="26" t="n">
        <v>1515163</v>
      </c>
      <c r="J5289" s="19" t="n">
        <v>2252766.190330982</v>
      </c>
      <c r="K5289" s="37" t="n">
        <v>0.2193499971563448</v>
      </c>
    </row>
    <row r="5290">
      <c r="A5290" s="34" t="inlineStr">
        <is>
          <t>Turnustillegg</t>
        </is>
      </c>
      <c r="B5290" s="34" t="inlineStr">
        <is>
          <t>Region Vest</t>
        </is>
      </c>
      <c r="C5290" s="34" t="inlineStr">
        <is>
          <t>Kasa Ungdomssenter avd. Tertnes</t>
        </is>
      </c>
      <c r="D5290" s="18" t="n">
        <v>988076</v>
      </c>
      <c r="E5290" s="18" t="n">
        <v>1064409</v>
      </c>
      <c r="F5290" s="18" t="n">
        <v>1127596</v>
      </c>
      <c r="G5290" s="18" t="n">
        <v>1325628</v>
      </c>
      <c r="H5290" s="18" t="n">
        <v>1554675</v>
      </c>
      <c r="I5290" s="18" t="n">
        <v>1843306</v>
      </c>
      <c r="J5290" s="19" t="n">
        <v>2365485.396210351</v>
      </c>
      <c r="K5290" s="35" t="n">
        <v>0.1328213285310047</v>
      </c>
    </row>
    <row r="5291">
      <c r="A5291" s="36" t="inlineStr">
        <is>
          <t>Turnustillegg</t>
        </is>
      </c>
      <c r="B5291" s="36" t="inlineStr">
        <is>
          <t>Region Vest</t>
        </is>
      </c>
      <c r="C5291" s="36" t="inlineStr">
        <is>
          <t>Kasa Ungdomssenter avd. adm.</t>
        </is>
      </c>
      <c r="D5291" s="26" t="n">
        <v>-185</v>
      </c>
      <c r="E5291" s="26" t="n"/>
      <c r="F5291" s="26" t="n"/>
      <c r="G5291" s="26" t="n"/>
      <c r="H5291" s="26" t="n"/>
      <c r="I5291" s="26" t="n"/>
      <c r="J5291" s="19" t="n">
        <v>0</v>
      </c>
      <c r="K5291" s="37" t="n">
        <v>0.065</v>
      </c>
    </row>
    <row r="5292">
      <c r="A5292" s="34" t="inlineStr">
        <is>
          <t>Turnustillegg</t>
        </is>
      </c>
      <c r="B5292" s="34" t="inlineStr">
        <is>
          <t>Region Vest</t>
        </is>
      </c>
      <c r="C5292" s="34" t="inlineStr">
        <is>
          <t>Krabbedalen</t>
        </is>
      </c>
      <c r="D5292" s="18" t="n">
        <v>9865</v>
      </c>
      <c r="E5292" s="18" t="n"/>
      <c r="F5292" s="18" t="n"/>
      <c r="G5292" s="18" t="n"/>
      <c r="H5292" s="18" t="n"/>
      <c r="I5292" s="18" t="n"/>
      <c r="J5292" s="19" t="n">
        <v>0</v>
      </c>
      <c r="K5292" s="35" t="n">
        <v>0.065</v>
      </c>
    </row>
    <row r="5293">
      <c r="A5293" s="36" t="inlineStr">
        <is>
          <t>Turnustillegg</t>
        </is>
      </c>
      <c r="B5293" s="36" t="inlineStr">
        <is>
          <t>Region Vest</t>
        </is>
      </c>
      <c r="C5293" s="36" t="inlineStr">
        <is>
          <t>MultifunC - Bergen ungdomssenter</t>
        </is>
      </c>
      <c r="D5293" s="26" t="n">
        <v>52049</v>
      </c>
      <c r="E5293" s="26" t="n"/>
      <c r="F5293" s="26" t="n"/>
      <c r="G5293" s="26" t="n"/>
      <c r="H5293" s="26" t="n"/>
      <c r="I5293" s="26" t="n"/>
      <c r="J5293" s="19" t="n">
        <v>0</v>
      </c>
      <c r="K5293" s="37" t="n">
        <v>0.065</v>
      </c>
    </row>
    <row r="5294">
      <c r="A5294" s="34" t="inlineStr">
        <is>
          <t>Turnustillegg</t>
        </is>
      </c>
      <c r="B5294" s="34" t="inlineStr">
        <is>
          <t>Region Vest</t>
        </is>
      </c>
      <c r="C5294" s="34" t="inlineStr">
        <is>
          <t>SFU avd Bregnetunet</t>
        </is>
      </c>
      <c r="D5294" s="18" t="n">
        <v>981910</v>
      </c>
      <c r="E5294" s="18" t="n">
        <v>931869</v>
      </c>
      <c r="F5294" s="18" t="n">
        <v>1092004</v>
      </c>
      <c r="G5294" s="18" t="n">
        <v>2048310</v>
      </c>
      <c r="H5294" s="18" t="n">
        <v>1971158</v>
      </c>
      <c r="I5294" s="18" t="n">
        <v>34870</v>
      </c>
      <c r="J5294" s="19" t="n">
        <v>19614.375</v>
      </c>
      <c r="K5294" s="35" t="n">
        <v>-0.25</v>
      </c>
    </row>
    <row r="5295">
      <c r="A5295" s="36" t="inlineStr">
        <is>
          <t>Turnustillegg</t>
        </is>
      </c>
      <c r="B5295" s="36" t="inlineStr">
        <is>
          <t>Region Vest</t>
        </is>
      </c>
      <c r="C5295" s="36" t="inlineStr">
        <is>
          <t>SFU avd.Meltunet</t>
        </is>
      </c>
      <c r="D5295" s="26" t="n">
        <v>995221</v>
      </c>
      <c r="E5295" s="26" t="n">
        <v>1140981</v>
      </c>
      <c r="F5295" s="26" t="n">
        <v>1178048</v>
      </c>
      <c r="G5295" s="26" t="n">
        <v>1740198</v>
      </c>
      <c r="H5295" s="26" t="n">
        <v>2289676</v>
      </c>
      <c r="I5295" s="26" t="n">
        <v>2115060</v>
      </c>
      <c r="J5295" s="19" t="n">
        <v>2859459.541925556</v>
      </c>
      <c r="K5295" s="37" t="n">
        <v>0.1627346962674143</v>
      </c>
    </row>
    <row r="5296">
      <c r="A5296" s="34" t="inlineStr">
        <is>
          <t>Turnustillegg</t>
        </is>
      </c>
      <c r="B5296" s="34" t="inlineStr">
        <is>
          <t>Region Vest</t>
        </is>
      </c>
      <c r="C5296" s="34" t="inlineStr">
        <is>
          <t>Sandnes Ungdomssenter, Boligen</t>
        </is>
      </c>
      <c r="D5296" s="18" t="n">
        <v>8545</v>
      </c>
      <c r="E5296" s="18" t="n"/>
      <c r="F5296" s="18" t="n"/>
      <c r="G5296" s="18" t="n"/>
      <c r="H5296" s="18" t="n"/>
      <c r="I5296" s="18" t="n"/>
      <c r="J5296" s="19" t="n">
        <v>0</v>
      </c>
      <c r="K5296" s="35" t="n">
        <v>0.065</v>
      </c>
    </row>
    <row r="5297">
      <c r="A5297" s="36" t="inlineStr">
        <is>
          <t>Turnustillegg</t>
        </is>
      </c>
      <c r="B5297" s="36" t="inlineStr">
        <is>
          <t>Region Vest</t>
        </is>
      </c>
      <c r="C5297" s="36" t="inlineStr">
        <is>
          <t>Sandnes ungdomssenter - Minde 2</t>
        </is>
      </c>
      <c r="D5297" s="26" t="n">
        <v>1507382</v>
      </c>
      <c r="E5297" s="26" t="n">
        <v>1384304</v>
      </c>
      <c r="F5297" s="26" t="n">
        <v>1406478</v>
      </c>
      <c r="G5297" s="26" t="n">
        <v>2432582</v>
      </c>
      <c r="H5297" s="26" t="n">
        <v>2543640</v>
      </c>
      <c r="I5297" s="26" t="n">
        <v>2483145</v>
      </c>
      <c r="J5297" s="19" t="n">
        <v>3031890.990655129</v>
      </c>
      <c r="K5297" s="37" t="n">
        <v>0.1049833932582189</v>
      </c>
    </row>
    <row r="5298">
      <c r="A5298" s="34" t="inlineStr">
        <is>
          <t>Turnustillegg</t>
        </is>
      </c>
      <c r="B5298" s="34" t="inlineStr">
        <is>
          <t>Region Vest</t>
        </is>
      </c>
      <c r="C5298" s="34" t="inlineStr">
        <is>
          <t>Sandnes ungdomssenter - Minde1</t>
        </is>
      </c>
      <c r="D5298" s="18" t="n">
        <v>1587587</v>
      </c>
      <c r="E5298" s="18" t="n">
        <v>1459566</v>
      </c>
      <c r="F5298" s="18" t="n">
        <v>1518591</v>
      </c>
      <c r="G5298" s="18" t="n">
        <v>2097638</v>
      </c>
      <c r="H5298" s="18" t="n">
        <v>1896034</v>
      </c>
      <c r="I5298" s="18" t="n">
        <v>2076141</v>
      </c>
      <c r="J5298" s="19" t="n">
        <v>2311343.907553942</v>
      </c>
      <c r="K5298" s="35" t="n">
        <v>0.0551248759238443</v>
      </c>
    </row>
    <row r="5299">
      <c r="A5299" s="36" t="inlineStr">
        <is>
          <t>Turnustillegg</t>
        </is>
      </c>
      <c r="B5299" s="36" t="inlineStr">
        <is>
          <t>Region Vest</t>
        </is>
      </c>
      <c r="C5299" s="36" t="inlineStr">
        <is>
          <t>Skjoldvegen Skjold</t>
        </is>
      </c>
      <c r="D5299" s="26" t="n">
        <v>1256547</v>
      </c>
      <c r="E5299" s="26" t="n">
        <v>1245200</v>
      </c>
      <c r="F5299" s="26" t="n">
        <v>1805003</v>
      </c>
      <c r="G5299" s="26" t="n">
        <v>1797794</v>
      </c>
      <c r="H5299" s="26" t="n">
        <v>2129992</v>
      </c>
      <c r="I5299" s="26" t="n">
        <v>2287139</v>
      </c>
      <c r="J5299" s="19" t="n">
        <v>2906284.249304249</v>
      </c>
      <c r="K5299" s="37" t="n">
        <v>0.1272565419280662</v>
      </c>
    </row>
    <row r="5300">
      <c r="A5300" s="34" t="inlineStr">
        <is>
          <t>Turnustillegg</t>
        </is>
      </c>
      <c r="B5300" s="34" t="inlineStr">
        <is>
          <t>Region Vest</t>
        </is>
      </c>
      <c r="C5300" s="34" t="inlineStr">
        <is>
          <t>Skjoldvegen Søfteland</t>
        </is>
      </c>
      <c r="D5300" s="18" t="n">
        <v>1473575</v>
      </c>
      <c r="E5300" s="18" t="n">
        <v>1257890</v>
      </c>
      <c r="F5300" s="18" t="n">
        <v>1015094</v>
      </c>
      <c r="G5300" s="18" t="n">
        <v>1793103</v>
      </c>
      <c r="H5300" s="18" t="n">
        <v>1888532</v>
      </c>
      <c r="I5300" s="18" t="n">
        <v>1995570</v>
      </c>
      <c r="J5300" s="19" t="n">
        <v>2252915.251503545</v>
      </c>
      <c r="K5300" s="35" t="n">
        <v>0.0625244789255881</v>
      </c>
    </row>
    <row r="5301">
      <c r="A5301" s="36" t="inlineStr">
        <is>
          <t>Turnustillegg</t>
        </is>
      </c>
      <c r="B5301" s="36" t="inlineStr">
        <is>
          <t>Region Vest</t>
        </is>
      </c>
      <c r="C5301" s="36" t="inlineStr">
        <is>
          <t>Skjoldvegen barnevernsenter Enetiltak</t>
        </is>
      </c>
      <c r="D5301" s="26" t="n">
        <v>138555</v>
      </c>
      <c r="E5301" s="26" t="n"/>
      <c r="F5301" s="26" t="n"/>
      <c r="G5301" s="26" t="n">
        <v>59101</v>
      </c>
      <c r="H5301" s="26" t="n"/>
      <c r="I5301" s="26" t="n"/>
      <c r="J5301" s="19" t="n">
        <v>0</v>
      </c>
      <c r="K5301" s="37" t="n">
        <v>0.065</v>
      </c>
    </row>
    <row r="5302">
      <c r="A5302" s="34" t="inlineStr">
        <is>
          <t>Turnustillegg</t>
        </is>
      </c>
      <c r="B5302" s="34" t="inlineStr">
        <is>
          <t>Region Vest</t>
        </is>
      </c>
      <c r="C5302" s="34" t="inlineStr">
        <is>
          <t>Skjoldvegen barnevernsenter avd. Fyllingsdalen</t>
        </is>
      </c>
      <c r="D5302" s="18" t="n">
        <v>1336038</v>
      </c>
      <c r="E5302" s="18" t="n">
        <v>972286</v>
      </c>
      <c r="F5302" s="18" t="n">
        <v>1133741</v>
      </c>
      <c r="G5302" s="18" t="n">
        <v>1348858</v>
      </c>
      <c r="H5302" s="18" t="n">
        <v>1780084</v>
      </c>
      <c r="I5302" s="18" t="n">
        <v>1954722</v>
      </c>
      <c r="J5302" s="19" t="n">
        <v>2276100.724284842</v>
      </c>
      <c r="K5302" s="35" t="n">
        <v>0.07907899316536549</v>
      </c>
    </row>
    <row r="5303">
      <c r="A5303" s="36" t="inlineStr">
        <is>
          <t>Turnustillegg</t>
        </is>
      </c>
      <c r="B5303" s="36" t="inlineStr">
        <is>
          <t>Region Vest</t>
        </is>
      </c>
      <c r="C5303" s="36" t="inlineStr">
        <is>
          <t>Sogn og fjordane ungdomssenter avdeling Bregnetunet behandling høy</t>
        </is>
      </c>
      <c r="D5303" s="26" t="n"/>
      <c r="E5303" s="26" t="n"/>
      <c r="F5303" s="26" t="n"/>
      <c r="G5303" s="26" t="n"/>
      <c r="H5303" s="26" t="n">
        <v>148662</v>
      </c>
      <c r="I5303" s="26" t="n">
        <v>2621162</v>
      </c>
      <c r="J5303" s="19" t="n">
        <v>2972987.46945</v>
      </c>
      <c r="K5303" s="37" t="n">
        <v>0.065</v>
      </c>
    </row>
    <row r="5304">
      <c r="A5304" s="34" t="inlineStr">
        <is>
          <t>Turnustillegg</t>
        </is>
      </c>
      <c r="B5304" s="34" t="inlineStr">
        <is>
          <t>Region Vest</t>
        </is>
      </c>
      <c r="C5304" s="34" t="inlineStr">
        <is>
          <t>Sogndal ungdomsenter-adm.</t>
        </is>
      </c>
      <c r="D5304" s="18" t="n">
        <v>512480</v>
      </c>
      <c r="E5304" s="18" t="n">
        <v>602688</v>
      </c>
      <c r="F5304" s="18" t="n">
        <v>666572</v>
      </c>
      <c r="G5304" s="18" t="n">
        <v>769666</v>
      </c>
      <c r="H5304" s="18" t="n">
        <v>760779</v>
      </c>
      <c r="I5304" s="18" t="n">
        <v>927904</v>
      </c>
      <c r="J5304" s="19" t="n">
        <v>1176612.606216621</v>
      </c>
      <c r="K5304" s="35" t="n">
        <v>0.1260695764983917</v>
      </c>
    </row>
    <row r="5305">
      <c r="A5305" s="36" t="inlineStr">
        <is>
          <t>Turnustillegg</t>
        </is>
      </c>
      <c r="B5305" s="36" t="inlineStr">
        <is>
          <t>Region Vest</t>
        </is>
      </c>
      <c r="C5305" s="36" t="inlineStr">
        <is>
          <t>Stavanger akuttsenter - Administrasjon</t>
        </is>
      </c>
      <c r="D5305" s="26" t="n">
        <v>81947</v>
      </c>
      <c r="E5305" s="26" t="n">
        <v>33903</v>
      </c>
      <c r="F5305" s="26" t="n">
        <v>12599</v>
      </c>
      <c r="G5305" s="26" t="n">
        <v>362</v>
      </c>
      <c r="H5305" s="26" t="n">
        <v>361</v>
      </c>
      <c r="I5305" s="26" t="n"/>
      <c r="J5305" s="19" t="n">
        <v>0</v>
      </c>
      <c r="K5305" s="37" t="n">
        <v>0.065</v>
      </c>
    </row>
    <row r="5306">
      <c r="A5306" s="34" t="inlineStr">
        <is>
          <t>Turnustillegg</t>
        </is>
      </c>
      <c r="B5306" s="34" t="inlineStr">
        <is>
          <t>Region Vest</t>
        </is>
      </c>
      <c r="C5306" s="34" t="inlineStr">
        <is>
          <t>Stavanger akuttsenter - Heimly</t>
        </is>
      </c>
      <c r="D5306" s="18" t="n"/>
      <c r="E5306" s="18" t="n">
        <v>879</v>
      </c>
      <c r="F5306" s="18" t="n"/>
      <c r="G5306" s="18" t="n"/>
      <c r="H5306" s="18" t="n"/>
      <c r="I5306" s="18" t="n"/>
      <c r="J5306" s="19" t="n">
        <v>0</v>
      </c>
      <c r="K5306" s="35" t="n">
        <v>0.065</v>
      </c>
    </row>
    <row r="5307">
      <c r="A5307" s="36" t="inlineStr">
        <is>
          <t>Turnustillegg</t>
        </is>
      </c>
      <c r="B5307" s="36" t="inlineStr">
        <is>
          <t>Region Vest</t>
        </is>
      </c>
      <c r="C5307" s="36" t="inlineStr">
        <is>
          <t>Stavanger akuttsenter - Madla</t>
        </is>
      </c>
      <c r="D5307" s="26" t="n">
        <v>2022255</v>
      </c>
      <c r="E5307" s="26" t="n">
        <v>2699821</v>
      </c>
      <c r="F5307" s="26" t="n">
        <v>1967070</v>
      </c>
      <c r="G5307" s="26" t="n">
        <v>1807931</v>
      </c>
      <c r="H5307" s="26" t="n">
        <v>2639015</v>
      </c>
      <c r="I5307" s="26" t="n">
        <v>3774637</v>
      </c>
      <c r="J5307" s="19" t="n">
        <v>4844967.883989789</v>
      </c>
      <c r="K5307" s="37" t="n">
        <v>0.1329424639823411</v>
      </c>
    </row>
    <row r="5308">
      <c r="A5308" s="34" t="inlineStr">
        <is>
          <t>Turnustillegg</t>
        </is>
      </c>
      <c r="B5308" s="34" t="inlineStr">
        <is>
          <t>Region Vest</t>
        </is>
      </c>
      <c r="C5308" s="34" t="inlineStr">
        <is>
          <t>Stavanger akuttsenter - Røyneberg</t>
        </is>
      </c>
      <c r="D5308" s="18" t="n">
        <v>1335880</v>
      </c>
      <c r="E5308" s="18" t="n">
        <v>1226314</v>
      </c>
      <c r="F5308" s="18" t="n">
        <v>1246613</v>
      </c>
      <c r="G5308" s="18" t="n">
        <v>1482476</v>
      </c>
      <c r="H5308" s="18" t="n">
        <v>1876527</v>
      </c>
      <c r="I5308" s="18" t="n">
        <v>2013966</v>
      </c>
      <c r="J5308" s="19" t="n">
        <v>2373373.063771681</v>
      </c>
      <c r="K5308" s="35" t="n">
        <v>0.08556776117948739</v>
      </c>
    </row>
    <row r="5309">
      <c r="A5309" s="36" t="inlineStr">
        <is>
          <t>Turnustillegg</t>
        </is>
      </c>
      <c r="B5309" s="36" t="inlineStr">
        <is>
          <t>Region Vest</t>
        </is>
      </c>
      <c r="C5309" s="36" t="inlineStr">
        <is>
          <t>Stavanger ungdomssenter - avd. Lindøy</t>
        </is>
      </c>
      <c r="D5309" s="26" t="n">
        <v>1452490</v>
      </c>
      <c r="E5309" s="26" t="n">
        <v>1352371</v>
      </c>
      <c r="F5309" s="26" t="n">
        <v>1516816</v>
      </c>
      <c r="G5309" s="26" t="n">
        <v>1617373</v>
      </c>
      <c r="H5309" s="26" t="n">
        <v>1856080</v>
      </c>
      <c r="I5309" s="26" t="n">
        <v>2085766</v>
      </c>
      <c r="J5309" s="19" t="n">
        <v>2410607.796455739</v>
      </c>
      <c r="K5309" s="37" t="n">
        <v>0.0750545126832125</v>
      </c>
    </row>
    <row r="5310">
      <c r="A5310" s="34" t="inlineStr">
        <is>
          <t>Turnustillegg</t>
        </is>
      </c>
      <c r="B5310" s="34" t="inlineStr">
        <is>
          <t>Region Vest</t>
        </is>
      </c>
      <c r="C5310" s="34" t="inlineStr">
        <is>
          <t>Stavanger ungdomssenter - avd. Våland</t>
        </is>
      </c>
      <c r="D5310" s="18" t="n">
        <v>1284689</v>
      </c>
      <c r="E5310" s="18" t="n">
        <v>1230433</v>
      </c>
      <c r="F5310" s="18" t="n">
        <v>1385598</v>
      </c>
      <c r="G5310" s="18" t="n">
        <v>1389681</v>
      </c>
      <c r="H5310" s="18" t="n">
        <v>1523120</v>
      </c>
      <c r="I5310" s="18" t="n">
        <v>1638346</v>
      </c>
      <c r="J5310" s="19" t="n">
        <v>1805712.785027162</v>
      </c>
      <c r="K5310" s="35" t="n">
        <v>0.04983615183901358</v>
      </c>
    </row>
    <row r="5311">
      <c r="A5311" s="36" t="inlineStr">
        <is>
          <t>Turnustillegg</t>
        </is>
      </c>
      <c r="B5311" s="36" t="inlineStr">
        <is>
          <t>Region Vest</t>
        </is>
      </c>
      <c r="C5311" s="36" t="inlineStr">
        <is>
          <t>TFCO Bergen, avdeling fosterhjem</t>
        </is>
      </c>
      <c r="D5311" s="26" t="n"/>
      <c r="E5311" s="26" t="n"/>
      <c r="F5311" s="26" t="n">
        <v>26919</v>
      </c>
      <c r="G5311" s="26" t="n">
        <v>126213</v>
      </c>
      <c r="H5311" s="26" t="n">
        <v>1429</v>
      </c>
      <c r="I5311" s="26" t="n"/>
      <c r="J5311" s="19" t="n">
        <v>0</v>
      </c>
      <c r="K5311" s="37" t="n">
        <v>0.065</v>
      </c>
    </row>
    <row r="5312">
      <c r="A5312" s="34" t="inlineStr">
        <is>
          <t>Turnustillegg</t>
        </is>
      </c>
      <c r="B5312" s="34" t="inlineStr">
        <is>
          <t>Region Vest</t>
        </is>
      </c>
      <c r="C5312" s="34" t="inlineStr">
        <is>
          <t>Vestlundveien Ungdomssenter</t>
        </is>
      </c>
      <c r="D5312" s="18" t="n">
        <v>7882</v>
      </c>
      <c r="E5312" s="18" t="n"/>
      <c r="F5312" s="18" t="n"/>
      <c r="G5312" s="18" t="n"/>
      <c r="H5312" s="18" t="n"/>
      <c r="I5312" s="18" t="n"/>
      <c r="J5312" s="19" t="n">
        <v>0</v>
      </c>
      <c r="K5312" s="35" t="n">
        <v>0.065</v>
      </c>
    </row>
    <row r="5313">
      <c r="A5313" s="36" t="inlineStr">
        <is>
          <t>Turnustillegg</t>
        </is>
      </c>
      <c r="B5313" s="36" t="inlineStr">
        <is>
          <t>Region Øst</t>
        </is>
      </c>
      <c r="C5313" s="36" t="inlineStr">
        <is>
          <t>Akershus ungdoms- og familiesenter - akutt  Avdeling Sole</t>
        </is>
      </c>
      <c r="D5313" s="26" t="n">
        <v>1414347</v>
      </c>
      <c r="E5313" s="26" t="n">
        <v>1547329</v>
      </c>
      <c r="F5313" s="26" t="n">
        <v>1498305</v>
      </c>
      <c r="G5313" s="26" t="n">
        <v>1893722</v>
      </c>
      <c r="H5313" s="26" t="n">
        <v>2041410</v>
      </c>
      <c r="I5313" s="26" t="n">
        <v>342529</v>
      </c>
      <c r="J5313" s="19" t="n">
        <v>194246.8102233347</v>
      </c>
      <c r="K5313" s="37" t="n">
        <v>-0.246942263454357</v>
      </c>
    </row>
    <row r="5314">
      <c r="A5314" s="34" t="inlineStr">
        <is>
          <t>Turnustillegg</t>
        </is>
      </c>
      <c r="B5314" s="34" t="inlineStr">
        <is>
          <t>Region Øst</t>
        </is>
      </c>
      <c r="C5314" s="34" t="inlineStr">
        <is>
          <t>Akershus ungdoms- og familiesenter - akutt  Avdeling Tjernlia</t>
        </is>
      </c>
      <c r="D5314" s="18" t="n">
        <v>1494729</v>
      </c>
      <c r="E5314" s="18" t="n">
        <v>1500786</v>
      </c>
      <c r="F5314" s="18" t="n">
        <v>1591790</v>
      </c>
      <c r="G5314" s="18" t="n">
        <v>1508253</v>
      </c>
      <c r="H5314" s="18" t="n">
        <v>1546651</v>
      </c>
      <c r="I5314" s="18" t="n">
        <v>251070</v>
      </c>
      <c r="J5314" s="19" t="n">
        <v>141226.875</v>
      </c>
      <c r="K5314" s="35" t="n">
        <v>-0.25</v>
      </c>
    </row>
    <row r="5315">
      <c r="A5315" s="36" t="inlineStr">
        <is>
          <t>Turnustillegg</t>
        </is>
      </c>
      <c r="B5315" s="36" t="inlineStr">
        <is>
          <t>Region Øst</t>
        </is>
      </c>
      <c r="C5315" s="36" t="inlineStr">
        <is>
          <t>Akershus ungdoms- og familiesenter - akutt Avdeling Bjørlien</t>
        </is>
      </c>
      <c r="D5315" s="26" t="n">
        <v>1594082</v>
      </c>
      <c r="E5315" s="26" t="n">
        <v>1434622</v>
      </c>
      <c r="F5315" s="26" t="n">
        <v>1613717</v>
      </c>
      <c r="G5315" s="26" t="n">
        <v>1484622</v>
      </c>
      <c r="H5315" s="26" t="n">
        <v>1766000</v>
      </c>
      <c r="I5315" s="26" t="n">
        <v>302475</v>
      </c>
      <c r="J5315" s="19" t="n">
        <v>170142.1875</v>
      </c>
      <c r="K5315" s="37" t="n">
        <v>-0.25</v>
      </c>
    </row>
    <row r="5316">
      <c r="A5316" s="34" t="inlineStr">
        <is>
          <t>Turnustillegg</t>
        </is>
      </c>
      <c r="B5316" s="34" t="inlineStr">
        <is>
          <t>Region Øst</t>
        </is>
      </c>
      <c r="C5316" s="34" t="inlineStr">
        <is>
          <t>Akershus ungdoms- og familiesenter - akutt Avdeling Follo</t>
        </is>
      </c>
      <c r="D5316" s="18" t="n">
        <v>225059</v>
      </c>
      <c r="E5316" s="18" t="n">
        <v>1214398</v>
      </c>
      <c r="F5316" s="18" t="n">
        <v>101802</v>
      </c>
      <c r="G5316" s="18" t="n">
        <v>939</v>
      </c>
      <c r="H5316" s="18" t="n"/>
      <c r="I5316" s="18" t="n"/>
      <c r="J5316" s="19" t="n">
        <v>0</v>
      </c>
      <c r="K5316" s="35" t="n">
        <v>0.065</v>
      </c>
    </row>
    <row r="5317">
      <c r="A5317" s="36" t="inlineStr">
        <is>
          <t>Turnustillegg</t>
        </is>
      </c>
      <c r="B5317" s="36" t="inlineStr">
        <is>
          <t>Region Øst</t>
        </is>
      </c>
      <c r="C5317" s="36" t="inlineStr">
        <is>
          <t>Akershus ungdoms- og familiesenter - akutt Avdeling Jibbe</t>
        </is>
      </c>
      <c r="D5317" s="26" t="n">
        <v>231606</v>
      </c>
      <c r="E5317" s="26" t="n">
        <v>1320063</v>
      </c>
      <c r="F5317" s="26" t="n">
        <v>1683933</v>
      </c>
      <c r="G5317" s="26" t="n">
        <v>1661132</v>
      </c>
      <c r="H5317" s="26" t="n">
        <v>2090575</v>
      </c>
      <c r="I5317" s="26" t="n">
        <v>307367</v>
      </c>
      <c r="J5317" s="19" t="n">
        <v>344207.4066039998</v>
      </c>
      <c r="K5317" s="37" t="n">
        <v>0.0582334531554205</v>
      </c>
    </row>
    <row r="5318">
      <c r="A5318" s="34" t="inlineStr">
        <is>
          <t>Turnustillegg</t>
        </is>
      </c>
      <c r="B5318" s="34" t="inlineStr">
        <is>
          <t>Region Øst</t>
        </is>
      </c>
      <c r="C5318" s="34" t="inlineStr">
        <is>
          <t>Akershus ungdoms- og familiesenter - akutt, avd Bjørlien</t>
        </is>
      </c>
      <c r="D5318" s="18" t="n"/>
      <c r="E5318" s="18" t="n"/>
      <c r="F5318" s="18" t="n"/>
      <c r="G5318" s="18" t="n"/>
      <c r="H5318" s="18" t="n"/>
      <c r="I5318" s="18" t="n">
        <v>2218573</v>
      </c>
      <c r="J5318" s="19" t="n">
        <v>2516360.960925</v>
      </c>
      <c r="K5318" s="35" t="n">
        <v>0.065</v>
      </c>
    </row>
    <row r="5319">
      <c r="A5319" s="36" t="inlineStr">
        <is>
          <t>Turnustillegg</t>
        </is>
      </c>
      <c r="B5319" s="36" t="inlineStr">
        <is>
          <t>Region Øst</t>
        </is>
      </c>
      <c r="C5319" s="36" t="inlineStr">
        <is>
          <t>Akershus ungdoms- og familiesenter - akutt, avd Jibbe</t>
        </is>
      </c>
      <c r="D5319" s="26" t="n"/>
      <c r="E5319" s="26" t="n"/>
      <c r="F5319" s="26" t="n"/>
      <c r="G5319" s="26" t="n"/>
      <c r="H5319" s="26" t="n"/>
      <c r="I5319" s="26" t="n">
        <v>2175575</v>
      </c>
      <c r="J5319" s="19" t="n">
        <v>2467591.554375</v>
      </c>
      <c r="K5319" s="37" t="n">
        <v>0.065</v>
      </c>
    </row>
    <row r="5320">
      <c r="A5320" s="34" t="inlineStr">
        <is>
          <t>Turnustillegg</t>
        </is>
      </c>
      <c r="B5320" s="34" t="inlineStr">
        <is>
          <t>Region Øst</t>
        </is>
      </c>
      <c r="C5320" s="34" t="inlineStr">
        <is>
          <t>Akershus ungdoms- og familiesenter - akutt, avd Sole</t>
        </is>
      </c>
      <c r="D5320" s="18" t="n"/>
      <c r="E5320" s="18" t="n"/>
      <c r="F5320" s="18" t="n"/>
      <c r="G5320" s="18" t="n"/>
      <c r="H5320" s="18" t="n"/>
      <c r="I5320" s="18" t="n">
        <v>2765552</v>
      </c>
      <c r="J5320" s="19" t="n">
        <v>3136758.217199999</v>
      </c>
      <c r="K5320" s="35" t="n">
        <v>0.065</v>
      </c>
    </row>
    <row r="5321">
      <c r="A5321" s="36" t="inlineStr">
        <is>
          <t>Turnustillegg</t>
        </is>
      </c>
      <c r="B5321" s="36" t="inlineStr">
        <is>
          <t>Region Øst</t>
        </is>
      </c>
      <c r="C5321" s="36" t="inlineStr">
        <is>
          <t>Akershus ungdoms- og familiesenter - akutt, avd Tjernlia</t>
        </is>
      </c>
      <c r="D5321" s="26" t="n"/>
      <c r="E5321" s="26" t="n"/>
      <c r="F5321" s="26" t="n"/>
      <c r="G5321" s="26" t="n"/>
      <c r="H5321" s="26" t="n"/>
      <c r="I5321" s="26" t="n">
        <v>1872730</v>
      </c>
      <c r="J5321" s="19" t="n">
        <v>2124097.184249999</v>
      </c>
      <c r="K5321" s="37" t="n">
        <v>0.065</v>
      </c>
    </row>
    <row r="5322">
      <c r="A5322" s="34" t="inlineStr">
        <is>
          <t>Turnustillegg</t>
        </is>
      </c>
      <c r="B5322" s="34" t="inlineStr">
        <is>
          <t>Region Øst</t>
        </is>
      </c>
      <c r="C5322" s="34" t="inlineStr">
        <is>
          <t>Bufetats behandlingssenter Akershus/Østfold, Avdeling Kroerveien Institusjon</t>
        </is>
      </c>
      <c r="D5322" s="18" t="n"/>
      <c r="E5322" s="18" t="n"/>
      <c r="F5322" s="18" t="n"/>
      <c r="G5322" s="18" t="n">
        <v>588082</v>
      </c>
      <c r="H5322" s="18" t="n">
        <v>2678704</v>
      </c>
      <c r="I5322" s="18" t="n">
        <v>334725</v>
      </c>
      <c r="J5322" s="19" t="n">
        <v>379653.463125</v>
      </c>
      <c r="K5322" s="35" t="n">
        <v>0.065</v>
      </c>
    </row>
    <row r="5323">
      <c r="A5323" s="36" t="inlineStr">
        <is>
          <t>Turnustillegg</t>
        </is>
      </c>
      <c r="B5323" s="36" t="inlineStr">
        <is>
          <t>Region Øst</t>
        </is>
      </c>
      <c r="C5323" s="36" t="inlineStr">
        <is>
          <t>Bufetats behandlingssenter Akershus/Østfold, Avdeling Ressursteam</t>
        </is>
      </c>
      <c r="D5323" s="26" t="n"/>
      <c r="E5323" s="26" t="n"/>
      <c r="F5323" s="26" t="n"/>
      <c r="G5323" s="26" t="n">
        <v>724</v>
      </c>
      <c r="H5323" s="26" t="n">
        <v>11688</v>
      </c>
      <c r="I5323" s="26" t="n"/>
      <c r="J5323" s="19" t="n">
        <v>0</v>
      </c>
      <c r="K5323" s="37" t="n">
        <v>0.065</v>
      </c>
    </row>
    <row r="5324">
      <c r="A5324" s="34" t="inlineStr">
        <is>
          <t>Turnustillegg</t>
        </is>
      </c>
      <c r="B5324" s="34" t="inlineStr">
        <is>
          <t>Region Øst</t>
        </is>
      </c>
      <c r="C5324" s="34" t="inlineStr">
        <is>
          <t>Bufetats behandlingssenter Akershus/Østfold, Avdeling Ås</t>
        </is>
      </c>
      <c r="D5324" s="18" t="n"/>
      <c r="E5324" s="18" t="n"/>
      <c r="F5324" s="18" t="n"/>
      <c r="G5324" s="18" t="n">
        <v>381366</v>
      </c>
      <c r="H5324" s="18" t="n">
        <v>2067297</v>
      </c>
      <c r="I5324" s="18" t="n">
        <v>348330</v>
      </c>
      <c r="J5324" s="19" t="n">
        <v>395084.5942499999</v>
      </c>
      <c r="K5324" s="35" t="n">
        <v>0.065</v>
      </c>
    </row>
    <row r="5325">
      <c r="A5325" s="36" t="inlineStr">
        <is>
          <t>Turnustillegg</t>
        </is>
      </c>
      <c r="B5325" s="36" t="inlineStr">
        <is>
          <t>Region Øst</t>
        </is>
      </c>
      <c r="C5325" s="36" t="inlineStr">
        <is>
          <t>Bufetats behandlingssenter Akershus/Østfold, Avdeling Østheim</t>
        </is>
      </c>
      <c r="D5325" s="26" t="n"/>
      <c r="E5325" s="26" t="n"/>
      <c r="F5325" s="26" t="n"/>
      <c r="G5325" s="26" t="n">
        <v>442932</v>
      </c>
      <c r="H5325" s="26" t="n">
        <v>1737752</v>
      </c>
      <c r="I5325" s="26" t="n">
        <v>254865</v>
      </c>
      <c r="J5325" s="19" t="n">
        <v>289074.2546249999</v>
      </c>
      <c r="K5325" s="37" t="n">
        <v>0.065</v>
      </c>
    </row>
    <row r="5326">
      <c r="A5326" s="34" t="inlineStr">
        <is>
          <t>Turnustillegg</t>
        </is>
      </c>
      <c r="B5326" s="34" t="inlineStr">
        <is>
          <t>Region Øst</t>
        </is>
      </c>
      <c r="C5326" s="34" t="inlineStr">
        <is>
          <t>Bufetats behandlingssenter Akershus/Østfold, Avdeling Østlund</t>
        </is>
      </c>
      <c r="D5326" s="18" t="n"/>
      <c r="E5326" s="18" t="n"/>
      <c r="F5326" s="18" t="n"/>
      <c r="G5326" s="18" t="n">
        <v>325209</v>
      </c>
      <c r="H5326" s="18" t="n">
        <v>1562135</v>
      </c>
      <c r="I5326" s="18" t="n">
        <v>216016</v>
      </c>
      <c r="J5326" s="19" t="n">
        <v>245010.7476</v>
      </c>
      <c r="K5326" s="35" t="n">
        <v>0.065</v>
      </c>
    </row>
    <row r="5327">
      <c r="A5327" s="36" t="inlineStr">
        <is>
          <t>Turnustillegg</t>
        </is>
      </c>
      <c r="B5327" s="36" t="inlineStr">
        <is>
          <t>Region Øst</t>
        </is>
      </c>
      <c r="C5327" s="36" t="inlineStr">
        <is>
          <t>Bufetats behandlingssenter Akershus_Østfold, avd Kroerveien</t>
        </is>
      </c>
      <c r="D5327" s="26" t="n"/>
      <c r="E5327" s="26" t="n"/>
      <c r="F5327" s="26" t="n"/>
      <c r="G5327" s="26" t="n"/>
      <c r="H5327" s="26" t="n"/>
      <c r="I5327" s="26" t="n">
        <v>3093177</v>
      </c>
      <c r="J5327" s="19" t="n">
        <v>3508358.682825</v>
      </c>
      <c r="K5327" s="37" t="n">
        <v>0.065</v>
      </c>
    </row>
    <row r="5328">
      <c r="A5328" s="34" t="inlineStr">
        <is>
          <t>Turnustillegg</t>
        </is>
      </c>
      <c r="B5328" s="34" t="inlineStr">
        <is>
          <t>Region Øst</t>
        </is>
      </c>
      <c r="C5328" s="34" t="inlineStr">
        <is>
          <t>Bufetats behandlingssenter Akershus_Østfold, avd Ås</t>
        </is>
      </c>
      <c r="D5328" s="18" t="n"/>
      <c r="E5328" s="18" t="n"/>
      <c r="F5328" s="18" t="n"/>
      <c r="G5328" s="18" t="n"/>
      <c r="H5328" s="18" t="n"/>
      <c r="I5328" s="18" t="n">
        <v>2149124</v>
      </c>
      <c r="J5328" s="19" t="n">
        <v>2437590.168899999</v>
      </c>
      <c r="K5328" s="35" t="n">
        <v>0.065</v>
      </c>
    </row>
    <row r="5329">
      <c r="A5329" s="36" t="inlineStr">
        <is>
          <t>Turnustillegg</t>
        </is>
      </c>
      <c r="B5329" s="36" t="inlineStr">
        <is>
          <t>Region Øst</t>
        </is>
      </c>
      <c r="C5329" s="36" t="inlineStr">
        <is>
          <t>Bufetats behandlingssenter Akershus_Østfold, avd Østheim</t>
        </is>
      </c>
      <c r="D5329" s="26" t="n"/>
      <c r="E5329" s="26" t="n"/>
      <c r="F5329" s="26" t="n"/>
      <c r="G5329" s="26" t="n"/>
      <c r="H5329" s="26" t="n"/>
      <c r="I5329" s="26" t="n">
        <v>2102351</v>
      </c>
      <c r="J5329" s="19" t="n">
        <v>2384539.062975</v>
      </c>
      <c r="K5329" s="37" t="n">
        <v>0.065</v>
      </c>
    </row>
    <row r="5330">
      <c r="A5330" s="34" t="inlineStr">
        <is>
          <t>Turnustillegg</t>
        </is>
      </c>
      <c r="B5330" s="34" t="inlineStr">
        <is>
          <t>Region Øst</t>
        </is>
      </c>
      <c r="C5330" s="34" t="inlineStr">
        <is>
          <t>Bufetats behandlingssenter Akershus_Østfold, avd Østlund</t>
        </is>
      </c>
      <c r="D5330" s="18" t="n"/>
      <c r="E5330" s="18" t="n"/>
      <c r="F5330" s="18" t="n"/>
      <c r="G5330" s="18" t="n"/>
      <c r="H5330" s="18" t="n"/>
      <c r="I5330" s="18" t="n">
        <v>2005575</v>
      </c>
      <c r="J5330" s="19" t="n">
        <v>2274773.304375</v>
      </c>
      <c r="K5330" s="35" t="n">
        <v>0.065</v>
      </c>
    </row>
    <row r="5331">
      <c r="A5331" s="36" t="inlineStr">
        <is>
          <t>Turnustillegg</t>
        </is>
      </c>
      <c r="B5331" s="36" t="inlineStr">
        <is>
          <t>Region Øst</t>
        </is>
      </c>
      <c r="C5331" s="36" t="inlineStr">
        <is>
          <t>Follo ungdoms- og familiesenter - akutt  Avdeling Follo</t>
        </is>
      </c>
      <c r="D5331" s="26" t="n">
        <v>1171433</v>
      </c>
      <c r="E5331" s="26" t="n">
        <v>-4372</v>
      </c>
      <c r="F5331" s="26" t="n"/>
      <c r="G5331" s="26" t="n"/>
      <c r="H5331" s="26" t="n"/>
      <c r="I5331" s="26" t="n"/>
      <c r="J5331" s="19" t="n">
        <v>0</v>
      </c>
      <c r="K5331" s="37" t="n">
        <v>0.065</v>
      </c>
    </row>
    <row r="5332">
      <c r="A5332" s="34" t="inlineStr">
        <is>
          <t>Turnustillegg</t>
        </is>
      </c>
      <c r="B5332" s="34" t="inlineStr">
        <is>
          <t>Region Øst</t>
        </is>
      </c>
      <c r="C5332" s="34" t="inlineStr">
        <is>
          <t>Follo ungdoms- og familiesenter - akutt  Avdeling Jibbe</t>
        </is>
      </c>
      <c r="D5332" s="18" t="n">
        <v>1109939</v>
      </c>
      <c r="E5332" s="18" t="n"/>
      <c r="F5332" s="18" t="n"/>
      <c r="G5332" s="18" t="n"/>
      <c r="H5332" s="18" t="n"/>
      <c r="I5332" s="18" t="n"/>
      <c r="J5332" s="19" t="n">
        <v>0</v>
      </c>
      <c r="K5332" s="35" t="n">
        <v>0.065</v>
      </c>
    </row>
    <row r="5333">
      <c r="A5333" s="36" t="inlineStr">
        <is>
          <t>Turnustillegg</t>
        </is>
      </c>
      <c r="B5333" s="36" t="inlineStr">
        <is>
          <t>Region Øst</t>
        </is>
      </c>
      <c r="C5333" s="36" t="inlineStr">
        <is>
          <t>Hedmark ungdoms- og  familiesenter - akutt  Avdeling  Stange 1</t>
        </is>
      </c>
      <c r="D5333" s="26" t="n">
        <v>1807961</v>
      </c>
      <c r="E5333" s="26" t="n">
        <v>1602420</v>
      </c>
      <c r="F5333" s="26" t="n">
        <v>1637806</v>
      </c>
      <c r="G5333" s="26" t="n">
        <v>1685370</v>
      </c>
      <c r="H5333" s="26" t="n">
        <v>1802291</v>
      </c>
      <c r="I5333" s="26" t="n">
        <v>25465</v>
      </c>
      <c r="J5333" s="19" t="n">
        <v>14324.0625</v>
      </c>
      <c r="K5333" s="37" t="n">
        <v>-0.25</v>
      </c>
    </row>
    <row r="5334">
      <c r="A5334" s="34" t="inlineStr">
        <is>
          <t>Turnustillegg</t>
        </is>
      </c>
      <c r="B5334" s="34" t="inlineStr">
        <is>
          <t>Region Øst</t>
        </is>
      </c>
      <c r="C5334" s="34" t="inlineStr">
        <is>
          <t>Hedmark ungdoms- og  familiesenter - akutt  Avdeling  Vien 1</t>
        </is>
      </c>
      <c r="D5334" s="18" t="n">
        <v>1370570</v>
      </c>
      <c r="E5334" s="18" t="n">
        <v>1293593</v>
      </c>
      <c r="F5334" s="18" t="n">
        <v>1412131</v>
      </c>
      <c r="G5334" s="18" t="n">
        <v>1693275</v>
      </c>
      <c r="H5334" s="18" t="n">
        <v>1956679</v>
      </c>
      <c r="I5334" s="18" t="n">
        <v>36354</v>
      </c>
      <c r="J5334" s="19" t="n">
        <v>20449.125</v>
      </c>
      <c r="K5334" s="35" t="n">
        <v>-0.25</v>
      </c>
    </row>
    <row r="5335">
      <c r="A5335" s="36" t="inlineStr">
        <is>
          <t>Turnustillegg</t>
        </is>
      </c>
      <c r="B5335" s="36" t="inlineStr">
        <is>
          <t>Region Øst</t>
        </is>
      </c>
      <c r="C5335" s="36" t="inlineStr">
        <is>
          <t>Hedmark ungdoms- og  familiesenter - akutt  Avdeling  Vien 2</t>
        </is>
      </c>
      <c r="D5335" s="26" t="n">
        <v>1494073</v>
      </c>
      <c r="E5335" s="26" t="n">
        <v>1619667</v>
      </c>
      <c r="F5335" s="26" t="n">
        <v>1726732</v>
      </c>
      <c r="G5335" s="26" t="n">
        <v>1730650</v>
      </c>
      <c r="H5335" s="26" t="n">
        <v>1966330</v>
      </c>
      <c r="I5335" s="26" t="n">
        <v>23084</v>
      </c>
      <c r="J5335" s="19" t="n">
        <v>12984.75</v>
      </c>
      <c r="K5335" s="37" t="n">
        <v>-0.25</v>
      </c>
    </row>
    <row r="5336">
      <c r="A5336" s="34" t="inlineStr">
        <is>
          <t>Turnustillegg</t>
        </is>
      </c>
      <c r="B5336" s="34" t="inlineStr">
        <is>
          <t>Region Øst</t>
        </is>
      </c>
      <c r="C5336" s="34" t="inlineStr">
        <is>
          <t>Hedmark ungdoms- og familiesenter - akutt Avdeling Disen</t>
        </is>
      </c>
      <c r="D5336" s="18" t="n"/>
      <c r="E5336" s="18" t="n"/>
      <c r="F5336" s="18" t="n">
        <v>1363829</v>
      </c>
      <c r="G5336" s="18" t="n">
        <v>1448620</v>
      </c>
      <c r="H5336" s="18" t="n">
        <v>1677000</v>
      </c>
      <c r="I5336" s="18" t="n">
        <v>19684</v>
      </c>
      <c r="J5336" s="19" t="n">
        <v>22326.0849</v>
      </c>
      <c r="K5336" s="35" t="n">
        <v>0.065</v>
      </c>
    </row>
    <row r="5337">
      <c r="A5337" s="36" t="inlineStr">
        <is>
          <t>Turnustillegg</t>
        </is>
      </c>
      <c r="B5337" s="36" t="inlineStr">
        <is>
          <t>Region Øst</t>
        </is>
      </c>
      <c r="C5337" s="36" t="inlineStr">
        <is>
          <t>Hedmark ungdoms- og familiesenter - akutt Avdeling Irstad</t>
        </is>
      </c>
      <c r="D5337" s="26" t="n">
        <v>1439800</v>
      </c>
      <c r="E5337" s="26" t="n">
        <v>1262639</v>
      </c>
      <c r="F5337" s="26" t="n">
        <v>113671</v>
      </c>
      <c r="G5337" s="26" t="n"/>
      <c r="H5337" s="26" t="n"/>
      <c r="I5337" s="26" t="n"/>
      <c r="J5337" s="19" t="n">
        <v>0</v>
      </c>
      <c r="K5337" s="37" t="n">
        <v>0.065</v>
      </c>
    </row>
    <row r="5338">
      <c r="A5338" s="34" t="inlineStr">
        <is>
          <t>Turnustillegg</t>
        </is>
      </c>
      <c r="B5338" s="34" t="inlineStr">
        <is>
          <t>Region Øst</t>
        </is>
      </c>
      <c r="C5338" s="34" t="inlineStr">
        <is>
          <t>Hedmark ungdoms- og familiesenter - akutt, avd Disen</t>
        </is>
      </c>
      <c r="D5338" s="18" t="n"/>
      <c r="E5338" s="18" t="n"/>
      <c r="F5338" s="18" t="n"/>
      <c r="G5338" s="18" t="n"/>
      <c r="H5338" s="18" t="n"/>
      <c r="I5338" s="18" t="n">
        <v>1556135</v>
      </c>
      <c r="J5338" s="19" t="n">
        <v>1765007.220375</v>
      </c>
      <c r="K5338" s="35" t="n">
        <v>0.065</v>
      </c>
    </row>
    <row r="5339">
      <c r="A5339" s="36" t="inlineStr">
        <is>
          <t>Turnustillegg</t>
        </is>
      </c>
      <c r="B5339" s="36" t="inlineStr">
        <is>
          <t>Region Øst</t>
        </is>
      </c>
      <c r="C5339" s="36" t="inlineStr">
        <is>
          <t>Hedmark ungdoms- og familiesenter - akutt, avd Stange 1</t>
        </is>
      </c>
      <c r="D5339" s="26" t="n"/>
      <c r="E5339" s="26" t="n"/>
      <c r="F5339" s="26" t="n"/>
      <c r="G5339" s="26" t="n"/>
      <c r="H5339" s="26" t="n"/>
      <c r="I5339" s="26" t="n">
        <v>1813270</v>
      </c>
      <c r="J5339" s="19" t="n">
        <v>2056656.16575</v>
      </c>
      <c r="K5339" s="37" t="n">
        <v>0.065</v>
      </c>
    </row>
    <row r="5340">
      <c r="A5340" s="34" t="inlineStr">
        <is>
          <t>Turnustillegg</t>
        </is>
      </c>
      <c r="B5340" s="34" t="inlineStr">
        <is>
          <t>Region Øst</t>
        </is>
      </c>
      <c r="C5340" s="34" t="inlineStr">
        <is>
          <t>Hedmark ungdoms- og familiesenter - akutt, avd Vien 1</t>
        </is>
      </c>
      <c r="D5340" s="18" t="n"/>
      <c r="E5340" s="18" t="n"/>
      <c r="F5340" s="18" t="n"/>
      <c r="G5340" s="18" t="n"/>
      <c r="H5340" s="18" t="n"/>
      <c r="I5340" s="18" t="n">
        <v>2326734</v>
      </c>
      <c r="J5340" s="19" t="n">
        <v>2639039.87115</v>
      </c>
      <c r="K5340" s="35" t="n">
        <v>0.065</v>
      </c>
    </row>
    <row r="5341">
      <c r="A5341" s="36" t="inlineStr">
        <is>
          <t>Turnustillegg</t>
        </is>
      </c>
      <c r="B5341" s="36" t="inlineStr">
        <is>
          <t>Region Øst</t>
        </is>
      </c>
      <c r="C5341" s="36" t="inlineStr">
        <is>
          <t>Hedmark ungdoms- og familiesenter - akutt, avd Vien 2</t>
        </is>
      </c>
      <c r="D5341" s="26" t="n"/>
      <c r="E5341" s="26" t="n"/>
      <c r="F5341" s="26" t="n"/>
      <c r="G5341" s="26" t="n"/>
      <c r="H5341" s="26" t="n"/>
      <c r="I5341" s="26" t="n">
        <v>1946306</v>
      </c>
      <c r="J5341" s="19" t="n">
        <v>2207548.92285</v>
      </c>
      <c r="K5341" s="37" t="n">
        <v>0.065</v>
      </c>
    </row>
    <row r="5342">
      <c r="A5342" s="34" t="inlineStr">
        <is>
          <t>Turnustillegg</t>
        </is>
      </c>
      <c r="B5342" s="34" t="inlineStr">
        <is>
          <t>Region Øst</t>
        </is>
      </c>
      <c r="C5342" s="34" t="inlineStr">
        <is>
          <t>Innlandet Barnevernsenter avdeling Sandvig</t>
        </is>
      </c>
      <c r="D5342" s="18" t="n">
        <v>177163</v>
      </c>
      <c r="E5342" s="18" t="n">
        <v>1040947</v>
      </c>
      <c r="F5342" s="18" t="n">
        <v>1085058</v>
      </c>
      <c r="G5342" s="18" t="n">
        <v>1204975</v>
      </c>
      <c r="H5342" s="18" t="n">
        <v>1319414</v>
      </c>
      <c r="I5342" s="18" t="n">
        <v>1659462</v>
      </c>
      <c r="J5342" s="19" t="n">
        <v>2592909.375</v>
      </c>
      <c r="K5342" s="35" t="n">
        <v>0.25</v>
      </c>
    </row>
    <row r="5343">
      <c r="A5343" s="36" t="inlineStr">
        <is>
          <t>Turnustillegg</t>
        </is>
      </c>
      <c r="B5343" s="36" t="inlineStr">
        <is>
          <t>Region Øst</t>
        </is>
      </c>
      <c r="C5343" s="36" t="inlineStr">
        <is>
          <t>Innlandet barnevernsenter avdeling Aukrust</t>
        </is>
      </c>
      <c r="D5343" s="26" t="n">
        <v>1330889</v>
      </c>
      <c r="E5343" s="26" t="n">
        <v>1056860</v>
      </c>
      <c r="F5343" s="26" t="n">
        <v>1094624</v>
      </c>
      <c r="G5343" s="26" t="n">
        <v>1324009</v>
      </c>
      <c r="H5343" s="26" t="n">
        <v>1518885</v>
      </c>
      <c r="I5343" s="26" t="n">
        <v>1531558</v>
      </c>
      <c r="J5343" s="19" t="n">
        <v>1620056.247176979</v>
      </c>
      <c r="K5343" s="37" t="n">
        <v>0.0284858535723822</v>
      </c>
    </row>
    <row r="5344">
      <c r="A5344" s="34" t="inlineStr">
        <is>
          <t>Turnustillegg</t>
        </is>
      </c>
      <c r="B5344" s="34" t="inlineStr">
        <is>
          <t>Region Øst</t>
        </is>
      </c>
      <c r="C5344" s="34" t="inlineStr">
        <is>
          <t>Innlandet barnevernsenter avdeling Kauffeldt</t>
        </is>
      </c>
      <c r="D5344" s="18" t="n"/>
      <c r="E5344" s="18" t="n"/>
      <c r="F5344" s="18" t="n"/>
      <c r="G5344" s="18" t="n">
        <v>42200</v>
      </c>
      <c r="H5344" s="18" t="n">
        <v>1160612</v>
      </c>
      <c r="I5344" s="18" t="n">
        <v>1603199</v>
      </c>
      <c r="J5344" s="19" t="n">
        <v>1818388.385775</v>
      </c>
      <c r="K5344" s="35" t="n">
        <v>0.065</v>
      </c>
    </row>
    <row r="5345">
      <c r="A5345" s="36" t="inlineStr">
        <is>
          <t>Turnustillegg</t>
        </is>
      </c>
      <c r="B5345" s="36" t="inlineStr">
        <is>
          <t>Region Øst</t>
        </is>
      </c>
      <c r="C5345" s="36" t="inlineStr">
        <is>
          <t>Innlandet barnevernsenter avdeling Prøysen</t>
        </is>
      </c>
      <c r="D5345" s="26" t="n">
        <v>1294380</v>
      </c>
      <c r="E5345" s="26" t="n">
        <v>853194</v>
      </c>
      <c r="F5345" s="26" t="n">
        <v>1122606</v>
      </c>
      <c r="G5345" s="26" t="n">
        <v>1460960</v>
      </c>
      <c r="H5345" s="26" t="n">
        <v>1416460</v>
      </c>
      <c r="I5345" s="26" t="n">
        <v>2020163</v>
      </c>
      <c r="J5345" s="19" t="n">
        <v>2413883.243994754</v>
      </c>
      <c r="K5345" s="37" t="n">
        <v>0.09311265896056509</v>
      </c>
    </row>
    <row r="5346">
      <c r="A5346" s="34" t="inlineStr">
        <is>
          <t>Turnustillegg</t>
        </is>
      </c>
      <c r="B5346" s="34" t="inlineStr">
        <is>
          <t>Region Øst</t>
        </is>
      </c>
      <c r="C5346" s="34" t="inlineStr">
        <is>
          <t>Innlandet barnevernsenter avdeling Vestly</t>
        </is>
      </c>
      <c r="D5346" s="18" t="n">
        <v>1183690</v>
      </c>
      <c r="E5346" s="18" t="n">
        <v>1076684</v>
      </c>
      <c r="F5346" s="18" t="n">
        <v>1174486</v>
      </c>
      <c r="G5346" s="18" t="n">
        <v>1287625</v>
      </c>
      <c r="H5346" s="18" t="n">
        <v>1356466</v>
      </c>
      <c r="I5346" s="18" t="n">
        <v>1303169</v>
      </c>
      <c r="J5346" s="19" t="n">
        <v>1354271.830542595</v>
      </c>
      <c r="K5346" s="35" t="n">
        <v>0.019418597684979</v>
      </c>
    </row>
    <row r="5347">
      <c r="A5347" s="36" t="inlineStr">
        <is>
          <t>Turnustillegg</t>
        </is>
      </c>
      <c r="B5347" s="36" t="inlineStr">
        <is>
          <t>Region Øst</t>
        </is>
      </c>
      <c r="C5347" s="36" t="inlineStr">
        <is>
          <t>Jong ungdoms- og familiesenter, Administrasjon</t>
        </is>
      </c>
      <c r="D5347" s="26" t="n"/>
      <c r="E5347" s="26" t="n"/>
      <c r="F5347" s="26" t="n">
        <v>2194</v>
      </c>
      <c r="G5347" s="26" t="n"/>
      <c r="H5347" s="26" t="n"/>
      <c r="I5347" s="26" t="n"/>
      <c r="J5347" s="19" t="n">
        <v>0</v>
      </c>
      <c r="K5347" s="37" t="n">
        <v>0.065</v>
      </c>
    </row>
    <row r="5348">
      <c r="A5348" s="34" t="inlineStr">
        <is>
          <t>Turnustillegg</t>
        </is>
      </c>
      <c r="B5348" s="34" t="inlineStr">
        <is>
          <t>Region Øst</t>
        </is>
      </c>
      <c r="C5348" s="34" t="inlineStr">
        <is>
          <t>Jong ungdoms- og familiesenter, avd Åsen</t>
        </is>
      </c>
      <c r="D5348" s="18" t="n"/>
      <c r="E5348" s="18" t="n"/>
      <c r="F5348" s="18" t="n"/>
      <c r="G5348" s="18" t="n"/>
      <c r="H5348" s="18" t="n"/>
      <c r="I5348" s="18" t="n">
        <v>1825161</v>
      </c>
      <c r="J5348" s="19" t="n">
        <v>2070143.235225</v>
      </c>
      <c r="K5348" s="35" t="n">
        <v>0.065</v>
      </c>
    </row>
    <row r="5349">
      <c r="A5349" s="36" t="inlineStr">
        <is>
          <t>Turnustillegg</t>
        </is>
      </c>
      <c r="B5349" s="36" t="inlineStr">
        <is>
          <t>Region Øst</t>
        </is>
      </c>
      <c r="C5349" s="36" t="inlineStr">
        <is>
          <t>Jong ungdoms- og familiesenter, avd. Kollen</t>
        </is>
      </c>
      <c r="D5349" s="26" t="n"/>
      <c r="E5349" s="26" t="n"/>
      <c r="F5349" s="26" t="n"/>
      <c r="G5349" s="26" t="n"/>
      <c r="H5349" s="26" t="n"/>
      <c r="I5349" s="26" t="n">
        <v>1707785</v>
      </c>
      <c r="J5349" s="19" t="n">
        <v>1937012.441625</v>
      </c>
      <c r="K5349" s="37" t="n">
        <v>0.065</v>
      </c>
    </row>
    <row r="5350">
      <c r="A5350" s="34" t="inlineStr">
        <is>
          <t>Turnustillegg</t>
        </is>
      </c>
      <c r="B5350" s="34" t="inlineStr">
        <is>
          <t>Region Øst</t>
        </is>
      </c>
      <c r="C5350" s="34" t="inlineStr">
        <is>
          <t>Jong ungdoms- og familiesenter, avdeling Kollen</t>
        </is>
      </c>
      <c r="D5350" s="18" t="n"/>
      <c r="E5350" s="18" t="n"/>
      <c r="F5350" s="18" t="n"/>
      <c r="G5350" s="18" t="n"/>
      <c r="H5350" s="18" t="n">
        <v>297679</v>
      </c>
      <c r="I5350" s="18" t="n">
        <v>4072</v>
      </c>
      <c r="J5350" s="19" t="n">
        <v>4618.564199999999</v>
      </c>
      <c r="K5350" s="35" t="n">
        <v>0.065</v>
      </c>
    </row>
    <row r="5351">
      <c r="A5351" s="36" t="inlineStr">
        <is>
          <t>Turnustillegg</t>
        </is>
      </c>
      <c r="B5351" s="36" t="inlineStr">
        <is>
          <t>Region Øst</t>
        </is>
      </c>
      <c r="C5351" s="36" t="inlineStr">
        <is>
          <t>Jong ungdoms- og familiesenter, avdeling Åsen</t>
        </is>
      </c>
      <c r="D5351" s="26" t="n">
        <v>1393472</v>
      </c>
      <c r="E5351" s="26" t="n">
        <v>1491905</v>
      </c>
      <c r="F5351" s="26" t="n">
        <v>1317125</v>
      </c>
      <c r="G5351" s="26" t="n">
        <v>1477562</v>
      </c>
      <c r="H5351" s="26" t="n">
        <v>1564192</v>
      </c>
      <c r="I5351" s="26" t="n"/>
      <c r="J5351" s="19" t="n">
        <v>0</v>
      </c>
      <c r="K5351" s="37" t="n">
        <v>0.065</v>
      </c>
    </row>
    <row r="5352">
      <c r="A5352" s="34" t="inlineStr">
        <is>
          <t>Turnustillegg</t>
        </is>
      </c>
      <c r="B5352" s="34" t="inlineStr">
        <is>
          <t>Region Øst</t>
        </is>
      </c>
      <c r="C5352" s="34" t="inlineStr">
        <is>
          <t>Kirkenær barnever- og omsorgssenter Avdeling Frigg</t>
        </is>
      </c>
      <c r="D5352" s="18" t="n"/>
      <c r="E5352" s="18" t="n">
        <v>809566</v>
      </c>
      <c r="F5352" s="18" t="n">
        <v>1111190</v>
      </c>
      <c r="G5352" s="18" t="n">
        <v>1170184</v>
      </c>
      <c r="H5352" s="18" t="n">
        <v>1640372</v>
      </c>
      <c r="I5352" s="18" t="n">
        <v>1511595</v>
      </c>
      <c r="J5352" s="19" t="n">
        <v>2065508.753475272</v>
      </c>
      <c r="K5352" s="35" t="n">
        <v>0.1689496265820236</v>
      </c>
    </row>
    <row r="5353">
      <c r="A5353" s="36" t="inlineStr">
        <is>
          <t>Turnustillegg</t>
        </is>
      </c>
      <c r="B5353" s="36" t="inlineStr">
        <is>
          <t>Region Øst</t>
        </is>
      </c>
      <c r="C5353" s="36" t="inlineStr">
        <is>
          <t>Kirkenær barnevern- og omsorgssenter  Administrasjon</t>
        </is>
      </c>
      <c r="D5353" s="26" t="n"/>
      <c r="E5353" s="26" t="n">
        <v>-6647</v>
      </c>
      <c r="F5353" s="26" t="n"/>
      <c r="G5353" s="26" t="n"/>
      <c r="H5353" s="26" t="n"/>
      <c r="I5353" s="26" t="n"/>
      <c r="J5353" s="19" t="n">
        <v>0</v>
      </c>
      <c r="K5353" s="37" t="n">
        <v>0.065</v>
      </c>
    </row>
    <row r="5354">
      <c r="A5354" s="34" t="inlineStr">
        <is>
          <t>Turnustillegg</t>
        </is>
      </c>
      <c r="B5354" s="34" t="inlineStr">
        <is>
          <t>Region Øst</t>
        </is>
      </c>
      <c r="C5354" s="34" t="inlineStr">
        <is>
          <t>Kirkenær barnevern- og omsorgssenter  Avdeling Frydenlund</t>
        </is>
      </c>
      <c r="D5354" s="18" t="n"/>
      <c r="E5354" s="18" t="n">
        <v>7166</v>
      </c>
      <c r="F5354" s="18" t="n"/>
      <c r="G5354" s="18" t="n">
        <v>1735</v>
      </c>
      <c r="H5354" s="18" t="n">
        <v>6059</v>
      </c>
      <c r="I5354" s="18" t="n"/>
      <c r="J5354" s="19" t="n">
        <v>0</v>
      </c>
      <c r="K5354" s="35" t="n">
        <v>0.065</v>
      </c>
    </row>
    <row r="5355">
      <c r="A5355" s="36" t="inlineStr">
        <is>
          <t>Turnustillegg</t>
        </is>
      </c>
      <c r="B5355" s="36" t="inlineStr">
        <is>
          <t>Region Øst</t>
        </is>
      </c>
      <c r="C5355" s="36" t="inlineStr">
        <is>
          <t>Kirkenær barnevern- og omsorgssenter  Avdeling Furubo</t>
        </is>
      </c>
      <c r="D5355" s="26" t="n">
        <v>23651</v>
      </c>
      <c r="E5355" s="26" t="n">
        <v>136377</v>
      </c>
      <c r="F5355" s="26" t="n"/>
      <c r="G5355" s="26" t="n"/>
      <c r="H5355" s="26" t="n"/>
      <c r="I5355" s="26" t="n"/>
      <c r="J5355" s="19" t="n">
        <v>0</v>
      </c>
      <c r="K5355" s="37" t="n">
        <v>0.065</v>
      </c>
    </row>
    <row r="5356">
      <c r="A5356" s="34" t="inlineStr">
        <is>
          <t>Turnustillegg</t>
        </is>
      </c>
      <c r="B5356" s="34" t="inlineStr">
        <is>
          <t>Region Øst</t>
        </is>
      </c>
      <c r="C5356" s="34" t="inlineStr">
        <is>
          <t>Kirkenær barnevern- og omsorgssenter  Avdeling Kirkenærtunet</t>
        </is>
      </c>
      <c r="D5356" s="18" t="n"/>
      <c r="E5356" s="18" t="n"/>
      <c r="F5356" s="18" t="n"/>
      <c r="G5356" s="18" t="n">
        <v>717</v>
      </c>
      <c r="H5356" s="18" t="n">
        <v>5798</v>
      </c>
      <c r="I5356" s="18" t="n"/>
      <c r="J5356" s="19" t="n">
        <v>0</v>
      </c>
      <c r="K5356" s="35" t="n">
        <v>0.065</v>
      </c>
    </row>
    <row r="5357">
      <c r="A5357" s="36" t="inlineStr">
        <is>
          <t>Turnustillegg</t>
        </is>
      </c>
      <c r="B5357" s="36" t="inlineStr">
        <is>
          <t>Region Øst</t>
        </is>
      </c>
      <c r="C5357" s="36" t="inlineStr">
        <is>
          <t>Kirkenær barnevern- og omsorgssenter  Edda ungdomshjem</t>
        </is>
      </c>
      <c r="D5357" s="26" t="n">
        <v>1144537</v>
      </c>
      <c r="E5357" s="26" t="n">
        <v>1150613</v>
      </c>
      <c r="F5357" s="26" t="n">
        <v>1626214</v>
      </c>
      <c r="G5357" s="26" t="n">
        <v>1829439</v>
      </c>
      <c r="H5357" s="26" t="n">
        <v>1873138</v>
      </c>
      <c r="I5357" s="26" t="n">
        <v>2009939</v>
      </c>
      <c r="J5357" s="19" t="n">
        <v>2517700.657065312</v>
      </c>
      <c r="K5357" s="37" t="n">
        <v>0.1192074904032243</v>
      </c>
    </row>
    <row r="5358">
      <c r="A5358" s="34" t="inlineStr">
        <is>
          <t>Turnustillegg</t>
        </is>
      </c>
      <c r="B5358" s="34" t="inlineStr">
        <is>
          <t>Region Øst</t>
        </is>
      </c>
      <c r="C5358" s="34" t="inlineStr">
        <is>
          <t>Kirkenær barnevern- og omsorgssenter  Snorre ungdomshjem</t>
        </is>
      </c>
      <c r="D5358" s="18" t="n">
        <v>1298795</v>
      </c>
      <c r="E5358" s="18" t="n">
        <v>1476762</v>
      </c>
      <c r="F5358" s="18" t="n">
        <v>1399526</v>
      </c>
      <c r="G5358" s="18" t="n">
        <v>1615770</v>
      </c>
      <c r="H5358" s="18" t="n">
        <v>1624578</v>
      </c>
      <c r="I5358" s="18" t="n">
        <v>1867401</v>
      </c>
      <c r="J5358" s="19" t="n">
        <v>2159316.87432324</v>
      </c>
      <c r="K5358" s="35" t="n">
        <v>0.07532414096416495</v>
      </c>
    </row>
    <row r="5359">
      <c r="A5359" s="36" t="inlineStr">
        <is>
          <t>Turnustillegg</t>
        </is>
      </c>
      <c r="B5359" s="36" t="inlineStr">
        <is>
          <t>Region Øst</t>
        </is>
      </c>
      <c r="C5359" s="36" t="inlineStr">
        <is>
          <t>Kirkenær barnevern- og omsorgssenter Avdeling Balder</t>
        </is>
      </c>
      <c r="D5359" s="26" t="n">
        <v>413113</v>
      </c>
      <c r="E5359" s="26" t="n">
        <v>1338320</v>
      </c>
      <c r="F5359" s="26" t="n">
        <v>1404417</v>
      </c>
      <c r="G5359" s="26" t="n">
        <v>976009</v>
      </c>
      <c r="H5359" s="26" t="n">
        <v>1323374</v>
      </c>
      <c r="I5359" s="26" t="n">
        <v>1555404</v>
      </c>
      <c r="J5359" s="19" t="n">
        <v>2430318.75</v>
      </c>
      <c r="K5359" s="37" t="n">
        <v>0.25</v>
      </c>
    </row>
    <row r="5360">
      <c r="A5360" s="34" t="inlineStr">
        <is>
          <t>Turnustillegg</t>
        </is>
      </c>
      <c r="B5360" s="34" t="inlineStr">
        <is>
          <t>Region Øst</t>
        </is>
      </c>
      <c r="C5360" s="34" t="inlineStr">
        <is>
          <t>Lierfoss ungdoms- og familiesenter - avdeling Skogtun</t>
        </is>
      </c>
      <c r="D5360" s="18" t="n"/>
      <c r="E5360" s="18" t="n"/>
      <c r="F5360" s="18" t="n"/>
      <c r="G5360" s="18" t="n"/>
      <c r="H5360" s="18" t="n">
        <v>2426324</v>
      </c>
      <c r="I5360" s="18" t="n">
        <v>2767715</v>
      </c>
      <c r="J5360" s="19" t="n">
        <v>3139211.545874999</v>
      </c>
      <c r="K5360" s="35" t="n">
        <v>0.065</v>
      </c>
    </row>
    <row r="5361">
      <c r="A5361" s="36" t="inlineStr">
        <is>
          <t>Turnustillegg</t>
        </is>
      </c>
      <c r="B5361" s="36" t="inlineStr">
        <is>
          <t>Region Øst</t>
        </is>
      </c>
      <c r="C5361" s="36" t="inlineStr">
        <is>
          <t>Lierfoss ungdoms- og familiesenter - omsorg  Autentoppen ungdomshjem</t>
        </is>
      </c>
      <c r="D5361" s="26" t="n">
        <v>728430</v>
      </c>
      <c r="E5361" s="26" t="n">
        <v>711895</v>
      </c>
      <c r="F5361" s="26" t="n">
        <v>72690</v>
      </c>
      <c r="G5361" s="26" t="n"/>
      <c r="H5361" s="26" t="n"/>
      <c r="I5361" s="26" t="n"/>
      <c r="J5361" s="19" t="n">
        <v>0</v>
      </c>
      <c r="K5361" s="37" t="n">
        <v>0.065</v>
      </c>
    </row>
    <row r="5362">
      <c r="A5362" s="34" t="inlineStr">
        <is>
          <t>Turnustillegg</t>
        </is>
      </c>
      <c r="B5362" s="34" t="inlineStr">
        <is>
          <t>Region Øst</t>
        </is>
      </c>
      <c r="C5362" s="34" t="inlineStr">
        <is>
          <t>Lierfoss ungdoms- og familiesenter - omsorg  Berglia ungdomshjem</t>
        </is>
      </c>
      <c r="D5362" s="18" t="n">
        <v>1717653</v>
      </c>
      <c r="E5362" s="18" t="n">
        <v>1501898</v>
      </c>
      <c r="F5362" s="18" t="n">
        <v>1556310</v>
      </c>
      <c r="G5362" s="18" t="n">
        <v>1560846</v>
      </c>
      <c r="H5362" s="18" t="n">
        <v>914836</v>
      </c>
      <c r="I5362" s="18" t="n">
        <v>1636421</v>
      </c>
      <c r="J5362" s="19" t="n">
        <v>1605014.236133941</v>
      </c>
      <c r="K5362" s="35" t="n">
        <v>-0.009642665278897899</v>
      </c>
    </row>
    <row r="5363">
      <c r="A5363" s="36" t="inlineStr">
        <is>
          <t>Turnustillegg</t>
        </is>
      </c>
      <c r="B5363" s="36" t="inlineStr">
        <is>
          <t>Region Øst</t>
        </is>
      </c>
      <c r="C5363" s="36" t="inlineStr">
        <is>
          <t>Lierfoss ungdoms- og familiesenter - omsorg  Furulia ungdomshjem</t>
        </is>
      </c>
      <c r="D5363" s="26" t="n">
        <v>612811</v>
      </c>
      <c r="E5363" s="26" t="n">
        <v>620907</v>
      </c>
      <c r="F5363" s="26" t="n">
        <v>1186876</v>
      </c>
      <c r="G5363" s="26" t="n">
        <v>1655551</v>
      </c>
      <c r="H5363" s="26" t="n">
        <v>1870931</v>
      </c>
      <c r="I5363" s="26" t="n">
        <v>2181687</v>
      </c>
      <c r="J5363" s="19" t="n">
        <v>3408885.9375</v>
      </c>
      <c r="K5363" s="37" t="n">
        <v>0.25</v>
      </c>
    </row>
    <row r="5364">
      <c r="A5364" s="34" t="inlineStr">
        <is>
          <t>Turnustillegg</t>
        </is>
      </c>
      <c r="B5364" s="34" t="inlineStr">
        <is>
          <t>Region Øst</t>
        </is>
      </c>
      <c r="C5364" s="34" t="inlineStr">
        <is>
          <t>Lierfoss ungdoms- og familiesenter - omsorg Lillehagen</t>
        </is>
      </c>
      <c r="D5364" s="18" t="n">
        <v>1780741</v>
      </c>
      <c r="E5364" s="18" t="n">
        <v>1266488</v>
      </c>
      <c r="F5364" s="18" t="n">
        <v>392</v>
      </c>
      <c r="G5364" s="18" t="n"/>
      <c r="H5364" s="18" t="n"/>
      <c r="I5364" s="18" t="n"/>
      <c r="J5364" s="19" t="n">
        <v>0</v>
      </c>
      <c r="K5364" s="35" t="n">
        <v>0.065</v>
      </c>
    </row>
    <row r="5365">
      <c r="A5365" s="36" t="inlineStr">
        <is>
          <t>Turnustillegg</t>
        </is>
      </c>
      <c r="B5365" s="36" t="inlineStr">
        <is>
          <t>Region Øst</t>
        </is>
      </c>
      <c r="C5365" s="36" t="inlineStr">
        <is>
          <t>Lierfoss ungdoms- og familiesenter, avdeling Riserhagen</t>
        </is>
      </c>
      <c r="D5365" s="26" t="n"/>
      <c r="E5365" s="26" t="n">
        <v>98072</v>
      </c>
      <c r="F5365" s="26" t="n">
        <v>1756816</v>
      </c>
      <c r="G5365" s="26" t="n">
        <v>1852749</v>
      </c>
      <c r="H5365" s="26" t="n">
        <v>2114920</v>
      </c>
      <c r="I5365" s="26" t="n">
        <v>1928701</v>
      </c>
      <c r="J5365" s="19" t="n">
        <v>3013595.3125</v>
      </c>
      <c r="K5365" s="37" t="n">
        <v>0.25</v>
      </c>
    </row>
    <row r="5366">
      <c r="A5366" s="34" t="inlineStr">
        <is>
          <t>Turnustillegg</t>
        </is>
      </c>
      <c r="B5366" s="34" t="inlineStr">
        <is>
          <t>Region Øst</t>
        </is>
      </c>
      <c r="C5366" s="34" t="inlineStr">
        <is>
          <t>Multisystemisk terapi-team Nedre Romerike</t>
        </is>
      </c>
      <c r="D5366" s="18" t="n"/>
      <c r="E5366" s="18" t="n"/>
      <c r="F5366" s="18" t="n">
        <v>-5691</v>
      </c>
      <c r="G5366" s="18" t="n"/>
      <c r="H5366" s="18" t="n"/>
      <c r="I5366" s="18" t="n"/>
      <c r="J5366" s="19" t="n">
        <v>0</v>
      </c>
      <c r="K5366" s="35" t="n">
        <v>0.065</v>
      </c>
    </row>
    <row r="5367">
      <c r="A5367" s="36" t="inlineStr">
        <is>
          <t>Turnustillegg</t>
        </is>
      </c>
      <c r="B5367" s="36" t="inlineStr">
        <is>
          <t>Region Øst</t>
        </is>
      </c>
      <c r="C5367" s="36" t="inlineStr">
        <is>
          <t>Regionalt ressursmiljø rus i barnevernstiltak</t>
        </is>
      </c>
      <c r="D5367" s="26" t="n"/>
      <c r="E5367" s="26" t="n"/>
      <c r="F5367" s="26" t="n"/>
      <c r="G5367" s="26" t="n"/>
      <c r="H5367" s="26" t="n">
        <v>10859</v>
      </c>
      <c r="I5367" s="26" t="n"/>
      <c r="J5367" s="19" t="n">
        <v>0</v>
      </c>
      <c r="K5367" s="37" t="n">
        <v>0.065</v>
      </c>
    </row>
    <row r="5368">
      <c r="A5368" s="34" t="inlineStr">
        <is>
          <t>Turnustillegg</t>
        </is>
      </c>
      <c r="B5368" s="34" t="inlineStr">
        <is>
          <t>Region Øst</t>
        </is>
      </c>
      <c r="C5368" s="34" t="inlineStr">
        <is>
          <t>Regionkontor F3 Funksjon omsorg ungdom</t>
        </is>
      </c>
      <c r="D5368" s="18" t="n">
        <v>23501</v>
      </c>
      <c r="E5368" s="18" t="n"/>
      <c r="F5368" s="18" t="n"/>
      <c r="G5368" s="18" t="n"/>
      <c r="H5368" s="18" t="n"/>
      <c r="I5368" s="18" t="n"/>
      <c r="J5368" s="19" t="n">
        <v>0</v>
      </c>
      <c r="K5368" s="35" t="n">
        <v>0.065</v>
      </c>
    </row>
    <row r="5369">
      <c r="A5369" s="36" t="inlineStr">
        <is>
          <t>Turnustillegg</t>
        </is>
      </c>
      <c r="B5369" s="36" t="inlineStr">
        <is>
          <t>Region Øst</t>
        </is>
      </c>
      <c r="C5369" s="36" t="inlineStr">
        <is>
          <t>Regionkontor Seksjon HR</t>
        </is>
      </c>
      <c r="D5369" s="26" t="n">
        <v>-12443</v>
      </c>
      <c r="E5369" s="26" t="n"/>
      <c r="F5369" s="26" t="n"/>
      <c r="G5369" s="26" t="n"/>
      <c r="H5369" s="26" t="n"/>
      <c r="I5369" s="26" t="n"/>
      <c r="J5369" s="19" t="n">
        <v>0</v>
      </c>
      <c r="K5369" s="37" t="n">
        <v>0.065</v>
      </c>
    </row>
    <row r="5370">
      <c r="A5370" s="34" t="inlineStr">
        <is>
          <t>Turnustillegg</t>
        </is>
      </c>
      <c r="B5370" s="34" t="inlineStr">
        <is>
          <t>Region Øst</t>
        </is>
      </c>
      <c r="C5370" s="34" t="inlineStr">
        <is>
          <t>Regionkontor Seksjon ØV - teknisk Statlige institusjoner</t>
        </is>
      </c>
      <c r="D5370" s="18" t="n"/>
      <c r="E5370" s="18" t="n"/>
      <c r="F5370" s="18" t="n"/>
      <c r="G5370" s="18" t="n">
        <v>94562</v>
      </c>
      <c r="H5370" s="18" t="n">
        <v>51123</v>
      </c>
      <c r="I5370" s="18" t="n"/>
      <c r="J5370" s="19" t="n">
        <v>0</v>
      </c>
      <c r="K5370" s="35" t="n">
        <v>0.065</v>
      </c>
    </row>
    <row r="5371">
      <c r="A5371" s="36" t="inlineStr">
        <is>
          <t>Turnustillegg</t>
        </is>
      </c>
      <c r="B5371" s="36" t="inlineStr">
        <is>
          <t>Region Øst</t>
        </is>
      </c>
      <c r="C5371" s="36" t="inlineStr">
        <is>
          <t>Sarpsborg ungdoms og familiesenter - behandling  Avdeling Østheim</t>
        </is>
      </c>
      <c r="D5371" s="26" t="n">
        <v>1295172</v>
      </c>
      <c r="E5371" s="26" t="n">
        <v>1365152</v>
      </c>
      <c r="F5371" s="26" t="n">
        <v>1550912</v>
      </c>
      <c r="G5371" s="26" t="n">
        <v>1388570</v>
      </c>
      <c r="H5371" s="26" t="n"/>
      <c r="I5371" s="26" t="n"/>
      <c r="J5371" s="19" t="n">
        <v>0</v>
      </c>
      <c r="K5371" s="37" t="n">
        <v>0.065</v>
      </c>
    </row>
    <row r="5372">
      <c r="A5372" s="34" t="inlineStr">
        <is>
          <t>Turnustillegg</t>
        </is>
      </c>
      <c r="B5372" s="34" t="inlineStr">
        <is>
          <t>Region Øst</t>
        </is>
      </c>
      <c r="C5372" s="34" t="inlineStr">
        <is>
          <t>Sarpsborg ungdoms og familiesenter - behandling  Avdeling Østlund</t>
        </is>
      </c>
      <c r="D5372" s="18" t="n">
        <v>1348201</v>
      </c>
      <c r="E5372" s="18" t="n">
        <v>1255344</v>
      </c>
      <c r="F5372" s="18" t="n">
        <v>1249660</v>
      </c>
      <c r="G5372" s="18" t="n">
        <v>1141515</v>
      </c>
      <c r="H5372" s="18" t="n"/>
      <c r="I5372" s="18" t="n"/>
      <c r="J5372" s="19" t="n">
        <v>0</v>
      </c>
      <c r="K5372" s="35" t="n">
        <v>0.065</v>
      </c>
    </row>
    <row r="5373">
      <c r="A5373" s="36" t="inlineStr">
        <is>
          <t>Turnustillegg</t>
        </is>
      </c>
      <c r="B5373" s="36" t="inlineStr">
        <is>
          <t>Region Øst</t>
        </is>
      </c>
      <c r="C5373" s="36" t="inlineStr">
        <is>
          <t>Spisskompetansemiljø for trygghet og sikkerhet i institusjon for barn og ansatte</t>
        </is>
      </c>
      <c r="D5373" s="26" t="n">
        <v>368801</v>
      </c>
      <c r="E5373" s="26" t="n"/>
      <c r="F5373" s="26" t="n"/>
      <c r="G5373" s="26" t="n"/>
      <c r="H5373" s="26" t="n"/>
      <c r="I5373" s="26" t="n"/>
      <c r="J5373" s="19" t="n">
        <v>0</v>
      </c>
      <c r="K5373" s="37" t="n">
        <v>0.065</v>
      </c>
    </row>
    <row r="5374">
      <c r="A5374" s="34" t="inlineStr">
        <is>
          <t>Turnustillegg</t>
        </is>
      </c>
      <c r="B5374" s="34" t="inlineStr">
        <is>
          <t>Region Øst</t>
        </is>
      </c>
      <c r="C5374" s="34" t="inlineStr">
        <is>
          <t>Støttespillerne - Huset</t>
        </is>
      </c>
      <c r="D5374" s="18" t="n"/>
      <c r="E5374" s="18" t="n">
        <v>174590</v>
      </c>
      <c r="F5374" s="18" t="n">
        <v>436069</v>
      </c>
      <c r="G5374" s="18" t="n">
        <v>427190</v>
      </c>
      <c r="H5374" s="18" t="n">
        <v>4845</v>
      </c>
      <c r="I5374" s="18" t="n"/>
      <c r="J5374" s="19" t="n">
        <v>0</v>
      </c>
      <c r="K5374" s="35" t="n">
        <v>0.065</v>
      </c>
    </row>
    <row r="5375">
      <c r="A5375" s="36" t="inlineStr">
        <is>
          <t>Turnustillegg</t>
        </is>
      </c>
      <c r="B5375" s="36" t="inlineStr">
        <is>
          <t>Region Øst</t>
        </is>
      </c>
      <c r="C5375" s="36" t="inlineStr">
        <is>
          <t>Ås ungdomssenter  - MulitifunC-behandling  Avdeling Institusjon</t>
        </is>
      </c>
      <c r="D5375" s="26" t="n">
        <v>1881671</v>
      </c>
      <c r="E5375" s="26" t="n">
        <v>1430131</v>
      </c>
      <c r="F5375" s="26" t="n">
        <v>1560104</v>
      </c>
      <c r="G5375" s="26" t="n">
        <v>1300853</v>
      </c>
      <c r="H5375" s="26" t="n"/>
      <c r="I5375" s="26" t="n"/>
      <c r="J5375" s="19" t="n">
        <v>0</v>
      </c>
      <c r="K5375" s="37" t="n">
        <v>0.065</v>
      </c>
    </row>
    <row r="5376">
      <c r="A5376" s="34" t="inlineStr">
        <is>
          <t>Turnustillegg</t>
        </is>
      </c>
      <c r="B5376" s="34" t="inlineStr">
        <is>
          <t>Region Øst</t>
        </is>
      </c>
      <c r="C5376" s="34" t="inlineStr">
        <is>
          <t>Ås ungdomssenter - Administrasjon</t>
        </is>
      </c>
      <c r="D5376" s="18" t="n"/>
      <c r="E5376" s="18" t="n"/>
      <c r="F5376" s="18" t="n"/>
      <c r="G5376" s="18" t="n">
        <v>43020</v>
      </c>
      <c r="H5376" s="18" t="n"/>
      <c r="I5376" s="18" t="n"/>
      <c r="J5376" s="19" t="n">
        <v>0</v>
      </c>
      <c r="K5376" s="35" t="n">
        <v>0.065</v>
      </c>
    </row>
    <row r="5377">
      <c r="A5377" s="36" t="inlineStr">
        <is>
          <t>Turnustillegg</t>
        </is>
      </c>
      <c r="B5377" s="36" t="inlineStr">
        <is>
          <t>Region Øst</t>
        </is>
      </c>
      <c r="C5377" s="36" t="inlineStr">
        <is>
          <t>Østfold ungdoms - og familiesenter - omsorg  avdeling Eika</t>
        </is>
      </c>
      <c r="D5377" s="26" t="n">
        <v>59596</v>
      </c>
      <c r="E5377" s="26" t="n"/>
      <c r="F5377" s="26" t="n"/>
      <c r="G5377" s="26" t="n"/>
      <c r="H5377" s="26" t="n"/>
      <c r="I5377" s="26" t="n"/>
      <c r="J5377" s="19" t="n">
        <v>0</v>
      </c>
      <c r="K5377" s="37" t="n">
        <v>0.065</v>
      </c>
    </row>
    <row r="5378">
      <c r="A5378" s="34" t="inlineStr">
        <is>
          <t>Turnustillegg</t>
        </is>
      </c>
      <c r="B5378" s="34" t="inlineStr">
        <is>
          <t>Region Øst</t>
        </is>
      </c>
      <c r="C5378" s="34" t="inlineStr">
        <is>
          <t>Østfold ungdoms - og familiesenter - omsorg, avdeling Kurland ungdomshjem</t>
        </is>
      </c>
      <c r="D5378" s="18" t="n">
        <v>1423367</v>
      </c>
      <c r="E5378" s="18" t="n">
        <v>178898</v>
      </c>
      <c r="F5378" s="18" t="n">
        <v>282630</v>
      </c>
      <c r="G5378" s="18" t="n">
        <v>2097789</v>
      </c>
      <c r="H5378" s="18" t="n">
        <v>2124084</v>
      </c>
      <c r="I5378" s="18" t="n">
        <v>2066190</v>
      </c>
      <c r="J5378" s="19" t="n">
        <v>2398344.691674872</v>
      </c>
      <c r="K5378" s="35" t="n">
        <v>0.07738437428138134</v>
      </c>
    </row>
    <row r="5379">
      <c r="A5379" s="36" t="inlineStr">
        <is>
          <t>Turnustillegg</t>
        </is>
      </c>
      <c r="B5379" s="36" t="inlineStr">
        <is>
          <t>Region Øst</t>
        </is>
      </c>
      <c r="C5379" s="36" t="inlineStr">
        <is>
          <t>Østfold ungdoms- og familiesenter - avdeling Fossen</t>
        </is>
      </c>
      <c r="D5379" s="26" t="n"/>
      <c r="E5379" s="26" t="n"/>
      <c r="F5379" s="26" t="n"/>
      <c r="G5379" s="26" t="n"/>
      <c r="H5379" s="26" t="n">
        <v>884235</v>
      </c>
      <c r="I5379" s="26" t="n">
        <v>1922354</v>
      </c>
      <c r="J5379" s="19" t="n">
        <v>2180381.96565</v>
      </c>
      <c r="K5379" s="37" t="n">
        <v>0.065</v>
      </c>
    </row>
    <row r="5380">
      <c r="A5380" s="34" t="inlineStr">
        <is>
          <t>Turnustillegg</t>
        </is>
      </c>
      <c r="B5380" s="34" t="inlineStr">
        <is>
          <t>Region Øst</t>
        </is>
      </c>
      <c r="C5380" s="34" t="inlineStr">
        <is>
          <t>Østfold ungdoms- og familiesenter - omsorg, avdeling Alfheim ungdomshjem</t>
        </is>
      </c>
      <c r="D5380" s="18" t="n">
        <v>1466730</v>
      </c>
      <c r="E5380" s="18" t="n">
        <v>1377663</v>
      </c>
      <c r="F5380" s="18" t="n">
        <v>1403052</v>
      </c>
      <c r="G5380" s="18" t="n">
        <v>1480541</v>
      </c>
      <c r="H5380" s="18" t="n">
        <v>1789981</v>
      </c>
      <c r="I5380" s="18" t="n">
        <v>1987631</v>
      </c>
      <c r="J5380" s="19" t="n">
        <v>2244553.679558191</v>
      </c>
      <c r="K5380" s="35" t="n">
        <v>0.06266681180200551</v>
      </c>
    </row>
    <row r="5381">
      <c r="A5381" s="36" t="inlineStr">
        <is>
          <t>Turnustillegg</t>
        </is>
      </c>
      <c r="B5381" s="36" t="inlineStr">
        <is>
          <t>Region Øst</t>
        </is>
      </c>
      <c r="C5381" s="36" t="inlineStr">
        <is>
          <t>Østfold ungdoms- og familiesenter - omsorg, avdeling Dal</t>
        </is>
      </c>
      <c r="D5381" s="26" t="n"/>
      <c r="E5381" s="26" t="n">
        <v>1435710</v>
      </c>
      <c r="F5381" s="26" t="n">
        <v>1527245</v>
      </c>
      <c r="G5381" s="26" t="n">
        <v>1843689</v>
      </c>
      <c r="H5381" s="26" t="n">
        <v>2181202</v>
      </c>
      <c r="I5381" s="26" t="n">
        <v>2316088</v>
      </c>
      <c r="J5381" s="19" t="n">
        <v>2941705.699798863</v>
      </c>
      <c r="K5381" s="37" t="n">
        <v>0.1269952426425323</v>
      </c>
    </row>
    <row r="5382">
      <c r="A5382" s="34" t="inlineStr">
        <is>
          <t>Turnustillegg</t>
        </is>
      </c>
      <c r="B5382" s="34" t="inlineStr">
        <is>
          <t>Region Øst</t>
        </is>
      </c>
      <c r="C5382" s="34" t="inlineStr">
        <is>
          <t>Østfold ungdoms- og familiesenter - omsorg, avdeling Rokkeveien ungdomshjem</t>
        </is>
      </c>
      <c r="D5382" s="18" t="n">
        <v>1364519</v>
      </c>
      <c r="E5382" s="18" t="n">
        <v>1393545</v>
      </c>
      <c r="F5382" s="18" t="n">
        <v>1486419</v>
      </c>
      <c r="G5382" s="18" t="n">
        <v>1665852</v>
      </c>
      <c r="H5382" s="18" t="n">
        <v>1672312</v>
      </c>
      <c r="I5382" s="18" t="n">
        <v>1905455</v>
      </c>
      <c r="J5382" s="19" t="n">
        <v>2177741.566320794</v>
      </c>
      <c r="K5382" s="35" t="n">
        <v>0.06906428718991009</v>
      </c>
    </row>
    <row r="5383">
      <c r="A5383" s="36" t="inlineStr">
        <is>
          <t>Turnustillegg</t>
        </is>
      </c>
      <c r="B5383" s="36" t="inlineStr">
        <is>
          <t>Region Øst</t>
        </is>
      </c>
      <c r="C5383" s="36" t="inlineStr">
        <is>
          <t>Østfold ungdoms- og familiesenter - omsorg, avdeling Tune ungdomshjem</t>
        </is>
      </c>
      <c r="D5383" s="26" t="n">
        <v>1346154</v>
      </c>
      <c r="E5383" s="26" t="n">
        <v>1450929</v>
      </c>
      <c r="F5383" s="26" t="n">
        <v>1488138</v>
      </c>
      <c r="G5383" s="26" t="n">
        <v>1766543</v>
      </c>
      <c r="H5383" s="26" t="n">
        <v>1639323</v>
      </c>
      <c r="I5383" s="26" t="n">
        <v>1916077</v>
      </c>
      <c r="J5383" s="19" t="n">
        <v>2206684.489772089</v>
      </c>
      <c r="K5383" s="37" t="n">
        <v>0.07315793804506154</v>
      </c>
    </row>
    <row r="5384">
      <c r="A5384" s="34" t="inlineStr">
        <is>
          <t>Turnustillegg vikarer</t>
        </is>
      </c>
      <c r="B5384" s="34" t="inlineStr">
        <is>
          <t>Region Midt-Norge</t>
        </is>
      </c>
      <c r="C5384" s="34" t="inlineStr">
        <is>
          <t>Buvika ungdomssenter</t>
        </is>
      </c>
      <c r="D5384" s="18" t="n"/>
      <c r="E5384" s="18" t="n">
        <v>164389</v>
      </c>
      <c r="F5384" s="18" t="n">
        <v>294847</v>
      </c>
      <c r="G5384" s="18" t="n">
        <v>353595</v>
      </c>
      <c r="H5384" s="18" t="n">
        <v>840393</v>
      </c>
      <c r="I5384" s="18" t="n">
        <v>772474</v>
      </c>
      <c r="J5384" s="19" t="n">
        <v>1206990.625</v>
      </c>
      <c r="K5384" s="35" t="n">
        <v>0.25</v>
      </c>
    </row>
    <row r="5385">
      <c r="A5385" s="36" t="inlineStr">
        <is>
          <t>Turnustillegg vikarer</t>
        </is>
      </c>
      <c r="B5385" s="36" t="inlineStr">
        <is>
          <t>Region Midt-Norge</t>
        </is>
      </c>
      <c r="C5385" s="36" t="inlineStr">
        <is>
          <t>Clausenengen ungdomshjem</t>
        </is>
      </c>
      <c r="D5385" s="26" t="n">
        <v>150444</v>
      </c>
      <c r="E5385" s="26" t="n">
        <v>168966</v>
      </c>
      <c r="F5385" s="26" t="n">
        <v>183369</v>
      </c>
      <c r="G5385" s="26" t="n">
        <v>342699</v>
      </c>
      <c r="H5385" s="26" t="n">
        <v>291944</v>
      </c>
      <c r="I5385" s="26" t="n">
        <v>505384</v>
      </c>
      <c r="J5385" s="19" t="n">
        <v>789662.5</v>
      </c>
      <c r="K5385" s="37" t="n">
        <v>0.25</v>
      </c>
    </row>
    <row r="5386">
      <c r="A5386" s="34" t="inlineStr">
        <is>
          <t>Turnustillegg vikarer</t>
        </is>
      </c>
      <c r="B5386" s="34" t="inlineStr">
        <is>
          <t>Region Midt-Norge</t>
        </is>
      </c>
      <c r="C5386" s="34" t="inlineStr">
        <is>
          <t>Gilantunet ungdomshjem</t>
        </is>
      </c>
      <c r="D5386" s="18" t="n">
        <v>988419</v>
      </c>
      <c r="E5386" s="18" t="n">
        <v>870764</v>
      </c>
      <c r="F5386" s="18" t="n">
        <v>1246803</v>
      </c>
      <c r="G5386" s="18" t="n">
        <v>1744142</v>
      </c>
      <c r="H5386" s="18" t="n">
        <v>1410990</v>
      </c>
      <c r="I5386" s="18" t="n">
        <v>1010902</v>
      </c>
      <c r="J5386" s="19" t="n">
        <v>1020037.748639707</v>
      </c>
      <c r="K5386" s="35" t="n">
        <v>0.004508449349619248</v>
      </c>
    </row>
    <row r="5387">
      <c r="A5387" s="36" t="inlineStr">
        <is>
          <t>Turnustillegg vikarer</t>
        </is>
      </c>
      <c r="B5387" s="36" t="inlineStr">
        <is>
          <t>Region Midt-Norge</t>
        </is>
      </c>
      <c r="C5387" s="36" t="inlineStr">
        <is>
          <t>Humla Akuttsenter</t>
        </is>
      </c>
      <c r="D5387" s="26" t="n">
        <v>420660</v>
      </c>
      <c r="E5387" s="26" t="n">
        <v>583147</v>
      </c>
      <c r="F5387" s="26" t="n">
        <v>724662</v>
      </c>
      <c r="G5387" s="26" t="n">
        <v>885379</v>
      </c>
      <c r="H5387" s="26" t="n">
        <v>714147</v>
      </c>
      <c r="I5387" s="26" t="n">
        <v>846152</v>
      </c>
      <c r="J5387" s="19" t="n">
        <v>1119064.844132047</v>
      </c>
      <c r="K5387" s="37" t="n">
        <v>0.1500148107557797</v>
      </c>
    </row>
    <row r="5388">
      <c r="A5388" s="34" t="inlineStr">
        <is>
          <t>Turnustillegg vikarer</t>
        </is>
      </c>
      <c r="B5388" s="34" t="inlineStr">
        <is>
          <t>Region Midt-Norge</t>
        </is>
      </c>
      <c r="C5388" s="34" t="inlineStr">
        <is>
          <t>Husafjellheimen ungdomsheim</t>
        </is>
      </c>
      <c r="D5388" s="18" t="n">
        <v>118418</v>
      </c>
      <c r="E5388" s="18" t="n">
        <v>108771</v>
      </c>
      <c r="F5388" s="18" t="n">
        <v>228705</v>
      </c>
      <c r="G5388" s="18" t="n">
        <v>206032</v>
      </c>
      <c r="H5388" s="18" t="n">
        <v>301416</v>
      </c>
      <c r="I5388" s="18" t="n">
        <v>390776</v>
      </c>
      <c r="J5388" s="19" t="n">
        <v>610587.5</v>
      </c>
      <c r="K5388" s="35" t="n">
        <v>0.25</v>
      </c>
    </row>
    <row r="5389">
      <c r="A5389" s="36" t="inlineStr">
        <is>
          <t>Turnustillegg vikarer</t>
        </is>
      </c>
      <c r="B5389" s="36" t="inlineStr">
        <is>
          <t>Region Midt-Norge</t>
        </is>
      </c>
      <c r="C5389" s="36" t="inlineStr">
        <is>
          <t>Karienborg ungdomsheim</t>
        </is>
      </c>
      <c r="D5389" s="26" t="n">
        <v>367644</v>
      </c>
      <c r="E5389" s="26" t="n">
        <v>474273</v>
      </c>
      <c r="F5389" s="26" t="n">
        <v>817578</v>
      </c>
      <c r="G5389" s="26" t="n">
        <v>938221</v>
      </c>
      <c r="H5389" s="26" t="n">
        <v>628074</v>
      </c>
      <c r="I5389" s="26" t="n">
        <v>668937</v>
      </c>
      <c r="J5389" s="19" t="n">
        <v>849900.9454684099</v>
      </c>
      <c r="K5389" s="37" t="n">
        <v>0.1271755171750737</v>
      </c>
    </row>
    <row r="5390">
      <c r="A5390" s="34" t="inlineStr">
        <is>
          <t>Turnustillegg vikarer</t>
        </is>
      </c>
      <c r="B5390" s="34" t="inlineStr">
        <is>
          <t>Region Midt-Norge</t>
        </is>
      </c>
      <c r="C5390" s="34" t="inlineStr">
        <is>
          <t>Kollen ungdomsbase</t>
        </is>
      </c>
      <c r="D5390" s="18" t="n">
        <v>572583</v>
      </c>
      <c r="E5390" s="18" t="n">
        <v>532793</v>
      </c>
      <c r="F5390" s="18" t="n">
        <v>599775</v>
      </c>
      <c r="G5390" s="18" t="n">
        <v>595269</v>
      </c>
      <c r="H5390" s="18" t="n">
        <v>565863</v>
      </c>
      <c r="I5390" s="18" t="n">
        <v>664026</v>
      </c>
      <c r="J5390" s="19" t="n">
        <v>704569.3367072801</v>
      </c>
      <c r="K5390" s="35" t="n">
        <v>0.03007613856875468</v>
      </c>
    </row>
    <row r="5391">
      <c r="A5391" s="36" t="inlineStr">
        <is>
          <t>Turnustillegg vikarer</t>
        </is>
      </c>
      <c r="B5391" s="36" t="inlineStr">
        <is>
          <t>Region Midt-Norge</t>
        </is>
      </c>
      <c r="C5391" s="36" t="inlineStr">
        <is>
          <t>Kvammen akuttsenter</t>
        </is>
      </c>
      <c r="D5391" s="26" t="n">
        <v>812853</v>
      </c>
      <c r="E5391" s="26" t="n">
        <v>690570</v>
      </c>
      <c r="F5391" s="26" t="n">
        <v>480712</v>
      </c>
      <c r="G5391" s="26" t="n">
        <v>1042882</v>
      </c>
      <c r="H5391" s="26" t="n"/>
      <c r="I5391" s="26" t="n"/>
      <c r="J5391" s="19" t="n">
        <v>0</v>
      </c>
      <c r="K5391" s="37" t="n">
        <v>0.065</v>
      </c>
    </row>
    <row r="5392">
      <c r="A5392" s="34" t="inlineStr">
        <is>
          <t>Turnustillegg vikarer</t>
        </is>
      </c>
      <c r="B5392" s="34" t="inlineStr">
        <is>
          <t>Region Midt-Norge</t>
        </is>
      </c>
      <c r="C5392" s="34" t="inlineStr">
        <is>
          <t>Kvammen akuttsenter, avdeling Fannrem</t>
        </is>
      </c>
      <c r="D5392" s="18" t="n"/>
      <c r="E5392" s="18" t="n"/>
      <c r="F5392" s="18" t="n"/>
      <c r="G5392" s="18" t="n"/>
      <c r="H5392" s="18" t="n">
        <v>15368</v>
      </c>
      <c r="I5392" s="18" t="n">
        <v>422551</v>
      </c>
      <c r="J5392" s="19" t="n">
        <v>479267.9079749999</v>
      </c>
      <c r="K5392" s="35" t="n">
        <v>0.065</v>
      </c>
    </row>
    <row r="5393">
      <c r="A5393" s="36" t="inlineStr">
        <is>
          <t>Turnustillegg vikarer</t>
        </is>
      </c>
      <c r="B5393" s="36" t="inlineStr">
        <is>
          <t>Region Midt-Norge</t>
        </is>
      </c>
      <c r="C5393" s="36" t="inlineStr">
        <is>
          <t>Kvammen akuttsenter, avdeling Melhus</t>
        </is>
      </c>
      <c r="D5393" s="26" t="n"/>
      <c r="E5393" s="26" t="n"/>
      <c r="F5393" s="26" t="n"/>
      <c r="G5393" s="26" t="n"/>
      <c r="H5393" s="26" t="n">
        <v>999626</v>
      </c>
      <c r="I5393" s="26" t="n">
        <v>549283</v>
      </c>
      <c r="J5393" s="19" t="n">
        <v>623010.5106749999</v>
      </c>
      <c r="K5393" s="37" t="n">
        <v>0.065</v>
      </c>
    </row>
    <row r="5394">
      <c r="A5394" s="34" t="inlineStr">
        <is>
          <t>Turnustillegg vikarer</t>
        </is>
      </c>
      <c r="B5394" s="34" t="inlineStr">
        <is>
          <t>Region Midt-Norge</t>
        </is>
      </c>
      <c r="C5394" s="34" t="inlineStr">
        <is>
          <t>Kvammen, avdelig enetiltak</t>
        </is>
      </c>
      <c r="D5394" s="18" t="n"/>
      <c r="E5394" s="18" t="n"/>
      <c r="F5394" s="18" t="n"/>
      <c r="G5394" s="18" t="n"/>
      <c r="H5394" s="18" t="n"/>
      <c r="I5394" s="18" t="n">
        <v>648571</v>
      </c>
      <c r="J5394" s="19" t="n">
        <v>735625.4424749999</v>
      </c>
      <c r="K5394" s="35" t="n">
        <v>0.065</v>
      </c>
    </row>
    <row r="5395">
      <c r="A5395" s="36" t="inlineStr">
        <is>
          <t>Turnustillegg vikarer</t>
        </is>
      </c>
      <c r="B5395" s="36" t="inlineStr">
        <is>
          <t>Region Midt-Norge</t>
        </is>
      </c>
      <c r="C5395" s="36" t="inlineStr">
        <is>
          <t>Moholt ungdomssenter</t>
        </is>
      </c>
      <c r="D5395" s="26" t="n"/>
      <c r="E5395" s="26" t="n"/>
      <c r="F5395" s="26" t="n">
        <v>43327</v>
      </c>
      <c r="G5395" s="26" t="n">
        <v>137284</v>
      </c>
      <c r="H5395" s="26" t="n">
        <v>477475</v>
      </c>
      <c r="I5395" s="26" t="n">
        <v>498762</v>
      </c>
      <c r="J5395" s="19" t="n">
        <v>565708.32945</v>
      </c>
      <c r="K5395" s="37" t="n">
        <v>0.065</v>
      </c>
    </row>
    <row r="5396">
      <c r="A5396" s="34" t="inlineStr">
        <is>
          <t>Turnustillegg vikarer</t>
        </is>
      </c>
      <c r="B5396" s="34" t="inlineStr">
        <is>
          <t>Region Midt-Norge</t>
        </is>
      </c>
      <c r="C5396" s="34" t="inlineStr">
        <is>
          <t>Orkdal barnevernsenter</t>
        </is>
      </c>
      <c r="D5396" s="18" t="n">
        <v>829614</v>
      </c>
      <c r="E5396" s="18" t="n">
        <v>870187</v>
      </c>
      <c r="F5396" s="18" t="n">
        <v>735283</v>
      </c>
      <c r="G5396" s="18" t="n">
        <v>548844</v>
      </c>
      <c r="H5396" s="18" t="n"/>
      <c r="I5396" s="18" t="n"/>
      <c r="J5396" s="19" t="n">
        <v>0</v>
      </c>
      <c r="K5396" s="35" t="n">
        <v>0.065</v>
      </c>
    </row>
    <row r="5397">
      <c r="A5397" s="36" t="inlineStr">
        <is>
          <t>Turnustillegg vikarer</t>
        </is>
      </c>
      <c r="B5397" s="36" t="inlineStr">
        <is>
          <t>Region Midt-Norge</t>
        </is>
      </c>
      <c r="C5397" s="36" t="inlineStr">
        <is>
          <t>Ranheim Vestre</t>
        </is>
      </c>
      <c r="D5397" s="26" t="n">
        <v>445929</v>
      </c>
      <c r="E5397" s="26" t="n">
        <v>545065</v>
      </c>
      <c r="F5397" s="26" t="n">
        <v>528316</v>
      </c>
      <c r="G5397" s="26" t="n">
        <v>830530</v>
      </c>
      <c r="H5397" s="26" t="n">
        <v>830650</v>
      </c>
      <c r="I5397" s="26" t="n">
        <v>518573</v>
      </c>
      <c r="J5397" s="19" t="n">
        <v>550842.6701675309</v>
      </c>
      <c r="K5397" s="37" t="n">
        <v>0.03064437393700392</v>
      </c>
    </row>
    <row r="5398">
      <c r="A5398" s="34" t="inlineStr">
        <is>
          <t>Turnustillegg vikarer</t>
        </is>
      </c>
      <c r="B5398" s="34" t="inlineStr">
        <is>
          <t>Region Midt-Norge</t>
        </is>
      </c>
      <c r="C5398" s="34" t="inlineStr">
        <is>
          <t>Skatval ungdomssenter</t>
        </is>
      </c>
      <c r="D5398" s="18" t="n"/>
      <c r="E5398" s="18" t="n"/>
      <c r="F5398" s="18" t="n"/>
      <c r="G5398" s="18" t="n"/>
      <c r="H5398" s="18" t="n"/>
      <c r="I5398" s="18" t="n">
        <v>625440</v>
      </c>
      <c r="J5398" s="19" t="n">
        <v>709389.6839999999</v>
      </c>
      <c r="K5398" s="35" t="n">
        <v>0.065</v>
      </c>
    </row>
    <row r="5399">
      <c r="A5399" s="36" t="inlineStr">
        <is>
          <t>Turnustillegg vikarer</t>
        </is>
      </c>
      <c r="B5399" s="36" t="inlineStr">
        <is>
          <t>Region Midt-Norge</t>
        </is>
      </c>
      <c r="C5399" s="36" t="inlineStr">
        <is>
          <t>Spillumheimen ungdomsheim</t>
        </is>
      </c>
      <c r="D5399" s="26" t="n">
        <v>885785</v>
      </c>
      <c r="E5399" s="26" t="n">
        <v>934910</v>
      </c>
      <c r="F5399" s="26" t="n">
        <v>720837</v>
      </c>
      <c r="G5399" s="26" t="n">
        <v>909904</v>
      </c>
      <c r="H5399" s="26" t="n">
        <v>358691</v>
      </c>
      <c r="I5399" s="26" t="n">
        <v>647</v>
      </c>
      <c r="J5399" s="19" t="n">
        <v>363.9375</v>
      </c>
      <c r="K5399" s="37" t="n">
        <v>-0.25</v>
      </c>
    </row>
    <row r="5400">
      <c r="A5400" s="34" t="inlineStr">
        <is>
          <t>Turnustillegg vikarer</t>
        </is>
      </c>
      <c r="B5400" s="34" t="inlineStr">
        <is>
          <t>Region Midt-Norge</t>
        </is>
      </c>
      <c r="C5400" s="34" t="inlineStr">
        <is>
          <t>Stjørdal ungdomssenter</t>
        </is>
      </c>
      <c r="D5400" s="18" t="n">
        <v>150810</v>
      </c>
      <c r="E5400" s="18" t="n">
        <v>385318</v>
      </c>
      <c r="F5400" s="18" t="n">
        <v>148907</v>
      </c>
      <c r="G5400" s="18" t="n">
        <v>204</v>
      </c>
      <c r="H5400" s="18" t="n"/>
      <c r="I5400" s="18" t="n"/>
      <c r="J5400" s="19" t="n">
        <v>0</v>
      </c>
      <c r="K5400" s="35" t="n">
        <v>0.065</v>
      </c>
    </row>
    <row r="5401">
      <c r="A5401" s="36" t="inlineStr">
        <is>
          <t>Turnustillegg vikarer</t>
        </is>
      </c>
      <c r="B5401" s="36" t="inlineStr">
        <is>
          <t>Region Midt-Norge</t>
        </is>
      </c>
      <c r="C5401" s="36" t="inlineStr">
        <is>
          <t>Sunnmørsheimen akuttinstitusjon, avd. Klatrevegen</t>
        </is>
      </c>
      <c r="D5401" s="26" t="n"/>
      <c r="E5401" s="26" t="n"/>
      <c r="F5401" s="26" t="n">
        <v>316109</v>
      </c>
      <c r="G5401" s="26" t="n">
        <v>459746</v>
      </c>
      <c r="H5401" s="26" t="n">
        <v>438714</v>
      </c>
      <c r="I5401" s="26" t="n">
        <v>667438</v>
      </c>
      <c r="J5401" s="19" t="n">
        <v>757024.8655499999</v>
      </c>
      <c r="K5401" s="37" t="n">
        <v>0.065</v>
      </c>
    </row>
    <row r="5402">
      <c r="A5402" s="34" t="inlineStr">
        <is>
          <t>Turnustillegg vikarer</t>
        </is>
      </c>
      <c r="B5402" s="34" t="inlineStr">
        <is>
          <t>Region Midt-Norge</t>
        </is>
      </c>
      <c r="C5402" s="34" t="inlineStr">
        <is>
          <t>Sunnmørsheimen ungdomsheim, avd. Klatrevegen</t>
        </is>
      </c>
      <c r="D5402" s="18" t="n">
        <v>309776</v>
      </c>
      <c r="E5402" s="18" t="n">
        <v>573576</v>
      </c>
      <c r="F5402" s="18" t="n">
        <v>330044</v>
      </c>
      <c r="G5402" s="18" t="n"/>
      <c r="H5402" s="18" t="n"/>
      <c r="I5402" s="18" t="n"/>
      <c r="J5402" s="19" t="n">
        <v>0</v>
      </c>
      <c r="K5402" s="35" t="n">
        <v>0.065</v>
      </c>
    </row>
    <row r="5403">
      <c r="A5403" s="36" t="inlineStr">
        <is>
          <t>Turnustillegg vikarer</t>
        </is>
      </c>
      <c r="B5403" s="36" t="inlineStr">
        <is>
          <t>Region Midt-Norge</t>
        </is>
      </c>
      <c r="C5403" s="36" t="inlineStr">
        <is>
          <t>Sunnmørsheimen ungdomsheim, avd. Nygardsvegen</t>
        </is>
      </c>
      <c r="D5403" s="26" t="n">
        <v>472809</v>
      </c>
      <c r="E5403" s="26" t="n">
        <v>461126</v>
      </c>
      <c r="F5403" s="26" t="n">
        <v>678694</v>
      </c>
      <c r="G5403" s="26" t="n">
        <v>751052</v>
      </c>
      <c r="H5403" s="26" t="n">
        <v>902961</v>
      </c>
      <c r="I5403" s="26" t="n">
        <v>771585</v>
      </c>
      <c r="J5403" s="19" t="n">
        <v>938562.0560483012</v>
      </c>
      <c r="K5403" s="37" t="n">
        <v>0.1029088160938842</v>
      </c>
    </row>
    <row r="5404">
      <c r="A5404" s="34" t="inlineStr">
        <is>
          <t>Turnustillegg vikarer</t>
        </is>
      </c>
      <c r="B5404" s="34" t="inlineStr">
        <is>
          <t>Region Midt-Norge</t>
        </is>
      </c>
      <c r="C5404" s="34" t="inlineStr">
        <is>
          <t>TFCO Trondheim</t>
        </is>
      </c>
      <c r="D5404" s="18" t="n"/>
      <c r="E5404" s="18" t="n">
        <v>10597</v>
      </c>
      <c r="F5404" s="18" t="n">
        <v>2149</v>
      </c>
      <c r="G5404" s="18" t="n">
        <v>7121</v>
      </c>
      <c r="H5404" s="18" t="n"/>
      <c r="I5404" s="18" t="n"/>
      <c r="J5404" s="19" t="n">
        <v>0</v>
      </c>
      <c r="K5404" s="35" t="n">
        <v>0.065</v>
      </c>
    </row>
    <row r="5405">
      <c r="A5405" s="36" t="inlineStr">
        <is>
          <t>Turnustillegg vikarer</t>
        </is>
      </c>
      <c r="B5405" s="36" t="inlineStr">
        <is>
          <t>Region Midt-Norge</t>
        </is>
      </c>
      <c r="C5405" s="36" t="inlineStr">
        <is>
          <t>Trøndelag behandlingssenter for ungdom</t>
        </is>
      </c>
      <c r="D5405" s="26" t="n"/>
      <c r="E5405" s="26" t="n"/>
      <c r="F5405" s="26" t="n"/>
      <c r="G5405" s="26" t="n">
        <v>29291</v>
      </c>
      <c r="H5405" s="26" t="n">
        <v>9801</v>
      </c>
      <c r="I5405" s="26" t="n"/>
      <c r="J5405" s="19" t="n">
        <v>0</v>
      </c>
      <c r="K5405" s="37" t="n">
        <v>0.065</v>
      </c>
    </row>
    <row r="5406">
      <c r="A5406" s="34" t="inlineStr">
        <is>
          <t>Turnustillegg vikarer</t>
        </is>
      </c>
      <c r="B5406" s="34" t="inlineStr">
        <is>
          <t>Region Midt-Norge</t>
        </is>
      </c>
      <c r="C5406" s="34" t="inlineStr">
        <is>
          <t>Vikhovlia akuttsenter</t>
        </is>
      </c>
      <c r="D5406" s="18" t="n">
        <v>735489</v>
      </c>
      <c r="E5406" s="18" t="n">
        <v>751575</v>
      </c>
      <c r="F5406" s="18" t="n">
        <v>619080</v>
      </c>
      <c r="G5406" s="18" t="n">
        <v>1279685</v>
      </c>
      <c r="H5406" s="18" t="n">
        <v>806074</v>
      </c>
      <c r="I5406" s="18" t="n">
        <v>743796</v>
      </c>
      <c r="J5406" s="19" t="n">
        <v>747145.0115405549</v>
      </c>
      <c r="K5406" s="35" t="n">
        <v>0.002248768609767415</v>
      </c>
    </row>
    <row r="5407">
      <c r="A5407" s="36" t="inlineStr">
        <is>
          <t>Turnustillegg vikarer</t>
        </is>
      </c>
      <c r="B5407" s="36" t="inlineStr">
        <is>
          <t>Region Nord</t>
        </is>
      </c>
      <c r="C5407" s="36" t="inlineStr">
        <is>
          <t>Alta Ungdomssenter sjøtun</t>
        </is>
      </c>
      <c r="D5407" s="26" t="n">
        <v>458269</v>
      </c>
      <c r="E5407" s="26" t="n">
        <v>186080</v>
      </c>
      <c r="F5407" s="26" t="n">
        <v>257200</v>
      </c>
      <c r="G5407" s="26" t="n">
        <v>446465</v>
      </c>
      <c r="H5407" s="26" t="n">
        <v>607956</v>
      </c>
      <c r="I5407" s="26" t="n">
        <v>240494</v>
      </c>
      <c r="J5407" s="19" t="n">
        <v>185822.2661449543</v>
      </c>
      <c r="K5407" s="37" t="n">
        <v>-0.1209840548393002</v>
      </c>
    </row>
    <row r="5408">
      <c r="A5408" s="34" t="inlineStr">
        <is>
          <t>Turnustillegg vikarer</t>
        </is>
      </c>
      <c r="B5408" s="34" t="inlineStr">
        <is>
          <t>Region Nord</t>
        </is>
      </c>
      <c r="C5408" s="34" t="inlineStr">
        <is>
          <t>Alta Ungdomssenter utsikten</t>
        </is>
      </c>
      <c r="D5408" s="18" t="n">
        <v>8605</v>
      </c>
      <c r="E5408" s="18" t="n"/>
      <c r="F5408" s="18" t="n"/>
      <c r="G5408" s="18" t="n"/>
      <c r="H5408" s="18" t="n"/>
      <c r="I5408" s="18" t="n"/>
      <c r="J5408" s="19" t="n">
        <v>0</v>
      </c>
      <c r="K5408" s="35" t="n">
        <v>0.065</v>
      </c>
    </row>
    <row r="5409">
      <c r="A5409" s="36" t="inlineStr">
        <is>
          <t>Turnustillegg vikarer</t>
        </is>
      </c>
      <c r="B5409" s="36" t="inlineStr">
        <is>
          <t>Region Nord</t>
        </is>
      </c>
      <c r="C5409" s="36" t="inlineStr">
        <is>
          <t>Alta ungdomssenter Utsikten akutt</t>
        </is>
      </c>
      <c r="D5409" s="26" t="n"/>
      <c r="E5409" s="26" t="n"/>
      <c r="F5409" s="26" t="n"/>
      <c r="G5409" s="26" t="n"/>
      <c r="H5409" s="26" t="n">
        <v>143279</v>
      </c>
      <c r="I5409" s="26" t="n">
        <v>256892</v>
      </c>
      <c r="J5409" s="19" t="n">
        <v>291373.3287</v>
      </c>
      <c r="K5409" s="37" t="n">
        <v>0.065</v>
      </c>
    </row>
    <row r="5410">
      <c r="A5410" s="34" t="inlineStr">
        <is>
          <t>Turnustillegg vikarer</t>
        </is>
      </c>
      <c r="B5410" s="34" t="inlineStr">
        <is>
          <t>Region Nord</t>
        </is>
      </c>
      <c r="C5410" s="34" t="inlineStr">
        <is>
          <t>Alta ungdomssenter Utsikten omsorg</t>
        </is>
      </c>
      <c r="D5410" s="18" t="n">
        <v>13895</v>
      </c>
      <c r="E5410" s="18" t="n">
        <v>139253</v>
      </c>
      <c r="F5410" s="18" t="n">
        <v>414875</v>
      </c>
      <c r="G5410" s="18" t="n">
        <v>393580</v>
      </c>
      <c r="H5410" s="18" t="n">
        <v>247104</v>
      </c>
      <c r="I5410" s="18" t="n">
        <v>1182</v>
      </c>
      <c r="J5410" s="19" t="n">
        <v>664.875</v>
      </c>
      <c r="K5410" s="35" t="n">
        <v>-0.25</v>
      </c>
    </row>
    <row r="5411">
      <c r="A5411" s="36" t="inlineStr">
        <is>
          <t>Turnustillegg vikarer</t>
        </is>
      </c>
      <c r="B5411" s="36" t="inlineStr">
        <is>
          <t>Region Nord</t>
        </is>
      </c>
      <c r="C5411" s="36" t="inlineStr">
        <is>
          <t>Bodø behandlingssenter Sandhornet</t>
        </is>
      </c>
      <c r="D5411" s="26" t="n">
        <v>556779</v>
      </c>
      <c r="E5411" s="26" t="n">
        <v>503892</v>
      </c>
      <c r="F5411" s="26" t="n">
        <v>529002</v>
      </c>
      <c r="G5411" s="26" t="n">
        <v>506715</v>
      </c>
      <c r="H5411" s="26" t="n">
        <v>844512</v>
      </c>
      <c r="I5411" s="26" t="n">
        <v>607927</v>
      </c>
      <c r="J5411" s="19" t="n">
        <v>629678.5023737808</v>
      </c>
      <c r="K5411" s="37" t="n">
        <v>0.01773267278515811</v>
      </c>
    </row>
    <row r="5412">
      <c r="A5412" s="34" t="inlineStr">
        <is>
          <t>Turnustillegg vikarer</t>
        </is>
      </c>
      <c r="B5412" s="34" t="inlineStr">
        <is>
          <t>Region Nord</t>
        </is>
      </c>
      <c r="C5412" s="34" t="inlineStr">
        <is>
          <t>Lamo ungdomssenter Tunet</t>
        </is>
      </c>
      <c r="D5412" s="18" t="n">
        <v>867995</v>
      </c>
      <c r="E5412" s="18" t="n">
        <v>869509</v>
      </c>
      <c r="F5412" s="18" t="n">
        <v>334776</v>
      </c>
      <c r="G5412" s="18" t="n">
        <v>751383</v>
      </c>
      <c r="H5412" s="18" t="n">
        <v>538422</v>
      </c>
      <c r="I5412" s="18" t="n">
        <v>490775</v>
      </c>
      <c r="J5412" s="19" t="n">
        <v>390686.5993138523</v>
      </c>
      <c r="K5412" s="35" t="n">
        <v>-0.1077777658386404</v>
      </c>
    </row>
    <row r="5413">
      <c r="A5413" s="36" t="inlineStr">
        <is>
          <t>Turnustillegg vikarer</t>
        </is>
      </c>
      <c r="B5413" s="36" t="inlineStr">
        <is>
          <t>Region Nord</t>
        </is>
      </c>
      <c r="C5413" s="36" t="inlineStr">
        <is>
          <t>Nye Kvæfjord ungdomssenter Lilleheimen</t>
        </is>
      </c>
      <c r="D5413" s="26" t="n">
        <v>555713</v>
      </c>
      <c r="E5413" s="26" t="n">
        <v>569316</v>
      </c>
      <c r="F5413" s="26" t="n">
        <v>563071</v>
      </c>
      <c r="G5413" s="26" t="n">
        <v>524340</v>
      </c>
      <c r="H5413" s="26" t="n">
        <v>635070</v>
      </c>
      <c r="I5413" s="26" t="n">
        <v>443696</v>
      </c>
      <c r="J5413" s="19" t="n">
        <v>405489.3912101994</v>
      </c>
      <c r="K5413" s="37" t="n">
        <v>-0.04402399549621139</v>
      </c>
    </row>
    <row r="5414">
      <c r="A5414" s="34" t="inlineStr">
        <is>
          <t>Turnustillegg vikarer</t>
        </is>
      </c>
      <c r="B5414" s="34" t="inlineStr">
        <is>
          <t>Region Nord</t>
        </is>
      </c>
      <c r="C5414" s="34" t="inlineStr">
        <is>
          <t>Nye Kvæfjord ungdomssenter Storheimen</t>
        </is>
      </c>
      <c r="D5414" s="18" t="n">
        <v>622441</v>
      </c>
      <c r="E5414" s="18" t="n">
        <v>642023</v>
      </c>
      <c r="F5414" s="18" t="n">
        <v>514040</v>
      </c>
      <c r="G5414" s="18" t="n">
        <v>480910</v>
      </c>
      <c r="H5414" s="18" t="n">
        <v>425353</v>
      </c>
      <c r="I5414" s="18" t="n">
        <v>415191</v>
      </c>
      <c r="J5414" s="19" t="n">
        <v>353108.2190687876</v>
      </c>
      <c r="K5414" s="35" t="n">
        <v>-0.07778974385553195</v>
      </c>
    </row>
    <row r="5415">
      <c r="A5415" s="36" t="inlineStr">
        <is>
          <t>Turnustillegg vikarer</t>
        </is>
      </c>
      <c r="B5415" s="36" t="inlineStr">
        <is>
          <t>Region Nord</t>
        </is>
      </c>
      <c r="C5415" s="36" t="inlineStr">
        <is>
          <t>Røvika ungdomssenter Skogly</t>
        </is>
      </c>
      <c r="D5415" s="26" t="n">
        <v>550043</v>
      </c>
      <c r="E5415" s="26" t="n">
        <v>439511</v>
      </c>
      <c r="F5415" s="26" t="n">
        <v>421637</v>
      </c>
      <c r="G5415" s="26" t="n">
        <v>503011</v>
      </c>
      <c r="H5415" s="26" t="n">
        <v>519926</v>
      </c>
      <c r="I5415" s="26" t="n">
        <v>261110</v>
      </c>
      <c r="J5415" s="19" t="n">
        <v>193818.0633915231</v>
      </c>
      <c r="K5415" s="37" t="n">
        <v>-0.1384403076027056</v>
      </c>
    </row>
    <row r="5416">
      <c r="A5416" s="34" t="inlineStr">
        <is>
          <t>Turnustillegg vikarer</t>
        </is>
      </c>
      <c r="B5416" s="34" t="inlineStr">
        <is>
          <t>Region Nord</t>
        </is>
      </c>
      <c r="C5416" s="34" t="inlineStr">
        <is>
          <t>Røvika ungdomssenter Åsheim akutt</t>
        </is>
      </c>
      <c r="D5416" s="18" t="n"/>
      <c r="E5416" s="18" t="n"/>
      <c r="F5416" s="18" t="n"/>
      <c r="G5416" s="18" t="n"/>
      <c r="H5416" s="18" t="n">
        <v>6308</v>
      </c>
      <c r="I5416" s="18" t="n">
        <v>67070</v>
      </c>
      <c r="J5416" s="19" t="n">
        <v>76072.47074999999</v>
      </c>
      <c r="K5416" s="35" t="n">
        <v>0.065</v>
      </c>
    </row>
    <row r="5417">
      <c r="A5417" s="36" t="inlineStr">
        <is>
          <t>Turnustillegg vikarer</t>
        </is>
      </c>
      <c r="B5417" s="36" t="inlineStr">
        <is>
          <t>Region Nord</t>
        </is>
      </c>
      <c r="C5417" s="36" t="inlineStr">
        <is>
          <t>Røvika Åsheim</t>
        </is>
      </c>
      <c r="D5417" s="26" t="n">
        <v>344001</v>
      </c>
      <c r="E5417" s="26" t="n">
        <v>247961</v>
      </c>
      <c r="F5417" s="26" t="n">
        <v>258162</v>
      </c>
      <c r="G5417" s="26" t="n">
        <v>434979</v>
      </c>
      <c r="H5417" s="26" t="n">
        <v>305036</v>
      </c>
      <c r="I5417" s="26" t="n">
        <v>326</v>
      </c>
      <c r="J5417" s="19" t="n">
        <v>183.375</v>
      </c>
      <c r="K5417" s="37" t="n">
        <v>-0.25</v>
      </c>
    </row>
    <row r="5418">
      <c r="A5418" s="34" t="inlineStr">
        <is>
          <t>Turnustillegg vikarer</t>
        </is>
      </c>
      <c r="B5418" s="34" t="inlineStr">
        <is>
          <t>Region Nord</t>
        </is>
      </c>
      <c r="C5418" s="34" t="inlineStr">
        <is>
          <t>Silsand ungdomssenter avdeling 1</t>
        </is>
      </c>
      <c r="D5418" s="18" t="n">
        <v>1022956</v>
      </c>
      <c r="E5418" s="18" t="n">
        <v>617548</v>
      </c>
      <c r="F5418" s="18" t="n">
        <v>678224</v>
      </c>
      <c r="G5418" s="18" t="n">
        <v>780724</v>
      </c>
      <c r="H5418" s="18" t="n">
        <v>541250</v>
      </c>
      <c r="I5418" s="18" t="n">
        <v>1298</v>
      </c>
      <c r="J5418" s="19" t="n">
        <v>730.125</v>
      </c>
      <c r="K5418" s="35" t="n">
        <v>-0.25</v>
      </c>
    </row>
    <row r="5419">
      <c r="A5419" s="36" t="inlineStr">
        <is>
          <t>Turnustillegg vikarer</t>
        </is>
      </c>
      <c r="B5419" s="36" t="inlineStr">
        <is>
          <t>Region Nord</t>
        </is>
      </c>
      <c r="C5419" s="36" t="inlineStr">
        <is>
          <t>Silsand ungdomssenter miljøavdeling</t>
        </is>
      </c>
      <c r="D5419" s="26" t="n"/>
      <c r="E5419" s="26" t="n"/>
      <c r="F5419" s="26" t="n"/>
      <c r="G5419" s="26" t="n"/>
      <c r="H5419" s="26" t="n">
        <v>178019</v>
      </c>
      <c r="I5419" s="26" t="n">
        <v>935459</v>
      </c>
      <c r="J5419" s="19" t="n">
        <v>1061020.984275</v>
      </c>
      <c r="K5419" s="37" t="n">
        <v>0.065</v>
      </c>
    </row>
    <row r="5420">
      <c r="A5420" s="34" t="inlineStr">
        <is>
          <t>Turnustillegg vikarer</t>
        </is>
      </c>
      <c r="B5420" s="34" t="inlineStr">
        <is>
          <t>Region Nord</t>
        </is>
      </c>
      <c r="C5420" s="34" t="inlineStr">
        <is>
          <t>Sollia barne- og ungdomssenter miljøavdeling</t>
        </is>
      </c>
      <c r="D5420" s="18" t="n">
        <v>491149</v>
      </c>
      <c r="E5420" s="18" t="n">
        <v>655555</v>
      </c>
      <c r="F5420" s="18" t="n">
        <v>1029039</v>
      </c>
      <c r="G5420" s="18" t="n">
        <v>1006359</v>
      </c>
      <c r="H5420" s="18" t="n">
        <v>1259322</v>
      </c>
      <c r="I5420" s="18" t="n">
        <v>1055220</v>
      </c>
      <c r="J5420" s="19" t="n">
        <v>1432830.817836285</v>
      </c>
      <c r="K5420" s="35" t="n">
        <v>0.1652683480641757</v>
      </c>
    </row>
    <row r="5421">
      <c r="A5421" s="36" t="inlineStr">
        <is>
          <t>Turnustillegg vikarer</t>
        </is>
      </c>
      <c r="B5421" s="36" t="inlineStr">
        <is>
          <t>Region Nord</t>
        </is>
      </c>
      <c r="C5421" s="36" t="inlineStr">
        <is>
          <t>Tromsø ungdomssenter Fjære</t>
        </is>
      </c>
      <c r="D5421" s="26" t="n">
        <v>698789</v>
      </c>
      <c r="E5421" s="26" t="n">
        <v>537955</v>
      </c>
      <c r="F5421" s="26" t="n">
        <v>490463</v>
      </c>
      <c r="G5421" s="26" t="n">
        <v>586498</v>
      </c>
      <c r="H5421" s="26" t="n">
        <v>610492</v>
      </c>
      <c r="I5421" s="26" t="n">
        <v>569168</v>
      </c>
      <c r="J5421" s="19" t="n">
        <v>524322.1936733391</v>
      </c>
      <c r="K5421" s="37" t="n">
        <v>-0.04020411632287602</v>
      </c>
    </row>
    <row r="5422">
      <c r="A5422" s="34" t="inlineStr">
        <is>
          <t>Turnustillegg vikarer</t>
        </is>
      </c>
      <c r="B5422" s="34" t="inlineStr">
        <is>
          <t>Region Nord</t>
        </is>
      </c>
      <c r="C5422" s="34" t="inlineStr">
        <is>
          <t>Tromsø ungdomssenter Flo</t>
        </is>
      </c>
      <c r="D5422" s="18" t="n">
        <v>556891</v>
      </c>
      <c r="E5422" s="18" t="n">
        <v>511213</v>
      </c>
      <c r="F5422" s="18" t="n">
        <v>521373</v>
      </c>
      <c r="G5422" s="18" t="n">
        <v>577959</v>
      </c>
      <c r="H5422" s="18" t="n">
        <v>549465</v>
      </c>
      <c r="I5422" s="18" t="n">
        <v>527316</v>
      </c>
      <c r="J5422" s="19" t="n">
        <v>515930.5550758531</v>
      </c>
      <c r="K5422" s="35" t="n">
        <v>-0.01085456742915092</v>
      </c>
    </row>
    <row r="5423">
      <c r="A5423" s="36" t="inlineStr">
        <is>
          <t>Turnustillegg vikarer</t>
        </is>
      </c>
      <c r="B5423" s="36" t="inlineStr">
        <is>
          <t>Region Nord</t>
        </is>
      </c>
      <c r="C5423" s="36" t="inlineStr">
        <is>
          <t>Vadsø ungdomssenter avdeling 1</t>
        </is>
      </c>
      <c r="D5423" s="26" t="n">
        <v>162593</v>
      </c>
      <c r="E5423" s="26" t="n"/>
      <c r="F5423" s="26" t="n"/>
      <c r="G5423" s="26" t="n"/>
      <c r="H5423" s="26" t="n"/>
      <c r="I5423" s="26" t="n"/>
      <c r="J5423" s="19" t="n">
        <v>0</v>
      </c>
      <c r="K5423" s="37" t="n">
        <v>0.065</v>
      </c>
    </row>
    <row r="5424">
      <c r="A5424" s="34" t="inlineStr">
        <is>
          <t>Turnustillegg vikarer</t>
        </is>
      </c>
      <c r="B5424" s="34" t="inlineStr">
        <is>
          <t>Region Nord</t>
        </is>
      </c>
      <c r="C5424" s="34" t="inlineStr">
        <is>
          <t>Yttrabekken ungdomssenter avdeling 1</t>
        </is>
      </c>
      <c r="D5424" s="18" t="n">
        <v>603780</v>
      </c>
      <c r="E5424" s="18" t="n">
        <v>860646</v>
      </c>
      <c r="F5424" s="18" t="n">
        <v>517276</v>
      </c>
      <c r="G5424" s="18" t="n">
        <v>605793</v>
      </c>
      <c r="H5424" s="18" t="n">
        <v>487612</v>
      </c>
      <c r="I5424" s="18" t="n">
        <v>578695</v>
      </c>
      <c r="J5424" s="19" t="n">
        <v>568955.2809101389</v>
      </c>
      <c r="K5424" s="35" t="n">
        <v>-0.008450953163594233</v>
      </c>
    </row>
    <row r="5425">
      <c r="A5425" s="36" t="inlineStr">
        <is>
          <t>Turnustillegg vikarer</t>
        </is>
      </c>
      <c r="B5425" s="36" t="inlineStr">
        <is>
          <t>Region Sør</t>
        </is>
      </c>
      <c r="C5425" s="36" t="inlineStr">
        <is>
          <t>Avdeling Barkåker</t>
        </is>
      </c>
      <c r="D5425" s="26" t="n">
        <v>1126852</v>
      </c>
      <c r="E5425" s="26" t="n">
        <v>8730</v>
      </c>
      <c r="F5425" s="26" t="n"/>
      <c r="G5425" s="26" t="n"/>
      <c r="H5425" s="26" t="n"/>
      <c r="I5425" s="26" t="n"/>
      <c r="J5425" s="19" t="n">
        <v>0</v>
      </c>
      <c r="K5425" s="37" t="n">
        <v>0.065</v>
      </c>
    </row>
    <row r="5426">
      <c r="A5426" s="34" t="inlineStr">
        <is>
          <t>Turnustillegg vikarer</t>
        </is>
      </c>
      <c r="B5426" s="34" t="inlineStr">
        <is>
          <t>Region Sør</t>
        </is>
      </c>
      <c r="C5426" s="34" t="inlineStr">
        <is>
          <t>Avdeling Furuly</t>
        </is>
      </c>
      <c r="D5426" s="18" t="n">
        <v>948796</v>
      </c>
      <c r="E5426" s="18" t="n">
        <v>920543</v>
      </c>
      <c r="F5426" s="18" t="n"/>
      <c r="G5426" s="18" t="n"/>
      <c r="H5426" s="18" t="n"/>
      <c r="I5426" s="18" t="n"/>
      <c r="J5426" s="19" t="n">
        <v>0</v>
      </c>
      <c r="K5426" s="35" t="n">
        <v>0.065</v>
      </c>
    </row>
    <row r="5427">
      <c r="A5427" s="36" t="inlineStr">
        <is>
          <t>Turnustillegg vikarer</t>
        </is>
      </c>
      <c r="B5427" s="36" t="inlineStr">
        <is>
          <t>Region Sør</t>
        </is>
      </c>
      <c r="C5427" s="36" t="inlineStr">
        <is>
          <t>Avdeling Geithus</t>
        </is>
      </c>
      <c r="D5427" s="26" t="n">
        <v>744153</v>
      </c>
      <c r="E5427" s="26" t="n">
        <v>337798</v>
      </c>
      <c r="F5427" s="26" t="n">
        <v>313949</v>
      </c>
      <c r="G5427" s="26" t="n">
        <v>-19364</v>
      </c>
      <c r="H5427" s="26" t="n"/>
      <c r="I5427" s="26" t="n"/>
      <c r="J5427" s="19" t="n">
        <v>0</v>
      </c>
      <c r="K5427" s="37" t="n">
        <v>0.065</v>
      </c>
    </row>
    <row r="5428">
      <c r="A5428" s="34" t="inlineStr">
        <is>
          <t>Turnustillegg vikarer</t>
        </is>
      </c>
      <c r="B5428" s="34" t="inlineStr">
        <is>
          <t>Region Sør</t>
        </is>
      </c>
      <c r="C5428" s="34" t="inlineStr">
        <is>
          <t>Avdeling Gemini</t>
        </is>
      </c>
      <c r="D5428" s="18" t="n">
        <v>568802</v>
      </c>
      <c r="E5428" s="18" t="n">
        <v>560824</v>
      </c>
      <c r="F5428" s="18" t="n">
        <v>18075</v>
      </c>
      <c r="G5428" s="18" t="n"/>
      <c r="H5428" s="18" t="n"/>
      <c r="I5428" s="18" t="n"/>
      <c r="J5428" s="19" t="n">
        <v>0</v>
      </c>
      <c r="K5428" s="35" t="n">
        <v>0.065</v>
      </c>
    </row>
    <row r="5429">
      <c r="A5429" s="36" t="inlineStr">
        <is>
          <t>Turnustillegg vikarer</t>
        </is>
      </c>
      <c r="B5429" s="36" t="inlineStr">
        <is>
          <t>Region Sør</t>
        </is>
      </c>
      <c r="C5429" s="36" t="inlineStr">
        <is>
          <t>Avdeling Kjørbekk</t>
        </is>
      </c>
      <c r="D5429" s="26" t="n">
        <v>398951</v>
      </c>
      <c r="E5429" s="26" t="n">
        <v>276514</v>
      </c>
      <c r="F5429" s="26" t="n">
        <v>423311</v>
      </c>
      <c r="G5429" s="26" t="n">
        <v>531022</v>
      </c>
      <c r="H5429" s="26" t="n">
        <v>697175</v>
      </c>
      <c r="I5429" s="26" t="n">
        <v>748885</v>
      </c>
      <c r="J5429" s="19" t="n">
        <v>963414.905860486</v>
      </c>
      <c r="K5429" s="37" t="n">
        <v>0.1342247367993781</v>
      </c>
    </row>
    <row r="5430">
      <c r="A5430" s="34" t="inlineStr">
        <is>
          <t>Turnustillegg vikarer</t>
        </is>
      </c>
      <c r="B5430" s="34" t="inlineStr">
        <is>
          <t>Region Sør</t>
        </is>
      </c>
      <c r="C5430" s="34" t="inlineStr">
        <is>
          <t>Avdeling Larønningen</t>
        </is>
      </c>
      <c r="D5430" s="18" t="n">
        <v>381580</v>
      </c>
      <c r="E5430" s="18" t="n">
        <v>257122</v>
      </c>
      <c r="F5430" s="18" t="n"/>
      <c r="G5430" s="18" t="n"/>
      <c r="H5430" s="18" t="n"/>
      <c r="I5430" s="18" t="n"/>
      <c r="J5430" s="19" t="n">
        <v>0</v>
      </c>
      <c r="K5430" s="35" t="n">
        <v>0.065</v>
      </c>
    </row>
    <row r="5431">
      <c r="A5431" s="36" t="inlineStr">
        <is>
          <t>Turnustillegg vikarer</t>
        </is>
      </c>
      <c r="B5431" s="36" t="inlineStr">
        <is>
          <t>Region Sør</t>
        </is>
      </c>
      <c r="C5431" s="36" t="inlineStr">
        <is>
          <t>Avdeling Miljøheimen</t>
        </is>
      </c>
      <c r="D5431" s="26" t="n">
        <v>453802</v>
      </c>
      <c r="E5431" s="26" t="n">
        <v>393641</v>
      </c>
      <c r="F5431" s="26" t="n">
        <v>456929</v>
      </c>
      <c r="G5431" s="26" t="n">
        <v>618688</v>
      </c>
      <c r="H5431" s="26" t="n">
        <v>651304</v>
      </c>
      <c r="I5431" s="26" t="n">
        <v>665317</v>
      </c>
      <c r="J5431" s="19" t="n">
        <v>775342.3505816136</v>
      </c>
      <c r="K5431" s="37" t="n">
        <v>0.07952435042146844</v>
      </c>
    </row>
    <row r="5432">
      <c r="A5432" s="34" t="inlineStr">
        <is>
          <t>Turnustillegg vikarer</t>
        </is>
      </c>
      <c r="B5432" s="34" t="inlineStr">
        <is>
          <t>Region Sør</t>
        </is>
      </c>
      <c r="C5432" s="34" t="inlineStr">
        <is>
          <t>Avdeling Nes</t>
        </is>
      </c>
      <c r="D5432" s="18" t="n">
        <v>623977</v>
      </c>
      <c r="E5432" s="18" t="n">
        <v>619626</v>
      </c>
      <c r="F5432" s="18" t="n">
        <v>770326</v>
      </c>
      <c r="G5432" s="18" t="n">
        <v>855534</v>
      </c>
      <c r="H5432" s="18" t="n">
        <v>824617</v>
      </c>
      <c r="I5432" s="18" t="n">
        <v>1127890</v>
      </c>
      <c r="J5432" s="19" t="n">
        <v>1429242.79627071</v>
      </c>
      <c r="K5432" s="35" t="n">
        <v>0.1256921379052929</v>
      </c>
    </row>
    <row r="5433">
      <c r="A5433" s="36" t="inlineStr">
        <is>
          <t>Turnustillegg vikarer</t>
        </is>
      </c>
      <c r="B5433" s="36" t="inlineStr">
        <is>
          <t>Region Sør</t>
        </is>
      </c>
      <c r="C5433" s="36" t="inlineStr">
        <is>
          <t>Avdeling Nyli</t>
        </is>
      </c>
      <c r="D5433" s="26" t="n">
        <v>847366</v>
      </c>
      <c r="E5433" s="26" t="n">
        <v>323773</v>
      </c>
      <c r="F5433" s="26" t="n"/>
      <c r="G5433" s="26" t="n"/>
      <c r="H5433" s="26" t="n"/>
      <c r="I5433" s="26" t="n"/>
      <c r="J5433" s="19" t="n">
        <v>0</v>
      </c>
      <c r="K5433" s="37" t="n">
        <v>0.065</v>
      </c>
    </row>
    <row r="5434">
      <c r="A5434" s="34" t="inlineStr">
        <is>
          <t>Turnustillegg vikarer</t>
        </is>
      </c>
      <c r="B5434" s="34" t="inlineStr">
        <is>
          <t>Region Sør</t>
        </is>
      </c>
      <c r="C5434" s="34" t="inlineStr">
        <is>
          <t>Avdeling Orion</t>
        </is>
      </c>
      <c r="D5434" s="18" t="n">
        <v>562665</v>
      </c>
      <c r="E5434" s="18" t="n">
        <v>414171</v>
      </c>
      <c r="F5434" s="18" t="n">
        <v>79631</v>
      </c>
      <c r="G5434" s="18" t="n"/>
      <c r="H5434" s="18" t="n"/>
      <c r="I5434" s="18" t="n"/>
      <c r="J5434" s="19" t="n">
        <v>0</v>
      </c>
      <c r="K5434" s="35" t="n">
        <v>0.065</v>
      </c>
    </row>
    <row r="5435">
      <c r="A5435" s="36" t="inlineStr">
        <is>
          <t>Turnustillegg vikarer</t>
        </is>
      </c>
      <c r="B5435" s="36" t="inlineStr">
        <is>
          <t>Region Sør</t>
        </is>
      </c>
      <c r="C5435" s="36" t="inlineStr">
        <is>
          <t>Avdeling Skomrak</t>
        </is>
      </c>
      <c r="D5435" s="26" t="n">
        <v>696886</v>
      </c>
      <c r="E5435" s="26" t="n">
        <v>435030</v>
      </c>
      <c r="F5435" s="26" t="n">
        <v>507879</v>
      </c>
      <c r="G5435" s="26" t="n">
        <v>901647</v>
      </c>
      <c r="H5435" s="26" t="n">
        <v>785862</v>
      </c>
      <c r="I5435" s="26" t="n">
        <v>631984</v>
      </c>
      <c r="J5435" s="19" t="n">
        <v>607748.3951846595</v>
      </c>
      <c r="K5435" s="37" t="n">
        <v>-0.01936166035606934</v>
      </c>
    </row>
    <row r="5436">
      <c r="A5436" s="34" t="inlineStr">
        <is>
          <t>Turnustillegg vikarer</t>
        </is>
      </c>
      <c r="B5436" s="34" t="inlineStr">
        <is>
          <t>Region Sør</t>
        </is>
      </c>
      <c r="C5436" s="34" t="inlineStr">
        <is>
          <t>Avdeling Vestre Kjenner</t>
        </is>
      </c>
      <c r="D5436" s="18" t="n">
        <v>265267</v>
      </c>
      <c r="E5436" s="18" t="n">
        <v>394362</v>
      </c>
      <c r="F5436" s="18" t="n">
        <v>105334</v>
      </c>
      <c r="G5436" s="18" t="n"/>
      <c r="H5436" s="18" t="n"/>
      <c r="I5436" s="18" t="n"/>
      <c r="J5436" s="19" t="n">
        <v>0</v>
      </c>
      <c r="K5436" s="35" t="n">
        <v>0.065</v>
      </c>
    </row>
    <row r="5437">
      <c r="A5437" s="36" t="inlineStr">
        <is>
          <t>Turnustillegg vikarer</t>
        </is>
      </c>
      <c r="B5437" s="36" t="inlineStr">
        <is>
          <t>Region Sør</t>
        </is>
      </c>
      <c r="C5437" s="36" t="inlineStr">
        <is>
          <t>Barkåker.</t>
        </is>
      </c>
      <c r="D5437" s="26" t="n"/>
      <c r="E5437" s="26" t="n">
        <v>913161</v>
      </c>
      <c r="F5437" s="26" t="n">
        <v>1404769</v>
      </c>
      <c r="G5437" s="26" t="n">
        <v>1714224</v>
      </c>
      <c r="H5437" s="26" t="n">
        <v>1160627</v>
      </c>
      <c r="I5437" s="26" t="n">
        <v>579133</v>
      </c>
      <c r="J5437" s="19" t="n">
        <v>461204.7709508739</v>
      </c>
      <c r="K5437" s="37" t="n">
        <v>-0.1076037443908301</v>
      </c>
    </row>
    <row r="5438">
      <c r="A5438" s="34" t="inlineStr">
        <is>
          <t>Turnustillegg vikarer</t>
        </is>
      </c>
      <c r="B5438" s="34" t="inlineStr">
        <is>
          <t>Region Sør</t>
        </is>
      </c>
      <c r="C5438" s="34" t="inlineStr">
        <is>
          <t>Furuly</t>
        </is>
      </c>
      <c r="D5438" s="18" t="n"/>
      <c r="E5438" s="18" t="n"/>
      <c r="F5438" s="18" t="n">
        <v>766687</v>
      </c>
      <c r="G5438" s="18" t="n">
        <v>1078991</v>
      </c>
      <c r="H5438" s="18" t="n">
        <v>1611623</v>
      </c>
      <c r="I5438" s="18" t="n">
        <v>1189145</v>
      </c>
      <c r="J5438" s="19" t="n">
        <v>1348757.987625</v>
      </c>
      <c r="K5438" s="35" t="n">
        <v>0.065</v>
      </c>
    </row>
    <row r="5439">
      <c r="A5439" s="36" t="inlineStr">
        <is>
          <t>Turnustillegg vikarer</t>
        </is>
      </c>
      <c r="B5439" s="36" t="inlineStr">
        <is>
          <t>Region Sør</t>
        </is>
      </c>
      <c r="C5439" s="36" t="inlineStr">
        <is>
          <t>Ilaug</t>
        </is>
      </c>
      <c r="D5439" s="26" t="n">
        <v>844501</v>
      </c>
      <c r="E5439" s="26" t="n">
        <v>476009</v>
      </c>
      <c r="F5439" s="26" t="n"/>
      <c r="G5439" s="26" t="n"/>
      <c r="H5439" s="26" t="n"/>
      <c r="I5439" s="26" t="n"/>
      <c r="J5439" s="19" t="n">
        <v>0</v>
      </c>
      <c r="K5439" s="37" t="n">
        <v>0.065</v>
      </c>
    </row>
    <row r="5440">
      <c r="A5440" s="34" t="inlineStr">
        <is>
          <t>Turnustillegg vikarer</t>
        </is>
      </c>
      <c r="B5440" s="34" t="inlineStr">
        <is>
          <t>Region Sør</t>
        </is>
      </c>
      <c r="C5440" s="34" t="inlineStr">
        <is>
          <t>Justøya</t>
        </is>
      </c>
      <c r="D5440" s="18" t="n"/>
      <c r="E5440" s="18" t="n"/>
      <c r="F5440" s="18" t="n"/>
      <c r="G5440" s="18" t="n"/>
      <c r="H5440" s="18" t="n"/>
      <c r="I5440" s="18" t="n">
        <v>61812</v>
      </c>
      <c r="J5440" s="19" t="n">
        <v>70108.71569999999</v>
      </c>
      <c r="K5440" s="35" t="n">
        <v>0.065</v>
      </c>
    </row>
    <row r="5441">
      <c r="A5441" s="36" t="inlineStr">
        <is>
          <t>Turnustillegg vikarer</t>
        </is>
      </c>
      <c r="B5441" s="36" t="inlineStr">
        <is>
          <t>Region Sør</t>
        </is>
      </c>
      <c r="C5441" s="36" t="inlineStr">
        <is>
          <t>Kantum</t>
        </is>
      </c>
      <c r="D5441" s="26" t="n">
        <v>238158</v>
      </c>
      <c r="E5441" s="26" t="n">
        <v>228975</v>
      </c>
      <c r="F5441" s="26" t="n">
        <v>187488</v>
      </c>
      <c r="G5441" s="26" t="n">
        <v>292283</v>
      </c>
      <c r="H5441" s="26" t="n">
        <v>336260</v>
      </c>
      <c r="I5441" s="26" t="n">
        <v>328011</v>
      </c>
      <c r="J5441" s="19" t="n">
        <v>372818.7119636925</v>
      </c>
      <c r="K5441" s="37" t="n">
        <v>0.06611645550400791</v>
      </c>
    </row>
    <row r="5442">
      <c r="A5442" s="34" t="inlineStr">
        <is>
          <t>Turnustillegg vikarer</t>
        </is>
      </c>
      <c r="B5442" s="34" t="inlineStr">
        <is>
          <t>Region Sør</t>
        </is>
      </c>
      <c r="C5442" s="34" t="inlineStr">
        <is>
          <t>Katfoss</t>
        </is>
      </c>
      <c r="D5442" s="18" t="n"/>
      <c r="E5442" s="18" t="n"/>
      <c r="F5442" s="18" t="n"/>
      <c r="G5442" s="18" t="n"/>
      <c r="H5442" s="18" t="n">
        <v>75934</v>
      </c>
      <c r="I5442" s="18" t="n">
        <v>591853</v>
      </c>
      <c r="J5442" s="19" t="n">
        <v>671294.4689249999</v>
      </c>
      <c r="K5442" s="35" t="n">
        <v>0.065</v>
      </c>
    </row>
    <row r="5443">
      <c r="A5443" s="36" t="inlineStr">
        <is>
          <t>Turnustillegg vikarer</t>
        </is>
      </c>
      <c r="B5443" s="36" t="inlineStr">
        <is>
          <t>Region Sør</t>
        </is>
      </c>
      <c r="C5443" s="36" t="inlineStr">
        <is>
          <t>Klokkerhuset</t>
        </is>
      </c>
      <c r="D5443" s="26" t="n">
        <v>701067</v>
      </c>
      <c r="E5443" s="26" t="n">
        <v>511699</v>
      </c>
      <c r="F5443" s="26" t="n">
        <v>864934</v>
      </c>
      <c r="G5443" s="26" t="n">
        <v>1077860</v>
      </c>
      <c r="H5443" s="26" t="n">
        <v>1271101</v>
      </c>
      <c r="I5443" s="26" t="n">
        <v>1457208</v>
      </c>
      <c r="J5443" s="19" t="n">
        <v>1952658.76684793</v>
      </c>
      <c r="K5443" s="37" t="n">
        <v>0.1575837041653199</v>
      </c>
    </row>
    <row r="5444">
      <c r="A5444" s="34" t="inlineStr">
        <is>
          <t>Turnustillegg vikarer</t>
        </is>
      </c>
      <c r="B5444" s="34" t="inlineStr">
        <is>
          <t>Region Sør</t>
        </is>
      </c>
      <c r="C5444" s="34" t="inlineStr">
        <is>
          <t>Knuten</t>
        </is>
      </c>
      <c r="D5444" s="18" t="n"/>
      <c r="E5444" s="18" t="n"/>
      <c r="F5444" s="18" t="n">
        <v>342044</v>
      </c>
      <c r="G5444" s="18" t="n">
        <v>374849</v>
      </c>
      <c r="H5444" s="18" t="n">
        <v>295885</v>
      </c>
      <c r="I5444" s="18" t="n">
        <v>453054</v>
      </c>
      <c r="J5444" s="19" t="n">
        <v>513865.1731499999</v>
      </c>
      <c r="K5444" s="35" t="n">
        <v>0.065</v>
      </c>
    </row>
    <row r="5445">
      <c r="A5445" s="36" t="inlineStr">
        <is>
          <t>Turnustillegg vikarer</t>
        </is>
      </c>
      <c r="B5445" s="36" t="inlineStr">
        <is>
          <t>Region Sør</t>
        </is>
      </c>
      <c r="C5445" s="36" t="inlineStr">
        <is>
          <t>Lerketoppen</t>
        </is>
      </c>
      <c r="D5445" s="26" t="n"/>
      <c r="E5445" s="26" t="n"/>
      <c r="F5445" s="26" t="n"/>
      <c r="G5445" s="26" t="n"/>
      <c r="H5445" s="26" t="n">
        <v>12994</v>
      </c>
      <c r="I5445" s="26" t="n">
        <v>606630</v>
      </c>
      <c r="J5445" s="19" t="n">
        <v>688054.9117499999</v>
      </c>
      <c r="K5445" s="37" t="n">
        <v>0.065</v>
      </c>
    </row>
    <row r="5446">
      <c r="A5446" s="34" t="inlineStr">
        <is>
          <t>Turnustillegg vikarer</t>
        </is>
      </c>
      <c r="B5446" s="34" t="inlineStr">
        <is>
          <t>Region Sør</t>
        </is>
      </c>
      <c r="C5446" s="34" t="inlineStr">
        <is>
          <t>Lunde behandlingssenter</t>
        </is>
      </c>
      <c r="D5446" s="18" t="n">
        <v>510786</v>
      </c>
      <c r="E5446" s="18" t="n">
        <v>290278</v>
      </c>
      <c r="F5446" s="18" t="n">
        <v>419754</v>
      </c>
      <c r="G5446" s="18" t="n">
        <v>502967</v>
      </c>
      <c r="H5446" s="18" t="n">
        <v>684397</v>
      </c>
      <c r="I5446" s="18" t="n">
        <v>1094722</v>
      </c>
      <c r="J5446" s="19" t="n">
        <v>1485011.408822635</v>
      </c>
      <c r="K5446" s="35" t="n">
        <v>0.1646970410394066</v>
      </c>
    </row>
    <row r="5447">
      <c r="A5447" s="36" t="inlineStr">
        <is>
          <t>Turnustillegg vikarer</t>
        </is>
      </c>
      <c r="B5447" s="36" t="inlineStr">
        <is>
          <t>Region Sør</t>
        </is>
      </c>
      <c r="C5447" s="36" t="inlineStr">
        <is>
          <t>Mynten</t>
        </is>
      </c>
      <c r="D5447" s="26" t="n"/>
      <c r="E5447" s="26" t="n"/>
      <c r="F5447" s="26" t="n">
        <v>498714</v>
      </c>
      <c r="G5447" s="26" t="n">
        <v>378590</v>
      </c>
      <c r="H5447" s="26" t="n">
        <v>345815</v>
      </c>
      <c r="I5447" s="26" t="n">
        <v>661870</v>
      </c>
      <c r="J5447" s="19" t="n">
        <v>750709.5007499999</v>
      </c>
      <c r="K5447" s="37" t="n">
        <v>0.065</v>
      </c>
    </row>
    <row r="5448">
      <c r="A5448" s="34" t="inlineStr">
        <is>
          <t>Turnustillegg vikarer</t>
        </is>
      </c>
      <c r="B5448" s="34" t="inlineStr">
        <is>
          <t>Region Sør</t>
        </is>
      </c>
      <c r="C5448" s="34" t="inlineStr">
        <is>
          <t>Nye Toppen</t>
        </is>
      </c>
      <c r="D5448" s="18" t="n">
        <v>546508</v>
      </c>
      <c r="E5448" s="18" t="n">
        <v>439944</v>
      </c>
      <c r="F5448" s="18" t="n">
        <v>296204</v>
      </c>
      <c r="G5448" s="18" t="n">
        <v>540738</v>
      </c>
      <c r="H5448" s="18" t="n">
        <v>1065378</v>
      </c>
      <c r="I5448" s="18" t="n">
        <v>1158683</v>
      </c>
      <c r="J5448" s="19" t="n">
        <v>1564991.127368984</v>
      </c>
      <c r="K5448" s="35" t="n">
        <v>0.1621806018508953</v>
      </c>
    </row>
    <row r="5449">
      <c r="A5449" s="36" t="inlineStr">
        <is>
          <t>Turnustillegg vikarer</t>
        </is>
      </c>
      <c r="B5449" s="36" t="inlineStr">
        <is>
          <t>Region Sør</t>
        </is>
      </c>
      <c r="C5449" s="36" t="inlineStr">
        <is>
          <t>Nyhuset</t>
        </is>
      </c>
      <c r="D5449" s="26" t="n"/>
      <c r="E5449" s="26" t="n"/>
      <c r="F5449" s="26" t="n"/>
      <c r="G5449" s="26" t="n">
        <v>606668</v>
      </c>
      <c r="H5449" s="26" t="n">
        <v>745119</v>
      </c>
      <c r="I5449" s="26" t="n">
        <v>678921</v>
      </c>
      <c r="J5449" s="19" t="n">
        <v>770049.1712249998</v>
      </c>
      <c r="K5449" s="37" t="n">
        <v>0.065</v>
      </c>
    </row>
    <row r="5450">
      <c r="A5450" s="34" t="inlineStr">
        <is>
          <t>Turnustillegg vikarer</t>
        </is>
      </c>
      <c r="B5450" s="34" t="inlineStr">
        <is>
          <t>Region Sør</t>
        </is>
      </c>
      <c r="C5450" s="34" t="inlineStr">
        <is>
          <t>Skjerfheimkollektivet</t>
        </is>
      </c>
      <c r="D5450" s="18" t="n">
        <v>120773</v>
      </c>
      <c r="E5450" s="18" t="n">
        <v>6734</v>
      </c>
      <c r="F5450" s="18" t="n">
        <v>315731</v>
      </c>
      <c r="G5450" s="18" t="n">
        <v>91475</v>
      </c>
      <c r="H5450" s="18" t="n"/>
      <c r="I5450" s="18" t="n"/>
      <c r="J5450" s="19" t="n">
        <v>0</v>
      </c>
      <c r="K5450" s="35" t="n">
        <v>0.065</v>
      </c>
    </row>
    <row r="5451">
      <c r="A5451" s="36" t="inlineStr">
        <is>
          <t>Turnustillegg vikarer</t>
        </is>
      </c>
      <c r="B5451" s="36" t="inlineStr">
        <is>
          <t>Region Sør</t>
        </is>
      </c>
      <c r="C5451" s="36" t="inlineStr">
        <is>
          <t>St.Hansgården</t>
        </is>
      </c>
      <c r="D5451" s="26" t="n">
        <v>920288</v>
      </c>
      <c r="E5451" s="26" t="n">
        <v>564434</v>
      </c>
      <c r="F5451" s="26" t="n">
        <v>694760</v>
      </c>
      <c r="G5451" s="26" t="n">
        <v>1049640</v>
      </c>
      <c r="H5451" s="26" t="n">
        <v>1303276</v>
      </c>
      <c r="I5451" s="26" t="n">
        <v>1234836</v>
      </c>
      <c r="J5451" s="19" t="n">
        <v>1388940.019890043</v>
      </c>
      <c r="K5451" s="37" t="n">
        <v>0.06056454549486068</v>
      </c>
    </row>
    <row r="5452">
      <c r="A5452" s="34" t="inlineStr">
        <is>
          <t>Turnustillegg vikarer</t>
        </is>
      </c>
      <c r="B5452" s="34" t="inlineStr">
        <is>
          <t>Region Sør</t>
        </is>
      </c>
      <c r="C5452" s="34" t="inlineStr">
        <is>
          <t>Stokke barnesenter</t>
        </is>
      </c>
      <c r="D5452" s="18" t="n"/>
      <c r="E5452" s="18" t="n"/>
      <c r="F5452" s="18" t="n"/>
      <c r="G5452" s="18" t="n"/>
      <c r="H5452" s="18" t="n"/>
      <c r="I5452" s="18" t="n">
        <v>1780</v>
      </c>
      <c r="J5452" s="19" t="n">
        <v>2018.9205</v>
      </c>
      <c r="K5452" s="35" t="n">
        <v>0.065</v>
      </c>
    </row>
    <row r="5453">
      <c r="A5453" s="36" t="inlineStr">
        <is>
          <t>Turnustillegg vikarer</t>
        </is>
      </c>
      <c r="B5453" s="36" t="inlineStr">
        <is>
          <t>Region Sør</t>
        </is>
      </c>
      <c r="C5453" s="36" t="inlineStr">
        <is>
          <t>Sundstedtråkka</t>
        </is>
      </c>
      <c r="D5453" s="26" t="n">
        <v>820544</v>
      </c>
      <c r="E5453" s="26" t="n">
        <v>532352</v>
      </c>
      <c r="F5453" s="26" t="n">
        <v>748805</v>
      </c>
      <c r="G5453" s="26" t="n">
        <v>793994</v>
      </c>
      <c r="H5453" s="26" t="n">
        <v>705548</v>
      </c>
      <c r="I5453" s="26" t="n">
        <v>699385</v>
      </c>
      <c r="J5453" s="19" t="n">
        <v>656087.9922331151</v>
      </c>
      <c r="K5453" s="37" t="n">
        <v>-0.03144812125868601</v>
      </c>
    </row>
    <row r="5454">
      <c r="A5454" s="34" t="inlineStr">
        <is>
          <t>Turnustillegg vikarer</t>
        </is>
      </c>
      <c r="B5454" s="34" t="inlineStr">
        <is>
          <t>Region Sør</t>
        </is>
      </c>
      <c r="C5454" s="34" t="inlineStr">
        <is>
          <t>Svenner</t>
        </is>
      </c>
      <c r="D5454" s="18" t="n"/>
      <c r="E5454" s="18" t="n">
        <v>14868</v>
      </c>
      <c r="F5454" s="18" t="n">
        <v>381312</v>
      </c>
      <c r="G5454" s="18" t="n">
        <v>535235</v>
      </c>
      <c r="H5454" s="18" t="n">
        <v>538751</v>
      </c>
      <c r="I5454" s="18" t="n">
        <v>659562</v>
      </c>
      <c r="J5454" s="19" t="n">
        <v>1030565.625</v>
      </c>
      <c r="K5454" s="35" t="n">
        <v>0.25</v>
      </c>
    </row>
    <row r="5455">
      <c r="A5455" s="36" t="inlineStr">
        <is>
          <t>Turnustillegg vikarer</t>
        </is>
      </c>
      <c r="B5455" s="36" t="inlineStr">
        <is>
          <t>Region Sør</t>
        </is>
      </c>
      <c r="C5455" s="36" t="inlineStr">
        <is>
          <t>Thorøya</t>
        </is>
      </c>
      <c r="D5455" s="26" t="n">
        <v>590756</v>
      </c>
      <c r="E5455" s="26" t="n">
        <v>670645</v>
      </c>
      <c r="F5455" s="26" t="n">
        <v>629661</v>
      </c>
      <c r="G5455" s="26" t="n">
        <v>631996</v>
      </c>
      <c r="H5455" s="26" t="n">
        <v>989883</v>
      </c>
      <c r="I5455" s="26" t="n">
        <v>893248</v>
      </c>
      <c r="J5455" s="19" t="n">
        <v>1053895.662222224</v>
      </c>
      <c r="K5455" s="37" t="n">
        <v>0.08620746269693025</v>
      </c>
    </row>
    <row r="5456">
      <c r="A5456" s="34" t="inlineStr">
        <is>
          <t>Turnustillegg vikarer</t>
        </is>
      </c>
      <c r="B5456" s="34" t="inlineStr">
        <is>
          <t>Region Sør</t>
        </is>
      </c>
      <c r="C5456" s="34" t="inlineStr">
        <is>
          <t>Ulabrand</t>
        </is>
      </c>
      <c r="D5456" s="18" t="n"/>
      <c r="E5456" s="18" t="n">
        <v>9575</v>
      </c>
      <c r="F5456" s="18" t="n">
        <v>314014</v>
      </c>
      <c r="G5456" s="18" t="n">
        <v>513082</v>
      </c>
      <c r="H5456" s="18" t="n">
        <v>617066</v>
      </c>
      <c r="I5456" s="18" t="n">
        <v>765640</v>
      </c>
      <c r="J5456" s="19" t="n">
        <v>1196312.5</v>
      </c>
      <c r="K5456" s="35" t="n">
        <v>0.25</v>
      </c>
    </row>
    <row r="5457">
      <c r="A5457" s="36" t="inlineStr">
        <is>
          <t>Turnustillegg vikarer</t>
        </is>
      </c>
      <c r="B5457" s="36" t="inlineStr">
        <is>
          <t>Region Vest</t>
        </is>
      </c>
      <c r="C5457" s="36" t="inlineStr">
        <is>
          <t>Bergen Akutts. avd. Nattland</t>
        </is>
      </c>
      <c r="D5457" s="26" t="n">
        <v>452265</v>
      </c>
      <c r="E5457" s="26" t="n">
        <v>467422</v>
      </c>
      <c r="F5457" s="26" t="n">
        <v>402079</v>
      </c>
      <c r="G5457" s="26" t="n">
        <v>365063</v>
      </c>
      <c r="H5457" s="26" t="n">
        <v>413405</v>
      </c>
      <c r="I5457" s="26" t="n">
        <v>216968</v>
      </c>
      <c r="J5457" s="19" t="n">
        <v>161732.3020003096</v>
      </c>
      <c r="K5457" s="37" t="n">
        <v>-0.1366228685192116</v>
      </c>
    </row>
    <row r="5458">
      <c r="A5458" s="34" t="inlineStr">
        <is>
          <t>Turnustillegg vikarer</t>
        </is>
      </c>
      <c r="B5458" s="34" t="inlineStr">
        <is>
          <t>Region Vest</t>
        </is>
      </c>
      <c r="C5458" s="34" t="inlineStr">
        <is>
          <t>Bergen Akutts. avd. Toppe</t>
        </is>
      </c>
      <c r="D5458" s="18" t="n">
        <v>446832</v>
      </c>
      <c r="E5458" s="18" t="n">
        <v>361171</v>
      </c>
      <c r="F5458" s="18" t="n">
        <v>430695</v>
      </c>
      <c r="G5458" s="18" t="n">
        <v>545004</v>
      </c>
      <c r="H5458" s="18" t="n">
        <v>536372</v>
      </c>
      <c r="I5458" s="18" t="n">
        <v>524752</v>
      </c>
      <c r="J5458" s="19" t="n">
        <v>559600.4259883162</v>
      </c>
      <c r="K5458" s="35" t="n">
        <v>0.03267096636031086</v>
      </c>
    </row>
    <row r="5459">
      <c r="A5459" s="36" t="inlineStr">
        <is>
          <t>Turnustillegg vikarer</t>
        </is>
      </c>
      <c r="B5459" s="36" t="inlineStr">
        <is>
          <t>Region Vest</t>
        </is>
      </c>
      <c r="C5459" s="36" t="inlineStr">
        <is>
          <t>Bjørgvin Ungdomssenter, Bønesskogen</t>
        </is>
      </c>
      <c r="D5459" s="26" t="n">
        <v>412408</v>
      </c>
      <c r="E5459" s="26" t="n">
        <v>436367</v>
      </c>
      <c r="F5459" s="26" t="n">
        <v>229275</v>
      </c>
      <c r="G5459" s="26" t="n">
        <v>527684</v>
      </c>
      <c r="H5459" s="26" t="n">
        <v>584625</v>
      </c>
      <c r="I5459" s="26" t="n">
        <v>453374</v>
      </c>
      <c r="J5459" s="19" t="n">
        <v>470878.0241754437</v>
      </c>
      <c r="K5459" s="37" t="n">
        <v>0.01912136403744769</v>
      </c>
    </row>
    <row r="5460">
      <c r="A5460" s="34" t="inlineStr">
        <is>
          <t>Turnustillegg vikarer</t>
        </is>
      </c>
      <c r="B5460" s="34" t="inlineStr">
        <is>
          <t>Region Vest</t>
        </is>
      </c>
      <c r="C5460" s="34" t="inlineStr">
        <is>
          <t>Bjørgvin Ungdomssenter, Bønesstølen</t>
        </is>
      </c>
      <c r="D5460" s="18" t="n">
        <v>611269</v>
      </c>
      <c r="E5460" s="18" t="n">
        <v>381101</v>
      </c>
      <c r="F5460" s="18" t="n">
        <v>294864</v>
      </c>
      <c r="G5460" s="18" t="n">
        <v>534735</v>
      </c>
      <c r="H5460" s="18" t="n">
        <v>472109</v>
      </c>
      <c r="I5460" s="18" t="n">
        <v>374292</v>
      </c>
      <c r="J5460" s="19" t="n">
        <v>307610.966363411</v>
      </c>
      <c r="K5460" s="35" t="n">
        <v>-0.09344191664689028</v>
      </c>
    </row>
    <row r="5461">
      <c r="A5461" s="36" t="inlineStr">
        <is>
          <t>Turnustillegg vikarer</t>
        </is>
      </c>
      <c r="B5461" s="36" t="inlineStr">
        <is>
          <t>Region Vest</t>
        </is>
      </c>
      <c r="C5461" s="36" t="inlineStr">
        <is>
          <t>Eikelund US avd. beh. høy</t>
        </is>
      </c>
      <c r="D5461" s="26" t="n"/>
      <c r="E5461" s="26" t="n"/>
      <c r="F5461" s="26" t="n"/>
      <c r="G5461" s="26" t="n"/>
      <c r="H5461" s="26" t="n"/>
      <c r="I5461" s="26" t="n">
        <v>97813</v>
      </c>
      <c r="J5461" s="19" t="n">
        <v>110941.949925</v>
      </c>
      <c r="K5461" s="37" t="n">
        <v>0.065</v>
      </c>
    </row>
    <row r="5462">
      <c r="A5462" s="34" t="inlineStr">
        <is>
          <t>Turnustillegg vikarer</t>
        </is>
      </c>
      <c r="B5462" s="34" t="inlineStr">
        <is>
          <t>Region Vest</t>
        </is>
      </c>
      <c r="C5462" s="34" t="inlineStr">
        <is>
          <t>Kasa Ungdomssenter avd. Flatøy</t>
        </is>
      </c>
      <c r="D5462" s="18" t="n">
        <v>536026</v>
      </c>
      <c r="E5462" s="18" t="n">
        <v>304141</v>
      </c>
      <c r="F5462" s="18" t="n">
        <v>299224</v>
      </c>
      <c r="G5462" s="18" t="n">
        <v>469570</v>
      </c>
      <c r="H5462" s="18" t="n">
        <v>452518</v>
      </c>
      <c r="I5462" s="18" t="n">
        <v>328062</v>
      </c>
      <c r="J5462" s="19" t="n">
        <v>269565.2817713817</v>
      </c>
      <c r="K5462" s="35" t="n">
        <v>-0.09352879152550964</v>
      </c>
    </row>
    <row r="5463">
      <c r="A5463" s="36" t="inlineStr">
        <is>
          <t>Turnustillegg vikarer</t>
        </is>
      </c>
      <c r="B5463" s="36" t="inlineStr">
        <is>
          <t>Region Vest</t>
        </is>
      </c>
      <c r="C5463" s="36" t="inlineStr">
        <is>
          <t>Kasa Ungdomssenter avd. Hop</t>
        </is>
      </c>
      <c r="D5463" s="26" t="n">
        <v>354196</v>
      </c>
      <c r="E5463" s="26" t="n">
        <v>344761</v>
      </c>
      <c r="F5463" s="26" t="n">
        <v>512867</v>
      </c>
      <c r="G5463" s="26" t="n">
        <v>383137</v>
      </c>
      <c r="H5463" s="26" t="n">
        <v>759364</v>
      </c>
      <c r="I5463" s="26" t="n">
        <v>558149</v>
      </c>
      <c r="J5463" s="19" t="n">
        <v>669503.3438483161</v>
      </c>
      <c r="K5463" s="37" t="n">
        <v>0.09521983307650594</v>
      </c>
    </row>
    <row r="5464">
      <c r="A5464" s="34" t="inlineStr">
        <is>
          <t>Turnustillegg vikarer</t>
        </is>
      </c>
      <c r="B5464" s="34" t="inlineStr">
        <is>
          <t>Region Vest</t>
        </is>
      </c>
      <c r="C5464" s="34" t="inlineStr">
        <is>
          <t>Kasa Ungdomssenter avd. Morvik</t>
        </is>
      </c>
      <c r="D5464" s="18" t="n">
        <v>757653</v>
      </c>
      <c r="E5464" s="18" t="n">
        <v>413116</v>
      </c>
      <c r="F5464" s="18" t="n">
        <v>414626</v>
      </c>
      <c r="G5464" s="18" t="n">
        <v>512373</v>
      </c>
      <c r="H5464" s="18" t="n">
        <v>563771</v>
      </c>
      <c r="I5464" s="18" t="n">
        <v>368130</v>
      </c>
      <c r="J5464" s="19" t="n">
        <v>275812.2532623604</v>
      </c>
      <c r="K5464" s="35" t="n">
        <v>-0.1344220735711384</v>
      </c>
    </row>
    <row r="5465">
      <c r="A5465" s="36" t="inlineStr">
        <is>
          <t>Turnustillegg vikarer</t>
        </is>
      </c>
      <c r="B5465" s="36" t="inlineStr">
        <is>
          <t>Region Vest</t>
        </is>
      </c>
      <c r="C5465" s="36" t="inlineStr">
        <is>
          <t>Kasa Ungdomssenter avd. Sandsli</t>
        </is>
      </c>
      <c r="D5465" s="26" t="n">
        <v>179509</v>
      </c>
      <c r="E5465" s="26" t="n">
        <v>195655</v>
      </c>
      <c r="F5465" s="26" t="n">
        <v>206379</v>
      </c>
      <c r="G5465" s="26" t="n">
        <v>310169</v>
      </c>
      <c r="H5465" s="26" t="n">
        <v>352010</v>
      </c>
      <c r="I5465" s="26" t="n">
        <v>380675</v>
      </c>
      <c r="J5465" s="19" t="n">
        <v>514211.2902111933</v>
      </c>
      <c r="K5465" s="37" t="n">
        <v>0.1622341328009356</v>
      </c>
    </row>
    <row r="5466">
      <c r="A5466" s="34" t="inlineStr">
        <is>
          <t>Turnustillegg vikarer</t>
        </is>
      </c>
      <c r="B5466" s="34" t="inlineStr">
        <is>
          <t>Region Vest</t>
        </is>
      </c>
      <c r="C5466" s="34" t="inlineStr">
        <is>
          <t>Kasa Ungdomssenter avd. Tertnes</t>
        </is>
      </c>
      <c r="D5466" s="18" t="n">
        <v>338999</v>
      </c>
      <c r="E5466" s="18" t="n">
        <v>178408</v>
      </c>
      <c r="F5466" s="18" t="n">
        <v>177296</v>
      </c>
      <c r="G5466" s="18" t="n">
        <v>330349</v>
      </c>
      <c r="H5466" s="18" t="n">
        <v>417602</v>
      </c>
      <c r="I5466" s="18" t="n">
        <v>461433</v>
      </c>
      <c r="J5466" s="19" t="n">
        <v>522002.6933191392</v>
      </c>
      <c r="K5466" s="35" t="n">
        <v>0.06360910555714727</v>
      </c>
    </row>
    <row r="5467">
      <c r="A5467" s="36" t="inlineStr">
        <is>
          <t>Turnustillegg vikarer</t>
        </is>
      </c>
      <c r="B5467" s="36" t="inlineStr">
        <is>
          <t>Region Vest</t>
        </is>
      </c>
      <c r="C5467" s="36" t="inlineStr">
        <is>
          <t>SFU avd Bregnetunet</t>
        </is>
      </c>
      <c r="D5467" s="26" t="n">
        <v>416034</v>
      </c>
      <c r="E5467" s="26" t="n">
        <v>273850</v>
      </c>
      <c r="F5467" s="26" t="n">
        <v>355641</v>
      </c>
      <c r="G5467" s="26" t="n">
        <v>452724</v>
      </c>
      <c r="H5467" s="26" t="n">
        <v>899457</v>
      </c>
      <c r="I5467" s="26" t="n">
        <v>4312</v>
      </c>
      <c r="J5467" s="19" t="n">
        <v>2425.5</v>
      </c>
      <c r="K5467" s="37" t="n">
        <v>-0.25</v>
      </c>
    </row>
    <row r="5468">
      <c r="A5468" s="34" t="inlineStr">
        <is>
          <t>Turnustillegg vikarer</t>
        </is>
      </c>
      <c r="B5468" s="34" t="inlineStr">
        <is>
          <t>Region Vest</t>
        </is>
      </c>
      <c r="C5468" s="34" t="inlineStr">
        <is>
          <t>SFU avd.Meltunet</t>
        </is>
      </c>
      <c r="D5468" s="18" t="n">
        <v>487730</v>
      </c>
      <c r="E5468" s="18" t="n">
        <v>222227</v>
      </c>
      <c r="F5468" s="18" t="n">
        <v>456593</v>
      </c>
      <c r="G5468" s="18" t="n">
        <v>648268</v>
      </c>
      <c r="H5468" s="18" t="n">
        <v>766164</v>
      </c>
      <c r="I5468" s="18" t="n">
        <v>351617</v>
      </c>
      <c r="J5468" s="19" t="n">
        <v>308479.2966708827</v>
      </c>
      <c r="K5468" s="35" t="n">
        <v>-0.06334840088115179</v>
      </c>
    </row>
    <row r="5469">
      <c r="A5469" s="36" t="inlineStr">
        <is>
          <t>Turnustillegg vikarer</t>
        </is>
      </c>
      <c r="B5469" s="36" t="inlineStr">
        <is>
          <t>Region Vest</t>
        </is>
      </c>
      <c r="C5469" s="36" t="inlineStr">
        <is>
          <t>Sandnes ungdomssenter - Minde 2</t>
        </is>
      </c>
      <c r="D5469" s="26" t="n">
        <v>346585</v>
      </c>
      <c r="E5469" s="26" t="n">
        <v>1158207</v>
      </c>
      <c r="F5469" s="26" t="n">
        <v>762671</v>
      </c>
      <c r="G5469" s="26" t="n">
        <v>495453</v>
      </c>
      <c r="H5469" s="26" t="n">
        <v>508282</v>
      </c>
      <c r="I5469" s="26" t="n">
        <v>502510</v>
      </c>
      <c r="J5469" s="19" t="n">
        <v>583013.6018160776</v>
      </c>
      <c r="K5469" s="37" t="n">
        <v>0.07712719056257056</v>
      </c>
    </row>
    <row r="5470">
      <c r="A5470" s="34" t="inlineStr">
        <is>
          <t>Turnustillegg vikarer</t>
        </is>
      </c>
      <c r="B5470" s="34" t="inlineStr">
        <is>
          <t>Region Vest</t>
        </is>
      </c>
      <c r="C5470" s="34" t="inlineStr">
        <is>
          <t>Sandnes ungdomssenter - Minde1</t>
        </is>
      </c>
      <c r="D5470" s="18" t="n">
        <v>436349</v>
      </c>
      <c r="E5470" s="18" t="n">
        <v>547296</v>
      </c>
      <c r="F5470" s="18" t="n">
        <v>654790</v>
      </c>
      <c r="G5470" s="18" t="n">
        <v>432516</v>
      </c>
      <c r="H5470" s="18" t="n">
        <v>549160</v>
      </c>
      <c r="I5470" s="18" t="n">
        <v>458338</v>
      </c>
      <c r="J5470" s="19" t="n">
        <v>467440.8009520806</v>
      </c>
      <c r="K5470" s="35" t="n">
        <v>0.009881406110235025</v>
      </c>
    </row>
    <row r="5471">
      <c r="A5471" s="36" t="inlineStr">
        <is>
          <t>Turnustillegg vikarer</t>
        </is>
      </c>
      <c r="B5471" s="36" t="inlineStr">
        <is>
          <t>Region Vest</t>
        </is>
      </c>
      <c r="C5471" s="36" t="inlineStr">
        <is>
          <t>Skjoldvegen Skjold</t>
        </is>
      </c>
      <c r="D5471" s="26" t="n">
        <v>700118</v>
      </c>
      <c r="E5471" s="26" t="n">
        <v>709701</v>
      </c>
      <c r="F5471" s="26" t="n">
        <v>375016</v>
      </c>
      <c r="G5471" s="26" t="n">
        <v>493505</v>
      </c>
      <c r="H5471" s="26" t="n">
        <v>728807</v>
      </c>
      <c r="I5471" s="26" t="n">
        <v>798088</v>
      </c>
      <c r="J5471" s="19" t="n">
        <v>841012.7807771834</v>
      </c>
      <c r="K5471" s="37" t="n">
        <v>0.02654007275732462</v>
      </c>
    </row>
    <row r="5472">
      <c r="A5472" s="34" t="inlineStr">
        <is>
          <t>Turnustillegg vikarer</t>
        </is>
      </c>
      <c r="B5472" s="34" t="inlineStr">
        <is>
          <t>Region Vest</t>
        </is>
      </c>
      <c r="C5472" s="34" t="inlineStr">
        <is>
          <t>Skjoldvegen Søfteland</t>
        </is>
      </c>
      <c r="D5472" s="18" t="n">
        <v>230680</v>
      </c>
      <c r="E5472" s="18" t="n">
        <v>287108</v>
      </c>
      <c r="F5472" s="18" t="n">
        <v>372135</v>
      </c>
      <c r="G5472" s="18" t="n">
        <v>358007</v>
      </c>
      <c r="H5472" s="18" t="n">
        <v>589691</v>
      </c>
      <c r="I5472" s="18" t="n">
        <v>570009</v>
      </c>
      <c r="J5472" s="19" t="n">
        <v>818522.1210296673</v>
      </c>
      <c r="K5472" s="35" t="n">
        <v>0.1983242665154183</v>
      </c>
    </row>
    <row r="5473">
      <c r="A5473" s="36" t="inlineStr">
        <is>
          <t>Turnustillegg vikarer</t>
        </is>
      </c>
      <c r="B5473" s="36" t="inlineStr">
        <is>
          <t>Region Vest</t>
        </is>
      </c>
      <c r="C5473" s="36" t="inlineStr">
        <is>
          <t>Skjoldvegen barnevernsenter Enetiltak</t>
        </is>
      </c>
      <c r="D5473" s="26" t="n">
        <v>46430</v>
      </c>
      <c r="E5473" s="26" t="n"/>
      <c r="F5473" s="26" t="n"/>
      <c r="G5473" s="26" t="n">
        <v>193532</v>
      </c>
      <c r="H5473" s="26" t="n"/>
      <c r="I5473" s="26" t="n"/>
      <c r="J5473" s="19" t="n">
        <v>0</v>
      </c>
      <c r="K5473" s="37" t="n">
        <v>0.065</v>
      </c>
    </row>
    <row r="5474">
      <c r="A5474" s="34" t="inlineStr">
        <is>
          <t>Turnustillegg vikarer</t>
        </is>
      </c>
      <c r="B5474" s="34" t="inlineStr">
        <is>
          <t>Region Vest</t>
        </is>
      </c>
      <c r="C5474" s="34" t="inlineStr">
        <is>
          <t>Skjoldvegen barnevernsenter avd. Fyllingsdalen</t>
        </is>
      </c>
      <c r="D5474" s="18" t="n">
        <v>351394</v>
      </c>
      <c r="E5474" s="18" t="n">
        <v>319174</v>
      </c>
      <c r="F5474" s="18" t="n">
        <v>223091</v>
      </c>
      <c r="G5474" s="18" t="n">
        <v>273058</v>
      </c>
      <c r="H5474" s="18" t="n">
        <v>396247</v>
      </c>
      <c r="I5474" s="18" t="n">
        <v>361171</v>
      </c>
      <c r="J5474" s="19" t="n">
        <v>365157.5492114811</v>
      </c>
      <c r="K5474" s="35" t="n">
        <v>0.005503776300957552</v>
      </c>
    </row>
    <row r="5475">
      <c r="A5475" s="36" t="inlineStr">
        <is>
          <t>Turnustillegg vikarer</t>
        </is>
      </c>
      <c r="B5475" s="36" t="inlineStr">
        <is>
          <t>Region Vest</t>
        </is>
      </c>
      <c r="C5475" s="36" t="inlineStr">
        <is>
          <t>Sogn og fjordane ungdomssenter avdeling Bregnetunet behandling høy</t>
        </is>
      </c>
      <c r="D5475" s="26" t="n"/>
      <c r="E5475" s="26" t="n"/>
      <c r="F5475" s="26" t="n"/>
      <c r="G5475" s="26" t="n"/>
      <c r="H5475" s="26" t="n">
        <v>16141</v>
      </c>
      <c r="I5475" s="26" t="n">
        <v>508766</v>
      </c>
      <c r="J5475" s="19" t="n">
        <v>577055.1163499999</v>
      </c>
      <c r="K5475" s="37" t="n">
        <v>0.065</v>
      </c>
    </row>
    <row r="5476">
      <c r="A5476" s="34" t="inlineStr">
        <is>
          <t>Turnustillegg vikarer</t>
        </is>
      </c>
      <c r="B5476" s="34" t="inlineStr">
        <is>
          <t>Region Vest</t>
        </is>
      </c>
      <c r="C5476" s="34" t="inlineStr">
        <is>
          <t>Sogndal ungdomsenter-adm.</t>
        </is>
      </c>
      <c r="D5476" s="18" t="n">
        <v>406140</v>
      </c>
      <c r="E5476" s="18" t="n">
        <v>270801</v>
      </c>
      <c r="F5476" s="18" t="n">
        <v>333148</v>
      </c>
      <c r="G5476" s="18" t="n">
        <v>292476</v>
      </c>
      <c r="H5476" s="18" t="n">
        <v>453604</v>
      </c>
      <c r="I5476" s="18" t="n">
        <v>483531</v>
      </c>
      <c r="J5476" s="19" t="n">
        <v>518470.1359627416</v>
      </c>
      <c r="K5476" s="35" t="n">
        <v>0.03549906631990729</v>
      </c>
    </row>
    <row r="5477">
      <c r="A5477" s="36" t="inlineStr">
        <is>
          <t>Turnustillegg vikarer</t>
        </is>
      </c>
      <c r="B5477" s="36" t="inlineStr">
        <is>
          <t>Region Vest</t>
        </is>
      </c>
      <c r="C5477" s="36" t="inlineStr">
        <is>
          <t>Stavanger akuttsenter - Heimly</t>
        </is>
      </c>
      <c r="D5477" s="26" t="n"/>
      <c r="E5477" s="26" t="n">
        <v>6481</v>
      </c>
      <c r="F5477" s="26" t="n"/>
      <c r="G5477" s="26" t="n"/>
      <c r="H5477" s="26" t="n"/>
      <c r="I5477" s="26" t="n"/>
      <c r="J5477" s="19" t="n">
        <v>0</v>
      </c>
      <c r="K5477" s="37" t="n">
        <v>0.065</v>
      </c>
    </row>
    <row r="5478">
      <c r="A5478" s="34" t="inlineStr">
        <is>
          <t>Turnustillegg vikarer</t>
        </is>
      </c>
      <c r="B5478" s="34" t="inlineStr">
        <is>
          <t>Region Vest</t>
        </is>
      </c>
      <c r="C5478" s="34" t="inlineStr">
        <is>
          <t>Stavanger akuttsenter - Madla</t>
        </is>
      </c>
      <c r="D5478" s="18" t="n">
        <v>578643</v>
      </c>
      <c r="E5478" s="18" t="n">
        <v>587106</v>
      </c>
      <c r="F5478" s="18" t="n">
        <v>886736</v>
      </c>
      <c r="G5478" s="18" t="n">
        <v>1369525</v>
      </c>
      <c r="H5478" s="18" t="n">
        <v>1636590</v>
      </c>
      <c r="I5478" s="18" t="n">
        <v>1641436</v>
      </c>
      <c r="J5478" s="19" t="n">
        <v>2490859.631947406</v>
      </c>
      <c r="K5478" s="35" t="n">
        <v>0.2318636780685623</v>
      </c>
    </row>
    <row r="5479">
      <c r="A5479" s="36" t="inlineStr">
        <is>
          <t>Turnustillegg vikarer</t>
        </is>
      </c>
      <c r="B5479" s="36" t="inlineStr">
        <is>
          <t>Region Vest</t>
        </is>
      </c>
      <c r="C5479" s="36" t="inlineStr">
        <is>
          <t>Stavanger akuttsenter - Røyneberg</t>
        </is>
      </c>
      <c r="D5479" s="26" t="n">
        <v>670689</v>
      </c>
      <c r="E5479" s="26" t="n">
        <v>725459</v>
      </c>
      <c r="F5479" s="26" t="n">
        <v>774628</v>
      </c>
      <c r="G5479" s="26" t="n">
        <v>706986</v>
      </c>
      <c r="H5479" s="26" t="n">
        <v>605996</v>
      </c>
      <c r="I5479" s="26" t="n">
        <v>561250</v>
      </c>
      <c r="J5479" s="19" t="n">
        <v>522649.3591384499</v>
      </c>
      <c r="K5479" s="37" t="n">
        <v>-0.03500062048006847</v>
      </c>
    </row>
    <row r="5480">
      <c r="A5480" s="34" t="inlineStr">
        <is>
          <t>Turnustillegg vikarer</t>
        </is>
      </c>
      <c r="B5480" s="34" t="inlineStr">
        <is>
          <t>Region Vest</t>
        </is>
      </c>
      <c r="C5480" s="34" t="inlineStr">
        <is>
          <t>Stavanger ungdomssenter - avd. Lindøy</t>
        </is>
      </c>
      <c r="D5480" s="18" t="n">
        <v>450113</v>
      </c>
      <c r="E5480" s="18" t="n">
        <v>482226</v>
      </c>
      <c r="F5480" s="18" t="n">
        <v>657468</v>
      </c>
      <c r="G5480" s="18" t="n">
        <v>755043</v>
      </c>
      <c r="H5480" s="18" t="n">
        <v>507929</v>
      </c>
      <c r="I5480" s="18" t="n">
        <v>362640</v>
      </c>
      <c r="J5480" s="19" t="n">
        <v>332611.5805306591</v>
      </c>
      <c r="K5480" s="35" t="n">
        <v>-0.04229703944725238</v>
      </c>
    </row>
    <row r="5481">
      <c r="A5481" s="36" t="inlineStr">
        <is>
          <t>Turnustillegg vikarer</t>
        </is>
      </c>
      <c r="B5481" s="36" t="inlineStr">
        <is>
          <t>Region Vest</t>
        </is>
      </c>
      <c r="C5481" s="36" t="inlineStr">
        <is>
          <t>Stavanger ungdomssenter - avd. Våland</t>
        </is>
      </c>
      <c r="D5481" s="26" t="n">
        <v>297724</v>
      </c>
      <c r="E5481" s="26" t="n">
        <v>368449</v>
      </c>
      <c r="F5481" s="26" t="n">
        <v>494068</v>
      </c>
      <c r="G5481" s="26" t="n">
        <v>451297</v>
      </c>
      <c r="H5481" s="26" t="n">
        <v>452303</v>
      </c>
      <c r="I5481" s="26" t="n">
        <v>358389</v>
      </c>
      <c r="J5481" s="19" t="n">
        <v>385985.5104222244</v>
      </c>
      <c r="K5481" s="37" t="n">
        <v>0.03778685449146191</v>
      </c>
    </row>
    <row r="5482">
      <c r="A5482" s="34" t="inlineStr">
        <is>
          <t>Turnustillegg vikarer</t>
        </is>
      </c>
      <c r="B5482" s="34" t="inlineStr">
        <is>
          <t>Region Vest</t>
        </is>
      </c>
      <c r="C5482" s="34" t="inlineStr">
        <is>
          <t>TFCO Bergen, avdeling fosterhjem</t>
        </is>
      </c>
      <c r="D5482" s="18" t="n"/>
      <c r="E5482" s="18" t="n"/>
      <c r="F5482" s="18" t="n"/>
      <c r="G5482" s="18" t="n">
        <v>58841</v>
      </c>
      <c r="H5482" s="18" t="n"/>
      <c r="I5482" s="18" t="n"/>
      <c r="J5482" s="19" t="n">
        <v>0</v>
      </c>
      <c r="K5482" s="35" t="n">
        <v>0.065</v>
      </c>
    </row>
    <row r="5483">
      <c r="A5483" s="36" t="inlineStr">
        <is>
          <t>Turnustillegg vikarer</t>
        </is>
      </c>
      <c r="B5483" s="36" t="inlineStr">
        <is>
          <t>Region Øst</t>
        </is>
      </c>
      <c r="C5483" s="36" t="inlineStr">
        <is>
          <t>Akershus ungdoms- og familiesenter - akutt  Avdeling Sole</t>
        </is>
      </c>
      <c r="D5483" s="26" t="n">
        <v>604753</v>
      </c>
      <c r="E5483" s="26" t="n">
        <v>510861</v>
      </c>
      <c r="F5483" s="26" t="n">
        <v>772127</v>
      </c>
      <c r="G5483" s="26" t="n">
        <v>676962</v>
      </c>
      <c r="H5483" s="26" t="n">
        <v>539292</v>
      </c>
      <c r="I5483" s="26" t="n">
        <v>26896</v>
      </c>
      <c r="J5483" s="19" t="n">
        <v>15129</v>
      </c>
      <c r="K5483" s="37" t="n">
        <v>-0.25</v>
      </c>
    </row>
    <row r="5484">
      <c r="A5484" s="34" t="inlineStr">
        <is>
          <t>Turnustillegg vikarer</t>
        </is>
      </c>
      <c r="B5484" s="34" t="inlineStr">
        <is>
          <t>Region Øst</t>
        </is>
      </c>
      <c r="C5484" s="34" t="inlineStr">
        <is>
          <t>Akershus ungdoms- og familiesenter - akutt  Avdeling Tjernlia</t>
        </is>
      </c>
      <c r="D5484" s="18" t="n">
        <v>325460</v>
      </c>
      <c r="E5484" s="18" t="n">
        <v>300974</v>
      </c>
      <c r="F5484" s="18" t="n">
        <v>564630</v>
      </c>
      <c r="G5484" s="18" t="n">
        <v>724418</v>
      </c>
      <c r="H5484" s="18" t="n">
        <v>732089</v>
      </c>
      <c r="I5484" s="18" t="n">
        <v>75496</v>
      </c>
      <c r="J5484" s="19" t="n">
        <v>42466.5</v>
      </c>
      <c r="K5484" s="35" t="n">
        <v>-0.25</v>
      </c>
    </row>
    <row r="5485">
      <c r="A5485" s="36" t="inlineStr">
        <is>
          <t>Turnustillegg vikarer</t>
        </is>
      </c>
      <c r="B5485" s="36" t="inlineStr">
        <is>
          <t>Region Øst</t>
        </is>
      </c>
      <c r="C5485" s="36" t="inlineStr">
        <is>
          <t>Akershus ungdoms- og familiesenter - akutt Avdeling Bjørlien</t>
        </is>
      </c>
      <c r="D5485" s="26" t="n">
        <v>337152</v>
      </c>
      <c r="E5485" s="26" t="n">
        <v>515804</v>
      </c>
      <c r="F5485" s="26" t="n">
        <v>458654</v>
      </c>
      <c r="G5485" s="26" t="n">
        <v>639108</v>
      </c>
      <c r="H5485" s="26" t="n">
        <v>476781</v>
      </c>
      <c r="I5485" s="26" t="n">
        <v>57518</v>
      </c>
      <c r="J5485" s="19" t="n">
        <v>32353.875</v>
      </c>
      <c r="K5485" s="37" t="n">
        <v>-0.25</v>
      </c>
    </row>
    <row r="5486">
      <c r="A5486" s="34" t="inlineStr">
        <is>
          <t>Turnustillegg vikarer</t>
        </is>
      </c>
      <c r="B5486" s="34" t="inlineStr">
        <is>
          <t>Region Øst</t>
        </is>
      </c>
      <c r="C5486" s="34" t="inlineStr">
        <is>
          <t>Akershus ungdoms- og familiesenter - akutt Avdeling Follo</t>
        </is>
      </c>
      <c r="D5486" s="18" t="n">
        <v>75226</v>
      </c>
      <c r="E5486" s="18" t="n">
        <v>382033</v>
      </c>
      <c r="F5486" s="18" t="n">
        <v>763</v>
      </c>
      <c r="G5486" s="18" t="n"/>
      <c r="H5486" s="18" t="n"/>
      <c r="I5486" s="18" t="n"/>
      <c r="J5486" s="19" t="n">
        <v>0</v>
      </c>
      <c r="K5486" s="35" t="n">
        <v>0.065</v>
      </c>
    </row>
    <row r="5487">
      <c r="A5487" s="36" t="inlineStr">
        <is>
          <t>Turnustillegg vikarer</t>
        </is>
      </c>
      <c r="B5487" s="36" t="inlineStr">
        <is>
          <t>Region Øst</t>
        </is>
      </c>
      <c r="C5487" s="36" t="inlineStr">
        <is>
          <t>Akershus ungdoms- og familiesenter - akutt Avdeling Jibbe</t>
        </is>
      </c>
      <c r="D5487" s="26" t="n">
        <v>39391</v>
      </c>
      <c r="E5487" s="26" t="n">
        <v>181068</v>
      </c>
      <c r="F5487" s="26" t="n">
        <v>322991</v>
      </c>
      <c r="G5487" s="26" t="n">
        <v>412890</v>
      </c>
      <c r="H5487" s="26" t="n">
        <v>301330</v>
      </c>
      <c r="I5487" s="26" t="n">
        <v>51273</v>
      </c>
      <c r="J5487" s="19" t="n">
        <v>56975.14222747706</v>
      </c>
      <c r="K5487" s="37" t="n">
        <v>0.05414012457941264</v>
      </c>
    </row>
    <row r="5488">
      <c r="A5488" s="34" t="inlineStr">
        <is>
          <t>Turnustillegg vikarer</t>
        </is>
      </c>
      <c r="B5488" s="34" t="inlineStr">
        <is>
          <t>Region Øst</t>
        </is>
      </c>
      <c r="C5488" s="34" t="inlineStr">
        <is>
          <t>Akershus ungdoms- og familiesenter - akutt, avd Bjørlien</t>
        </is>
      </c>
      <c r="D5488" s="18" t="n"/>
      <c r="E5488" s="18" t="n"/>
      <c r="F5488" s="18" t="n"/>
      <c r="G5488" s="18" t="n"/>
      <c r="H5488" s="18" t="n"/>
      <c r="I5488" s="18" t="n">
        <v>100132</v>
      </c>
      <c r="J5488" s="19" t="n">
        <v>113572.2177</v>
      </c>
      <c r="K5488" s="35" t="n">
        <v>0.065</v>
      </c>
    </row>
    <row r="5489">
      <c r="A5489" s="36" t="inlineStr">
        <is>
          <t>Turnustillegg vikarer</t>
        </is>
      </c>
      <c r="B5489" s="36" t="inlineStr">
        <is>
          <t>Region Øst</t>
        </is>
      </c>
      <c r="C5489" s="36" t="inlineStr">
        <is>
          <t>Akershus ungdoms- og familiesenter - akutt, avd Jibbe</t>
        </is>
      </c>
      <c r="D5489" s="26" t="n"/>
      <c r="E5489" s="26" t="n"/>
      <c r="F5489" s="26" t="n"/>
      <c r="G5489" s="26" t="n"/>
      <c r="H5489" s="26" t="n"/>
      <c r="I5489" s="26" t="n">
        <v>284168</v>
      </c>
      <c r="J5489" s="19" t="n">
        <v>322310.4497999999</v>
      </c>
      <c r="K5489" s="37" t="n">
        <v>0.065</v>
      </c>
    </row>
    <row r="5490">
      <c r="A5490" s="34" t="inlineStr">
        <is>
          <t>Turnustillegg vikarer</t>
        </is>
      </c>
      <c r="B5490" s="34" t="inlineStr">
        <is>
          <t>Region Øst</t>
        </is>
      </c>
      <c r="C5490" s="34" t="inlineStr">
        <is>
          <t>Akershus ungdoms- og familiesenter - akutt, avd Sole</t>
        </is>
      </c>
      <c r="D5490" s="18" t="n"/>
      <c r="E5490" s="18" t="n"/>
      <c r="F5490" s="18" t="n"/>
      <c r="G5490" s="18" t="n"/>
      <c r="H5490" s="18" t="n"/>
      <c r="I5490" s="18" t="n">
        <v>130737</v>
      </c>
      <c r="J5490" s="19" t="n">
        <v>148285.173825</v>
      </c>
      <c r="K5490" s="35" t="n">
        <v>0.065</v>
      </c>
    </row>
    <row r="5491">
      <c r="A5491" s="36" t="inlineStr">
        <is>
          <t>Turnustillegg vikarer</t>
        </is>
      </c>
      <c r="B5491" s="36" t="inlineStr">
        <is>
          <t>Region Øst</t>
        </is>
      </c>
      <c r="C5491" s="36" t="inlineStr">
        <is>
          <t>Akershus ungdoms- og familiesenter - akutt, avd Tjernlia</t>
        </is>
      </c>
      <c r="D5491" s="26" t="n"/>
      <c r="E5491" s="26" t="n"/>
      <c r="F5491" s="26" t="n"/>
      <c r="G5491" s="26" t="n"/>
      <c r="H5491" s="26" t="n"/>
      <c r="I5491" s="26" t="n">
        <v>590779</v>
      </c>
      <c r="J5491" s="19" t="n">
        <v>670076.3112749999</v>
      </c>
      <c r="K5491" s="37" t="n">
        <v>0.065</v>
      </c>
    </row>
    <row r="5492">
      <c r="A5492" s="34" t="inlineStr">
        <is>
          <t>Turnustillegg vikarer</t>
        </is>
      </c>
      <c r="B5492" s="34" t="inlineStr">
        <is>
          <t>Region Øst</t>
        </is>
      </c>
      <c r="C5492" s="34" t="inlineStr">
        <is>
          <t>Bufetats behandlingssenter Akershus/Østfold, Avdeling Kroerveien Institusjon</t>
        </is>
      </c>
      <c r="D5492" s="18" t="n"/>
      <c r="E5492" s="18" t="n"/>
      <c r="F5492" s="18" t="n"/>
      <c r="G5492" s="18" t="n">
        <v>136262</v>
      </c>
      <c r="H5492" s="18" t="n">
        <v>565274</v>
      </c>
      <c r="I5492" s="18" t="n">
        <v>68492</v>
      </c>
      <c r="J5492" s="19" t="n">
        <v>77685.33869999999</v>
      </c>
      <c r="K5492" s="35" t="n">
        <v>0.065</v>
      </c>
    </row>
    <row r="5493">
      <c r="A5493" s="36" t="inlineStr">
        <is>
          <t>Turnustillegg vikarer</t>
        </is>
      </c>
      <c r="B5493" s="36" t="inlineStr">
        <is>
          <t>Region Øst</t>
        </is>
      </c>
      <c r="C5493" s="36" t="inlineStr">
        <is>
          <t>Bufetats behandlingssenter Akershus/Østfold, Avdeling Ås</t>
        </is>
      </c>
      <c r="D5493" s="26" t="n"/>
      <c r="E5493" s="26" t="n"/>
      <c r="F5493" s="26" t="n"/>
      <c r="G5493" s="26" t="n">
        <v>148747</v>
      </c>
      <c r="H5493" s="26" t="n">
        <v>341079</v>
      </c>
      <c r="I5493" s="26" t="n">
        <v>47844</v>
      </c>
      <c r="J5493" s="19" t="n">
        <v>54265.86089999999</v>
      </c>
      <c r="K5493" s="37" t="n">
        <v>0.065</v>
      </c>
    </row>
    <row r="5494">
      <c r="A5494" s="34" t="inlineStr">
        <is>
          <t>Turnustillegg vikarer</t>
        </is>
      </c>
      <c r="B5494" s="34" t="inlineStr">
        <is>
          <t>Region Øst</t>
        </is>
      </c>
      <c r="C5494" s="34" t="inlineStr">
        <is>
          <t>Bufetats behandlingssenter Akershus/Østfold, Avdeling Østheim</t>
        </is>
      </c>
      <c r="D5494" s="18" t="n"/>
      <c r="E5494" s="18" t="n"/>
      <c r="F5494" s="18" t="n"/>
      <c r="G5494" s="18" t="n">
        <v>175652</v>
      </c>
      <c r="H5494" s="18" t="n">
        <v>204259</v>
      </c>
      <c r="I5494" s="18" t="n">
        <v>62440</v>
      </c>
      <c r="J5494" s="19" t="n">
        <v>70821.00899999999</v>
      </c>
      <c r="K5494" s="35" t="n">
        <v>0.065</v>
      </c>
    </row>
    <row r="5495">
      <c r="A5495" s="36" t="inlineStr">
        <is>
          <t>Turnustillegg vikarer</t>
        </is>
      </c>
      <c r="B5495" s="36" t="inlineStr">
        <is>
          <t>Region Øst</t>
        </is>
      </c>
      <c r="C5495" s="36" t="inlineStr">
        <is>
          <t>Bufetats behandlingssenter Akershus/Østfold, Avdeling Østlund</t>
        </is>
      </c>
      <c r="D5495" s="26" t="n"/>
      <c r="E5495" s="26" t="n"/>
      <c r="F5495" s="26" t="n"/>
      <c r="G5495" s="26" t="n">
        <v>205680</v>
      </c>
      <c r="H5495" s="26" t="n">
        <v>686513</v>
      </c>
      <c r="I5495" s="26" t="n">
        <v>62870</v>
      </c>
      <c r="J5495" s="19" t="n">
        <v>71308.72574999998</v>
      </c>
      <c r="K5495" s="37" t="n">
        <v>0.065</v>
      </c>
    </row>
    <row r="5496">
      <c r="A5496" s="34" t="inlineStr">
        <is>
          <t>Turnustillegg vikarer</t>
        </is>
      </c>
      <c r="B5496" s="34" t="inlineStr">
        <is>
          <t>Region Øst</t>
        </is>
      </c>
      <c r="C5496" s="34" t="inlineStr">
        <is>
          <t>Bufetats behandlingssenter Akershus_Østfold, avd Kroerveien</t>
        </is>
      </c>
      <c r="D5496" s="18" t="n"/>
      <c r="E5496" s="18" t="n"/>
      <c r="F5496" s="18" t="n"/>
      <c r="G5496" s="18" t="n"/>
      <c r="H5496" s="18" t="n"/>
      <c r="I5496" s="18" t="n">
        <v>705752</v>
      </c>
      <c r="J5496" s="19" t="n">
        <v>800481.5621999999</v>
      </c>
      <c r="K5496" s="35" t="n">
        <v>0.065</v>
      </c>
    </row>
    <row r="5497">
      <c r="A5497" s="36" t="inlineStr">
        <is>
          <t>Turnustillegg vikarer</t>
        </is>
      </c>
      <c r="B5497" s="36" t="inlineStr">
        <is>
          <t>Region Øst</t>
        </is>
      </c>
      <c r="C5497" s="36" t="inlineStr">
        <is>
          <t>Bufetats behandlingssenter Akershus_Østfold, avd Ås</t>
        </is>
      </c>
      <c r="D5497" s="26" t="n"/>
      <c r="E5497" s="26" t="n"/>
      <c r="F5497" s="26" t="n"/>
      <c r="G5497" s="26" t="n"/>
      <c r="H5497" s="26" t="n"/>
      <c r="I5497" s="26" t="n">
        <v>598710</v>
      </c>
      <c r="J5497" s="19" t="n">
        <v>679071.8497499999</v>
      </c>
      <c r="K5497" s="37" t="n">
        <v>0.065</v>
      </c>
    </row>
    <row r="5498">
      <c r="A5498" s="34" t="inlineStr">
        <is>
          <t>Turnustillegg vikarer</t>
        </is>
      </c>
      <c r="B5498" s="34" t="inlineStr">
        <is>
          <t>Region Øst</t>
        </is>
      </c>
      <c r="C5498" s="34" t="inlineStr">
        <is>
          <t>Bufetats behandlingssenter Akershus_Østfold, avd Østheim</t>
        </is>
      </c>
      <c r="D5498" s="18" t="n"/>
      <c r="E5498" s="18" t="n"/>
      <c r="F5498" s="18" t="n"/>
      <c r="G5498" s="18" t="n"/>
      <c r="H5498" s="18" t="n"/>
      <c r="I5498" s="18" t="n">
        <v>390220</v>
      </c>
      <c r="J5498" s="19" t="n">
        <v>442597.2794999999</v>
      </c>
      <c r="K5498" s="35" t="n">
        <v>0.065</v>
      </c>
    </row>
    <row r="5499">
      <c r="A5499" s="36" t="inlineStr">
        <is>
          <t>Turnustillegg vikarer</t>
        </is>
      </c>
      <c r="B5499" s="36" t="inlineStr">
        <is>
          <t>Region Øst</t>
        </is>
      </c>
      <c r="C5499" s="36" t="inlineStr">
        <is>
          <t>Bufetats behandlingssenter Akershus_Østfold, avd Østlund</t>
        </is>
      </c>
      <c r="D5499" s="26" t="n"/>
      <c r="E5499" s="26" t="n"/>
      <c r="F5499" s="26" t="n"/>
      <c r="G5499" s="26" t="n"/>
      <c r="H5499" s="26" t="n"/>
      <c r="I5499" s="26" t="n">
        <v>322751</v>
      </c>
      <c r="J5499" s="19" t="n">
        <v>366072.252975</v>
      </c>
      <c r="K5499" s="37" t="n">
        <v>0.065</v>
      </c>
    </row>
    <row r="5500">
      <c r="A5500" s="34" t="inlineStr">
        <is>
          <t>Turnustillegg vikarer</t>
        </is>
      </c>
      <c r="B5500" s="34" t="inlineStr">
        <is>
          <t>Region Øst</t>
        </is>
      </c>
      <c r="C5500" s="34" t="inlineStr">
        <is>
          <t>Follo ungdoms- og familiesenter - akutt  Avdeling Follo</t>
        </is>
      </c>
      <c r="D5500" s="18" t="n">
        <v>344246</v>
      </c>
      <c r="E5500" s="18" t="n"/>
      <c r="F5500" s="18" t="n"/>
      <c r="G5500" s="18" t="n"/>
      <c r="H5500" s="18" t="n"/>
      <c r="I5500" s="18" t="n"/>
      <c r="J5500" s="19" t="n">
        <v>0</v>
      </c>
      <c r="K5500" s="35" t="n">
        <v>0.065</v>
      </c>
    </row>
    <row r="5501">
      <c r="A5501" s="36" t="inlineStr">
        <is>
          <t>Turnustillegg vikarer</t>
        </is>
      </c>
      <c r="B5501" s="36" t="inlineStr">
        <is>
          <t>Region Øst</t>
        </is>
      </c>
      <c r="C5501" s="36" t="inlineStr">
        <is>
          <t>Follo ungdoms- og familiesenter - akutt  Avdeling Jibbe</t>
        </is>
      </c>
      <c r="D5501" s="26" t="n">
        <v>255322</v>
      </c>
      <c r="E5501" s="26" t="n"/>
      <c r="F5501" s="26" t="n"/>
      <c r="G5501" s="26" t="n"/>
      <c r="H5501" s="26" t="n"/>
      <c r="I5501" s="26" t="n"/>
      <c r="J5501" s="19" t="n">
        <v>0</v>
      </c>
      <c r="K5501" s="37" t="n">
        <v>0.065</v>
      </c>
    </row>
    <row r="5502">
      <c r="A5502" s="34" t="inlineStr">
        <is>
          <t>Turnustillegg vikarer</t>
        </is>
      </c>
      <c r="B5502" s="34" t="inlineStr">
        <is>
          <t>Region Øst</t>
        </is>
      </c>
      <c r="C5502" s="34" t="inlineStr">
        <is>
          <t>Hedmark ungdoms- og  familiesenter - akutt  Avdeling  Stange 1</t>
        </is>
      </c>
      <c r="D5502" s="18" t="n">
        <v>277222</v>
      </c>
      <c r="E5502" s="18" t="n">
        <v>233202</v>
      </c>
      <c r="F5502" s="18" t="n">
        <v>166582</v>
      </c>
      <c r="G5502" s="18" t="n">
        <v>180248</v>
      </c>
      <c r="H5502" s="18" t="n">
        <v>236550</v>
      </c>
      <c r="I5502" s="18" t="n">
        <v>518</v>
      </c>
      <c r="J5502" s="19" t="n">
        <v>291.375</v>
      </c>
      <c r="K5502" s="35" t="n">
        <v>-0.25</v>
      </c>
    </row>
    <row r="5503">
      <c r="A5503" s="36" t="inlineStr">
        <is>
          <t>Turnustillegg vikarer</t>
        </is>
      </c>
      <c r="B5503" s="36" t="inlineStr">
        <is>
          <t>Region Øst</t>
        </is>
      </c>
      <c r="C5503" s="36" t="inlineStr">
        <is>
          <t>Hedmark ungdoms- og  familiesenter - akutt  Avdeling  Vien 1</t>
        </is>
      </c>
      <c r="D5503" s="26" t="n">
        <v>163256</v>
      </c>
      <c r="E5503" s="26" t="n">
        <v>190736</v>
      </c>
      <c r="F5503" s="26" t="n">
        <v>221941</v>
      </c>
      <c r="G5503" s="26" t="n">
        <v>492198</v>
      </c>
      <c r="H5503" s="26" t="n">
        <v>484254</v>
      </c>
      <c r="I5503" s="26" t="n">
        <v>865</v>
      </c>
      <c r="J5503" s="19" t="n">
        <v>486.5625</v>
      </c>
      <c r="K5503" s="37" t="n">
        <v>-0.25</v>
      </c>
    </row>
    <row r="5504">
      <c r="A5504" s="34" t="inlineStr">
        <is>
          <t>Turnustillegg vikarer</t>
        </is>
      </c>
      <c r="B5504" s="34" t="inlineStr">
        <is>
          <t>Region Øst</t>
        </is>
      </c>
      <c r="C5504" s="34" t="inlineStr">
        <is>
          <t>Hedmark ungdoms- og  familiesenter - akutt  Avdeling  Vien 2</t>
        </is>
      </c>
      <c r="D5504" s="18" t="n">
        <v>310490</v>
      </c>
      <c r="E5504" s="18" t="n">
        <v>256085</v>
      </c>
      <c r="F5504" s="18" t="n">
        <v>376182</v>
      </c>
      <c r="G5504" s="18" t="n">
        <v>351554</v>
      </c>
      <c r="H5504" s="18" t="n">
        <v>343080</v>
      </c>
      <c r="I5504" s="18" t="n">
        <v>141</v>
      </c>
      <c r="J5504" s="19" t="n">
        <v>79.3125</v>
      </c>
      <c r="K5504" s="35" t="n">
        <v>-0.25</v>
      </c>
    </row>
    <row r="5505">
      <c r="A5505" s="36" t="inlineStr">
        <is>
          <t>Turnustillegg vikarer</t>
        </is>
      </c>
      <c r="B5505" s="36" t="inlineStr">
        <is>
          <t>Region Øst</t>
        </is>
      </c>
      <c r="C5505" s="36" t="inlineStr">
        <is>
          <t>Hedmark ungdoms- og familiesenter - akutt Avdeling Disen</t>
        </is>
      </c>
      <c r="D5505" s="26" t="n"/>
      <c r="E5505" s="26" t="n"/>
      <c r="F5505" s="26" t="n">
        <v>370968</v>
      </c>
      <c r="G5505" s="26" t="n">
        <v>412120</v>
      </c>
      <c r="H5505" s="26" t="n">
        <v>384368</v>
      </c>
      <c r="I5505" s="26" t="n">
        <v>860</v>
      </c>
      <c r="J5505" s="19" t="n">
        <v>975.4334999999999</v>
      </c>
      <c r="K5505" s="37" t="n">
        <v>0.065</v>
      </c>
    </row>
    <row r="5506">
      <c r="A5506" s="34" t="inlineStr">
        <is>
          <t>Turnustillegg vikarer</t>
        </is>
      </c>
      <c r="B5506" s="34" t="inlineStr">
        <is>
          <t>Region Øst</t>
        </is>
      </c>
      <c r="C5506" s="34" t="inlineStr">
        <is>
          <t>Hedmark ungdoms- og familiesenter - akutt Avdeling Irstad</t>
        </is>
      </c>
      <c r="D5506" s="18" t="n">
        <v>383285</v>
      </c>
      <c r="E5506" s="18" t="n">
        <v>435836</v>
      </c>
      <c r="F5506" s="18" t="n">
        <v>73141</v>
      </c>
      <c r="G5506" s="18" t="n"/>
      <c r="H5506" s="18" t="n"/>
      <c r="I5506" s="18" t="n"/>
      <c r="J5506" s="19" t="n">
        <v>0</v>
      </c>
      <c r="K5506" s="35" t="n">
        <v>0.065</v>
      </c>
    </row>
    <row r="5507">
      <c r="A5507" s="36" t="inlineStr">
        <is>
          <t>Turnustillegg vikarer</t>
        </is>
      </c>
      <c r="B5507" s="36" t="inlineStr">
        <is>
          <t>Region Øst</t>
        </is>
      </c>
      <c r="C5507" s="36" t="inlineStr">
        <is>
          <t>Hedmark ungdoms- og familiesenter - akutt, avd Disen</t>
        </is>
      </c>
      <c r="D5507" s="26" t="n"/>
      <c r="E5507" s="26" t="n"/>
      <c r="F5507" s="26" t="n"/>
      <c r="G5507" s="26" t="n"/>
      <c r="H5507" s="26" t="n"/>
      <c r="I5507" s="26" t="n">
        <v>514054</v>
      </c>
      <c r="J5507" s="19" t="n">
        <v>583052.8981499999</v>
      </c>
      <c r="K5507" s="37" t="n">
        <v>0.065</v>
      </c>
    </row>
    <row r="5508">
      <c r="A5508" s="34" t="inlineStr">
        <is>
          <t>Turnustillegg vikarer</t>
        </is>
      </c>
      <c r="B5508" s="34" t="inlineStr">
        <is>
          <t>Region Øst</t>
        </is>
      </c>
      <c r="C5508" s="34" t="inlineStr">
        <is>
          <t>Hedmark ungdoms- og familiesenter - akutt, avd Stange 1</t>
        </is>
      </c>
      <c r="D5508" s="18" t="n"/>
      <c r="E5508" s="18" t="n"/>
      <c r="F5508" s="18" t="n"/>
      <c r="G5508" s="18" t="n"/>
      <c r="H5508" s="18" t="n"/>
      <c r="I5508" s="18" t="n">
        <v>273847</v>
      </c>
      <c r="J5508" s="19" t="n">
        <v>310604.113575</v>
      </c>
      <c r="K5508" s="35" t="n">
        <v>0.065</v>
      </c>
    </row>
    <row r="5509">
      <c r="A5509" s="36" t="inlineStr">
        <is>
          <t>Turnustillegg vikarer</t>
        </is>
      </c>
      <c r="B5509" s="36" t="inlineStr">
        <is>
          <t>Region Øst</t>
        </is>
      </c>
      <c r="C5509" s="36" t="inlineStr">
        <is>
          <t>Hedmark ungdoms- og familiesenter - akutt, avd Vien 1</t>
        </is>
      </c>
      <c r="D5509" s="26" t="n"/>
      <c r="E5509" s="26" t="n"/>
      <c r="F5509" s="26" t="n"/>
      <c r="G5509" s="26" t="n"/>
      <c r="H5509" s="26" t="n"/>
      <c r="I5509" s="26" t="n">
        <v>335281</v>
      </c>
      <c r="J5509" s="19" t="n">
        <v>380284.0922249999</v>
      </c>
      <c r="K5509" s="37" t="n">
        <v>0.065</v>
      </c>
    </row>
    <row r="5510">
      <c r="A5510" s="34" t="inlineStr">
        <is>
          <t>Turnustillegg vikarer</t>
        </is>
      </c>
      <c r="B5510" s="34" t="inlineStr">
        <is>
          <t>Region Øst</t>
        </is>
      </c>
      <c r="C5510" s="34" t="inlineStr">
        <is>
          <t>Hedmark ungdoms- og familiesenter - akutt, avd Vien 2</t>
        </is>
      </c>
      <c r="D5510" s="18" t="n"/>
      <c r="E5510" s="18" t="n"/>
      <c r="F5510" s="18" t="n"/>
      <c r="G5510" s="18" t="n"/>
      <c r="H5510" s="18" t="n"/>
      <c r="I5510" s="18" t="n">
        <v>434214</v>
      </c>
      <c r="J5510" s="19" t="n">
        <v>492496.3741499999</v>
      </c>
      <c r="K5510" s="35" t="n">
        <v>0.065</v>
      </c>
    </row>
    <row r="5511">
      <c r="A5511" s="36" t="inlineStr">
        <is>
          <t>Turnustillegg vikarer</t>
        </is>
      </c>
      <c r="B5511" s="36" t="inlineStr">
        <is>
          <t>Region Øst</t>
        </is>
      </c>
      <c r="C5511" s="36" t="inlineStr">
        <is>
          <t>Innlandet Barnevernsenter avdeling Sandvig</t>
        </is>
      </c>
      <c r="D5511" s="26" t="n">
        <v>52544</v>
      </c>
      <c r="E5511" s="26" t="n">
        <v>215772</v>
      </c>
      <c r="F5511" s="26" t="n">
        <v>423310</v>
      </c>
      <c r="G5511" s="26" t="n">
        <v>493512</v>
      </c>
      <c r="H5511" s="26" t="n">
        <v>482480</v>
      </c>
      <c r="I5511" s="26" t="n">
        <v>582128</v>
      </c>
      <c r="J5511" s="19" t="n">
        <v>909575</v>
      </c>
      <c r="K5511" s="37" t="n">
        <v>0.25</v>
      </c>
    </row>
    <row r="5512">
      <c r="A5512" s="34" t="inlineStr">
        <is>
          <t>Turnustillegg vikarer</t>
        </is>
      </c>
      <c r="B5512" s="34" t="inlineStr">
        <is>
          <t>Region Øst</t>
        </is>
      </c>
      <c r="C5512" s="34" t="inlineStr">
        <is>
          <t>Innlandet barnevernsenter avdeling Aukrust</t>
        </is>
      </c>
      <c r="D5512" s="18" t="n">
        <v>412365</v>
      </c>
      <c r="E5512" s="18" t="n">
        <v>394801</v>
      </c>
      <c r="F5512" s="18" t="n">
        <v>279498</v>
      </c>
      <c r="G5512" s="18" t="n">
        <v>164987</v>
      </c>
      <c r="H5512" s="18" t="n">
        <v>146479</v>
      </c>
      <c r="I5512" s="18" t="n">
        <v>270459</v>
      </c>
      <c r="J5512" s="19" t="n">
        <v>228470.0592670276</v>
      </c>
      <c r="K5512" s="35" t="n">
        <v>-0.08089754062439625</v>
      </c>
    </row>
    <row r="5513">
      <c r="A5513" s="36" t="inlineStr">
        <is>
          <t>Turnustillegg vikarer</t>
        </is>
      </c>
      <c r="B5513" s="36" t="inlineStr">
        <is>
          <t>Region Øst</t>
        </is>
      </c>
      <c r="C5513" s="36" t="inlineStr">
        <is>
          <t>Innlandet barnevernsenter avdeling Kauffeldt</t>
        </is>
      </c>
      <c r="D5513" s="26" t="n"/>
      <c r="E5513" s="26" t="n"/>
      <c r="F5513" s="26" t="n"/>
      <c r="G5513" s="26" t="n">
        <v>2623</v>
      </c>
      <c r="H5513" s="26" t="n">
        <v>154137</v>
      </c>
      <c r="I5513" s="26" t="n">
        <v>82870</v>
      </c>
      <c r="J5513" s="19" t="n">
        <v>93993.22574999998</v>
      </c>
      <c r="K5513" s="37" t="n">
        <v>0.065</v>
      </c>
    </row>
    <row r="5514">
      <c r="A5514" s="34" t="inlineStr">
        <is>
          <t>Turnustillegg vikarer</t>
        </is>
      </c>
      <c r="B5514" s="34" t="inlineStr">
        <is>
          <t>Region Øst</t>
        </is>
      </c>
      <c r="C5514" s="34" t="inlineStr">
        <is>
          <t>Innlandet barnevernsenter avdeling Prøysen</t>
        </is>
      </c>
      <c r="D5514" s="18" t="n">
        <v>281811</v>
      </c>
      <c r="E5514" s="18" t="n">
        <v>463072</v>
      </c>
      <c r="F5514" s="18" t="n">
        <v>673386</v>
      </c>
      <c r="G5514" s="18" t="n">
        <v>610302</v>
      </c>
      <c r="H5514" s="18" t="n">
        <v>512046</v>
      </c>
      <c r="I5514" s="18" t="n">
        <v>311453</v>
      </c>
      <c r="J5514" s="19" t="n">
        <v>324165.1694771178</v>
      </c>
      <c r="K5514" s="35" t="n">
        <v>0.02020374985521189</v>
      </c>
    </row>
    <row r="5515">
      <c r="A5515" s="36" t="inlineStr">
        <is>
          <t>Turnustillegg vikarer</t>
        </is>
      </c>
      <c r="B5515" s="36" t="inlineStr">
        <is>
          <t>Region Øst</t>
        </is>
      </c>
      <c r="C5515" s="36" t="inlineStr">
        <is>
          <t>Innlandet barnevernsenter avdeling Vestly</t>
        </is>
      </c>
      <c r="D5515" s="26" t="n">
        <v>361935</v>
      </c>
      <c r="E5515" s="26" t="n">
        <v>276045</v>
      </c>
      <c r="F5515" s="26" t="n">
        <v>412717</v>
      </c>
      <c r="G5515" s="26" t="n">
        <v>643561</v>
      </c>
      <c r="H5515" s="26" t="n">
        <v>313775</v>
      </c>
      <c r="I5515" s="26" t="n">
        <v>329128</v>
      </c>
      <c r="J5515" s="19" t="n">
        <v>316853.5155169811</v>
      </c>
      <c r="K5515" s="37" t="n">
        <v>-0.01882415132269599</v>
      </c>
    </row>
    <row r="5516">
      <c r="A5516" s="34" t="inlineStr">
        <is>
          <t>Turnustillegg vikarer</t>
        </is>
      </c>
      <c r="B5516" s="34" t="inlineStr">
        <is>
          <t>Region Øst</t>
        </is>
      </c>
      <c r="C5516" s="34" t="inlineStr">
        <is>
          <t>Jong ungdoms- og familiesenter, avd Åsen</t>
        </is>
      </c>
      <c r="D5516" s="18" t="n"/>
      <c r="E5516" s="18" t="n"/>
      <c r="F5516" s="18" t="n"/>
      <c r="G5516" s="18" t="n"/>
      <c r="H5516" s="18" t="n"/>
      <c r="I5516" s="18" t="n">
        <v>320964</v>
      </c>
      <c r="J5516" s="19" t="n">
        <v>364045.3928999999</v>
      </c>
      <c r="K5516" s="35" t="n">
        <v>0.065</v>
      </c>
    </row>
    <row r="5517">
      <c r="A5517" s="36" t="inlineStr">
        <is>
          <t>Turnustillegg vikarer</t>
        </is>
      </c>
      <c r="B5517" s="36" t="inlineStr">
        <is>
          <t>Region Øst</t>
        </is>
      </c>
      <c r="C5517" s="36" t="inlineStr">
        <is>
          <t>Jong ungdoms- og familiesenter, avd. Kollen</t>
        </is>
      </c>
      <c r="D5517" s="26" t="n"/>
      <c r="E5517" s="26" t="n"/>
      <c r="F5517" s="26" t="n"/>
      <c r="G5517" s="26" t="n"/>
      <c r="H5517" s="26" t="n"/>
      <c r="I5517" s="26" t="n">
        <v>319797</v>
      </c>
      <c r="J5517" s="19" t="n">
        <v>362721.752325</v>
      </c>
      <c r="K5517" s="37" t="n">
        <v>0.065</v>
      </c>
    </row>
    <row r="5518">
      <c r="A5518" s="34" t="inlineStr">
        <is>
          <t>Turnustillegg vikarer</t>
        </is>
      </c>
      <c r="B5518" s="34" t="inlineStr">
        <is>
          <t>Region Øst</t>
        </is>
      </c>
      <c r="C5518" s="34" t="inlineStr">
        <is>
          <t>Jong ungdoms- og familiesenter, avdeling Kollen</t>
        </is>
      </c>
      <c r="D5518" s="18" t="n"/>
      <c r="E5518" s="18" t="n"/>
      <c r="F5518" s="18" t="n"/>
      <c r="G5518" s="18" t="n"/>
      <c r="H5518" s="18" t="n">
        <v>64672</v>
      </c>
      <c r="I5518" s="18" t="n"/>
      <c r="J5518" s="19" t="n">
        <v>0</v>
      </c>
      <c r="K5518" s="35" t="n">
        <v>0.065</v>
      </c>
    </row>
    <row r="5519">
      <c r="A5519" s="36" t="inlineStr">
        <is>
          <t>Turnustillegg vikarer</t>
        </is>
      </c>
      <c r="B5519" s="36" t="inlineStr">
        <is>
          <t>Region Øst</t>
        </is>
      </c>
      <c r="C5519" s="36" t="inlineStr">
        <is>
          <t>Jong ungdoms- og familiesenter, avdeling Åsen</t>
        </is>
      </c>
      <c r="D5519" s="26" t="n">
        <v>201408</v>
      </c>
      <c r="E5519" s="26" t="n">
        <v>254450</v>
      </c>
      <c r="F5519" s="26" t="n">
        <v>352408</v>
      </c>
      <c r="G5519" s="26" t="n">
        <v>346395</v>
      </c>
      <c r="H5519" s="26" t="n">
        <v>377620</v>
      </c>
      <c r="I5519" s="26" t="n"/>
      <c r="J5519" s="19" t="n">
        <v>0</v>
      </c>
      <c r="K5519" s="37" t="n">
        <v>0.065</v>
      </c>
    </row>
    <row r="5520">
      <c r="A5520" s="34" t="inlineStr">
        <is>
          <t>Turnustillegg vikarer</t>
        </is>
      </c>
      <c r="B5520" s="34" t="inlineStr">
        <is>
          <t>Region Øst</t>
        </is>
      </c>
      <c r="C5520" s="34" t="inlineStr">
        <is>
          <t>Kirkenær barnever- og omsorgssenter Avdeling Frigg</t>
        </is>
      </c>
      <c r="D5520" s="18" t="n"/>
      <c r="E5520" s="18" t="n">
        <v>85123</v>
      </c>
      <c r="F5520" s="18" t="n">
        <v>363345</v>
      </c>
      <c r="G5520" s="18" t="n">
        <v>415600</v>
      </c>
      <c r="H5520" s="18" t="n">
        <v>408636</v>
      </c>
      <c r="I5520" s="18" t="n">
        <v>268864</v>
      </c>
      <c r="J5520" s="19" t="n">
        <v>420100</v>
      </c>
      <c r="K5520" s="35" t="n">
        <v>0.25</v>
      </c>
    </row>
    <row r="5521">
      <c r="A5521" s="36" t="inlineStr">
        <is>
          <t>Turnustillegg vikarer</t>
        </is>
      </c>
      <c r="B5521" s="36" t="inlineStr">
        <is>
          <t>Region Øst</t>
        </is>
      </c>
      <c r="C5521" s="36" t="inlineStr">
        <is>
          <t>Kirkenær barnevern- og omsorgssenter  Avdeling Frydenlund</t>
        </is>
      </c>
      <c r="D5521" s="26" t="n">
        <v>1471</v>
      </c>
      <c r="E5521" s="26" t="n">
        <v>68844</v>
      </c>
      <c r="F5521" s="26" t="n"/>
      <c r="G5521" s="26" t="n"/>
      <c r="H5521" s="26" t="n"/>
      <c r="I5521" s="26" t="n"/>
      <c r="J5521" s="19" t="n">
        <v>0</v>
      </c>
      <c r="K5521" s="37" t="n">
        <v>0.065</v>
      </c>
    </row>
    <row r="5522">
      <c r="A5522" s="34" t="inlineStr">
        <is>
          <t>Turnustillegg vikarer</t>
        </is>
      </c>
      <c r="B5522" s="34" t="inlineStr">
        <is>
          <t>Region Øst</t>
        </is>
      </c>
      <c r="C5522" s="34" t="inlineStr">
        <is>
          <t>Kirkenær barnevern- og omsorgssenter  Avdeling Furubo</t>
        </is>
      </c>
      <c r="D5522" s="18" t="n">
        <v>685</v>
      </c>
      <c r="E5522" s="18" t="n">
        <v>23741</v>
      </c>
      <c r="F5522" s="18" t="n"/>
      <c r="G5522" s="18" t="n"/>
      <c r="H5522" s="18" t="n"/>
      <c r="I5522" s="18" t="n"/>
      <c r="J5522" s="19" t="n">
        <v>0</v>
      </c>
      <c r="K5522" s="35" t="n">
        <v>0.065</v>
      </c>
    </row>
    <row r="5523">
      <c r="A5523" s="36" t="inlineStr">
        <is>
          <t>Turnustillegg vikarer</t>
        </is>
      </c>
      <c r="B5523" s="36" t="inlineStr">
        <is>
          <t>Region Øst</t>
        </is>
      </c>
      <c r="C5523" s="36" t="inlineStr">
        <is>
          <t>Kirkenær barnevern- og omsorgssenter  Avdeling Kirkenærtunet</t>
        </is>
      </c>
      <c r="D5523" s="26" t="n">
        <v>632</v>
      </c>
      <c r="E5523" s="26" t="n"/>
      <c r="F5523" s="26" t="n"/>
      <c r="G5523" s="26" t="n"/>
      <c r="H5523" s="26" t="n"/>
      <c r="I5523" s="26" t="n"/>
      <c r="J5523" s="19" t="n">
        <v>0</v>
      </c>
      <c r="K5523" s="37" t="n">
        <v>0.065</v>
      </c>
    </row>
    <row r="5524">
      <c r="A5524" s="34" t="inlineStr">
        <is>
          <t>Turnustillegg vikarer</t>
        </is>
      </c>
      <c r="B5524" s="34" t="inlineStr">
        <is>
          <t>Region Øst</t>
        </is>
      </c>
      <c r="C5524" s="34" t="inlineStr">
        <is>
          <t>Kirkenær barnevern- og omsorgssenter  Edda ungdomshjem</t>
        </is>
      </c>
      <c r="D5524" s="18" t="n">
        <v>211077</v>
      </c>
      <c r="E5524" s="18" t="n">
        <v>216215</v>
      </c>
      <c r="F5524" s="18" t="n">
        <v>204056</v>
      </c>
      <c r="G5524" s="18" t="n">
        <v>270560</v>
      </c>
      <c r="H5524" s="18" t="n">
        <v>370160</v>
      </c>
      <c r="I5524" s="18" t="n">
        <v>366136</v>
      </c>
      <c r="J5524" s="19" t="n">
        <v>456376.2552202667</v>
      </c>
      <c r="K5524" s="35" t="n">
        <v>0.1164526372378083</v>
      </c>
    </row>
    <row r="5525">
      <c r="A5525" s="36" t="inlineStr">
        <is>
          <t>Turnustillegg vikarer</t>
        </is>
      </c>
      <c r="B5525" s="36" t="inlineStr">
        <is>
          <t>Region Øst</t>
        </is>
      </c>
      <c r="C5525" s="36" t="inlineStr">
        <is>
          <t>Kirkenær barnevern- og omsorgssenter  Snorre ungdomshjem</t>
        </is>
      </c>
      <c r="D5525" s="26" t="n">
        <v>252611</v>
      </c>
      <c r="E5525" s="26" t="n">
        <v>139225</v>
      </c>
      <c r="F5525" s="26" t="n">
        <v>212225</v>
      </c>
      <c r="G5525" s="26" t="n">
        <v>254376</v>
      </c>
      <c r="H5525" s="26" t="n">
        <v>247887</v>
      </c>
      <c r="I5525" s="26" t="n">
        <v>632516</v>
      </c>
      <c r="J5525" s="19" t="n">
        <v>913101.8420537901</v>
      </c>
      <c r="K5525" s="37" t="n">
        <v>0.2015002113857247</v>
      </c>
    </row>
    <row r="5526">
      <c r="A5526" s="34" t="inlineStr">
        <is>
          <t>Turnustillegg vikarer</t>
        </is>
      </c>
      <c r="B5526" s="34" t="inlineStr">
        <is>
          <t>Region Øst</t>
        </is>
      </c>
      <c r="C5526" s="34" t="inlineStr">
        <is>
          <t>Kirkenær barnevern- og omsorgssenter Avdeling Balder</t>
        </is>
      </c>
      <c r="D5526" s="18" t="n">
        <v>277882</v>
      </c>
      <c r="E5526" s="18" t="n">
        <v>435804</v>
      </c>
      <c r="F5526" s="18" t="n">
        <v>380516</v>
      </c>
      <c r="G5526" s="18" t="n">
        <v>451677</v>
      </c>
      <c r="H5526" s="18" t="n">
        <v>811549</v>
      </c>
      <c r="I5526" s="18" t="n">
        <v>610365</v>
      </c>
      <c r="J5526" s="19" t="n">
        <v>836144.4365608988</v>
      </c>
      <c r="K5526" s="35" t="n">
        <v>0.1704310680033085</v>
      </c>
    </row>
    <row r="5527">
      <c r="A5527" s="36" t="inlineStr">
        <is>
          <t>Turnustillegg vikarer</t>
        </is>
      </c>
      <c r="B5527" s="36" t="inlineStr">
        <is>
          <t>Region Øst</t>
        </is>
      </c>
      <c r="C5527" s="36" t="inlineStr">
        <is>
          <t>Lierfoss ungdoms- og familiesenter - avdeling Skogtun</t>
        </is>
      </c>
      <c r="D5527" s="26" t="n"/>
      <c r="E5527" s="26" t="n"/>
      <c r="F5527" s="26" t="n"/>
      <c r="G5527" s="26" t="n"/>
      <c r="H5527" s="26" t="n">
        <v>281698</v>
      </c>
      <c r="I5527" s="26" t="n">
        <v>312730</v>
      </c>
      <c r="J5527" s="19" t="n">
        <v>354706.1842499999</v>
      </c>
      <c r="K5527" s="37" t="n">
        <v>0.065</v>
      </c>
    </row>
    <row r="5528">
      <c r="A5528" s="34" t="inlineStr">
        <is>
          <t>Turnustillegg vikarer</t>
        </is>
      </c>
      <c r="B5528" s="34" t="inlineStr">
        <is>
          <t>Region Øst</t>
        </is>
      </c>
      <c r="C5528" s="34" t="inlineStr">
        <is>
          <t>Lierfoss ungdoms- og familiesenter - omsorg  Autentoppen ungdomshjem</t>
        </is>
      </c>
      <c r="D5528" s="18" t="n">
        <v>161966</v>
      </c>
      <c r="E5528" s="18" t="n">
        <v>274923</v>
      </c>
      <c r="F5528" s="18" t="n">
        <v>156</v>
      </c>
      <c r="G5528" s="18" t="n"/>
      <c r="H5528" s="18" t="n"/>
      <c r="I5528" s="18" t="n"/>
      <c r="J5528" s="19" t="n">
        <v>0</v>
      </c>
      <c r="K5528" s="35" t="n">
        <v>0.065</v>
      </c>
    </row>
    <row r="5529">
      <c r="A5529" s="36" t="inlineStr">
        <is>
          <t>Turnustillegg vikarer</t>
        </is>
      </c>
      <c r="B5529" s="36" t="inlineStr">
        <is>
          <t>Region Øst</t>
        </is>
      </c>
      <c r="C5529" s="36" t="inlineStr">
        <is>
          <t>Lierfoss ungdoms- og familiesenter - omsorg  Berglia ungdomshjem</t>
        </is>
      </c>
      <c r="D5529" s="26" t="n">
        <v>90906</v>
      </c>
      <c r="E5529" s="26" t="n">
        <v>264527</v>
      </c>
      <c r="F5529" s="26" t="n">
        <v>136310</v>
      </c>
      <c r="G5529" s="26" t="n">
        <v>319723</v>
      </c>
      <c r="H5529" s="26" t="n">
        <v>283088</v>
      </c>
      <c r="I5529" s="26" t="n">
        <v>391537</v>
      </c>
      <c r="J5529" s="19" t="n">
        <v>611776.5625</v>
      </c>
      <c r="K5529" s="37" t="n">
        <v>0.25</v>
      </c>
    </row>
    <row r="5530">
      <c r="A5530" s="34" t="inlineStr">
        <is>
          <t>Turnustillegg vikarer</t>
        </is>
      </c>
      <c r="B5530" s="34" t="inlineStr">
        <is>
          <t>Region Øst</t>
        </is>
      </c>
      <c r="C5530" s="34" t="inlineStr">
        <is>
          <t>Lierfoss ungdoms- og familiesenter - omsorg  Furulia ungdomshjem</t>
        </is>
      </c>
      <c r="D5530" s="18" t="n">
        <v>81497</v>
      </c>
      <c r="E5530" s="18" t="n">
        <v>123427</v>
      </c>
      <c r="F5530" s="18" t="n">
        <v>188493</v>
      </c>
      <c r="G5530" s="18" t="n">
        <v>385704</v>
      </c>
      <c r="H5530" s="18" t="n">
        <v>253617</v>
      </c>
      <c r="I5530" s="18" t="n">
        <v>321783</v>
      </c>
      <c r="J5530" s="19" t="n">
        <v>502785.9375</v>
      </c>
      <c r="K5530" s="35" t="n">
        <v>0.25</v>
      </c>
    </row>
    <row r="5531">
      <c r="A5531" s="36" t="inlineStr">
        <is>
          <t>Turnustillegg vikarer</t>
        </is>
      </c>
      <c r="B5531" s="36" t="inlineStr">
        <is>
          <t>Region Øst</t>
        </is>
      </c>
      <c r="C5531" s="36" t="inlineStr">
        <is>
          <t>Lierfoss ungdoms- og familiesenter - omsorg Lillehagen</t>
        </is>
      </c>
      <c r="D5531" s="26" t="n">
        <v>128320</v>
      </c>
      <c r="E5531" s="26" t="n">
        <v>219938</v>
      </c>
      <c r="F5531" s="26" t="n"/>
      <c r="G5531" s="26" t="n"/>
      <c r="H5531" s="26" t="n"/>
      <c r="I5531" s="26" t="n"/>
      <c r="J5531" s="19" t="n">
        <v>0</v>
      </c>
      <c r="K5531" s="37" t="n">
        <v>0.065</v>
      </c>
    </row>
    <row r="5532">
      <c r="A5532" s="34" t="inlineStr">
        <is>
          <t>Turnustillegg vikarer</t>
        </is>
      </c>
      <c r="B5532" s="34" t="inlineStr">
        <is>
          <t>Region Øst</t>
        </is>
      </c>
      <c r="C5532" s="34" t="inlineStr">
        <is>
          <t>Lierfoss ungdoms- og familiesenter, avdeling Riserhagen</t>
        </is>
      </c>
      <c r="D5532" s="18" t="n"/>
      <c r="E5532" s="18" t="n">
        <v>19793</v>
      </c>
      <c r="F5532" s="18" t="n">
        <v>633589</v>
      </c>
      <c r="G5532" s="18" t="n">
        <v>579923</v>
      </c>
      <c r="H5532" s="18" t="n">
        <v>513948</v>
      </c>
      <c r="I5532" s="18" t="n">
        <v>537876</v>
      </c>
      <c r="J5532" s="19" t="n">
        <v>840431.25</v>
      </c>
      <c r="K5532" s="35" t="n">
        <v>0.25</v>
      </c>
    </row>
    <row r="5533">
      <c r="A5533" s="36" t="inlineStr">
        <is>
          <t>Turnustillegg vikarer</t>
        </is>
      </c>
      <c r="B5533" s="36" t="inlineStr">
        <is>
          <t>Region Øst</t>
        </is>
      </c>
      <c r="C5533" s="36" t="inlineStr">
        <is>
          <t>Sarpsborg ungdoms og familiesenter - behandling  Avdeling Østheim</t>
        </is>
      </c>
      <c r="D5533" s="26" t="n">
        <v>1013023</v>
      </c>
      <c r="E5533" s="26" t="n">
        <v>336333</v>
      </c>
      <c r="F5533" s="26" t="n">
        <v>393426</v>
      </c>
      <c r="G5533" s="26" t="n">
        <v>474456</v>
      </c>
      <c r="H5533" s="26" t="n"/>
      <c r="I5533" s="26" t="n"/>
      <c r="J5533" s="19" t="n">
        <v>0</v>
      </c>
      <c r="K5533" s="37" t="n">
        <v>0.065</v>
      </c>
    </row>
    <row r="5534">
      <c r="A5534" s="34" t="inlineStr">
        <is>
          <t>Turnustillegg vikarer</t>
        </is>
      </c>
      <c r="B5534" s="34" t="inlineStr">
        <is>
          <t>Region Øst</t>
        </is>
      </c>
      <c r="C5534" s="34" t="inlineStr">
        <is>
          <t>Sarpsborg ungdoms og familiesenter - behandling  Avdeling Østlund</t>
        </is>
      </c>
      <c r="D5534" s="18" t="n">
        <v>369919</v>
      </c>
      <c r="E5534" s="18" t="n">
        <v>356276</v>
      </c>
      <c r="F5534" s="18" t="n">
        <v>765915</v>
      </c>
      <c r="G5534" s="18" t="n">
        <v>503055</v>
      </c>
      <c r="H5534" s="18" t="n"/>
      <c r="I5534" s="18" t="n"/>
      <c r="J5534" s="19" t="n">
        <v>0</v>
      </c>
      <c r="K5534" s="35" t="n">
        <v>0.065</v>
      </c>
    </row>
    <row r="5535">
      <c r="A5535" s="36" t="inlineStr">
        <is>
          <t>Turnustillegg vikarer</t>
        </is>
      </c>
      <c r="B5535" s="36" t="inlineStr">
        <is>
          <t>Region Øst</t>
        </is>
      </c>
      <c r="C5535" s="36" t="inlineStr">
        <is>
          <t>Støttespillerne - Huset</t>
        </is>
      </c>
      <c r="D5535" s="26" t="n"/>
      <c r="E5535" s="26" t="n">
        <v>64009</v>
      </c>
      <c r="F5535" s="26" t="n">
        <v>357222</v>
      </c>
      <c r="G5535" s="26" t="n">
        <v>458637</v>
      </c>
      <c r="H5535" s="26" t="n"/>
      <c r="I5535" s="26" t="n"/>
      <c r="J5535" s="19" t="n">
        <v>0</v>
      </c>
      <c r="K5535" s="37" t="n">
        <v>0.065</v>
      </c>
    </row>
    <row r="5536">
      <c r="A5536" s="34" t="inlineStr">
        <is>
          <t>Turnustillegg vikarer</t>
        </is>
      </c>
      <c r="B5536" s="34" t="inlineStr">
        <is>
          <t>Region Øst</t>
        </is>
      </c>
      <c r="C5536" s="34" t="inlineStr">
        <is>
          <t>Ås ungdomssenter  - MulitifunC-behandling  Avdeling Institusjon</t>
        </is>
      </c>
      <c r="D5536" s="18" t="n">
        <v>622126</v>
      </c>
      <c r="E5536" s="18" t="n">
        <v>772147</v>
      </c>
      <c r="F5536" s="18" t="n">
        <v>639914</v>
      </c>
      <c r="G5536" s="18" t="n">
        <v>480053</v>
      </c>
      <c r="H5536" s="18" t="n"/>
      <c r="I5536" s="18" t="n"/>
      <c r="J5536" s="19" t="n">
        <v>0</v>
      </c>
      <c r="K5536" s="35" t="n">
        <v>0.065</v>
      </c>
    </row>
    <row r="5537">
      <c r="A5537" s="36" t="inlineStr">
        <is>
          <t>Turnustillegg vikarer</t>
        </is>
      </c>
      <c r="B5537" s="36" t="inlineStr">
        <is>
          <t>Region Øst</t>
        </is>
      </c>
      <c r="C5537" s="36" t="inlineStr">
        <is>
          <t>Ås ungdomssenter - Administrasjon</t>
        </is>
      </c>
      <c r="D5537" s="26" t="n"/>
      <c r="E5537" s="26" t="n">
        <v>1791</v>
      </c>
      <c r="F5537" s="26" t="n"/>
      <c r="G5537" s="26" t="n"/>
      <c r="H5537" s="26" t="n"/>
      <c r="I5537" s="26" t="n"/>
      <c r="J5537" s="19" t="n">
        <v>0</v>
      </c>
      <c r="K5537" s="37" t="n">
        <v>0.065</v>
      </c>
    </row>
    <row r="5538">
      <c r="A5538" s="34" t="inlineStr">
        <is>
          <t>Turnustillegg vikarer</t>
        </is>
      </c>
      <c r="B5538" s="34" t="inlineStr">
        <is>
          <t>Region Øst</t>
        </is>
      </c>
      <c r="C5538" s="34" t="inlineStr">
        <is>
          <t>Østfold ungdoms - og familiesenter - omsorg  avdeling Eika</t>
        </is>
      </c>
      <c r="D5538" s="18" t="n">
        <v>16881</v>
      </c>
      <c r="E5538" s="18" t="n"/>
      <c r="F5538" s="18" t="n"/>
      <c r="G5538" s="18" t="n"/>
      <c r="H5538" s="18" t="n"/>
      <c r="I5538" s="18" t="n"/>
      <c r="J5538" s="19" t="n">
        <v>0</v>
      </c>
      <c r="K5538" s="35" t="n">
        <v>0.065</v>
      </c>
    </row>
    <row r="5539">
      <c r="A5539" s="36" t="inlineStr">
        <is>
          <t>Turnustillegg vikarer</t>
        </is>
      </c>
      <c r="B5539" s="36" t="inlineStr">
        <is>
          <t>Region Øst</t>
        </is>
      </c>
      <c r="C5539" s="36" t="inlineStr">
        <is>
          <t>Østfold ungdoms - og familiesenter - omsorg, avdeling Kurland ungdomshjem</t>
        </is>
      </c>
      <c r="D5539" s="26" t="n">
        <v>244100</v>
      </c>
      <c r="E5539" s="26" t="n">
        <v>1574</v>
      </c>
      <c r="F5539" s="26" t="n">
        <v>10376</v>
      </c>
      <c r="G5539" s="26" t="n">
        <v>455277</v>
      </c>
      <c r="H5539" s="26" t="n">
        <v>389126</v>
      </c>
      <c r="I5539" s="26" t="n">
        <v>495274</v>
      </c>
      <c r="J5539" s="19" t="n">
        <v>657289.402082704</v>
      </c>
      <c r="K5539" s="37" t="n">
        <v>0.1520081460536507</v>
      </c>
    </row>
    <row r="5540">
      <c r="A5540" s="34" t="inlineStr">
        <is>
          <t>Turnustillegg vikarer</t>
        </is>
      </c>
      <c r="B5540" s="34" t="inlineStr">
        <is>
          <t>Region Øst</t>
        </is>
      </c>
      <c r="C5540" s="34" t="inlineStr">
        <is>
          <t>Østfold ungdoms- og familiesenter - avdeling Fossen</t>
        </is>
      </c>
      <c r="D5540" s="18" t="n"/>
      <c r="E5540" s="18" t="n"/>
      <c r="F5540" s="18" t="n"/>
      <c r="G5540" s="18" t="n"/>
      <c r="H5540" s="18" t="n">
        <v>178837</v>
      </c>
      <c r="I5540" s="18" t="n">
        <v>565155</v>
      </c>
      <c r="J5540" s="19" t="n">
        <v>641012.9298749999</v>
      </c>
      <c r="K5540" s="35" t="n">
        <v>0.065</v>
      </c>
    </row>
    <row r="5541">
      <c r="A5541" s="36" t="inlineStr">
        <is>
          <t>Turnustillegg vikarer</t>
        </is>
      </c>
      <c r="B5541" s="36" t="inlineStr">
        <is>
          <t>Region Øst</t>
        </is>
      </c>
      <c r="C5541" s="36" t="inlineStr">
        <is>
          <t>Østfold ungdoms- og familiesenter - omsorg, avdeling Alfheim ungdomshjem</t>
        </is>
      </c>
      <c r="D5541" s="26" t="n">
        <v>358922</v>
      </c>
      <c r="E5541" s="26" t="n">
        <v>352863</v>
      </c>
      <c r="F5541" s="26" t="n">
        <v>469157</v>
      </c>
      <c r="G5541" s="26" t="n">
        <v>596087</v>
      </c>
      <c r="H5541" s="26" t="n">
        <v>473186</v>
      </c>
      <c r="I5541" s="26" t="n">
        <v>565321</v>
      </c>
      <c r="J5541" s="19" t="n">
        <v>677974.14845874</v>
      </c>
      <c r="K5541" s="37" t="n">
        <v>0.09511318513231304</v>
      </c>
    </row>
    <row r="5542">
      <c r="A5542" s="34" t="inlineStr">
        <is>
          <t>Turnustillegg vikarer</t>
        </is>
      </c>
      <c r="B5542" s="34" t="inlineStr">
        <is>
          <t>Region Øst</t>
        </is>
      </c>
      <c r="C5542" s="34" t="inlineStr">
        <is>
          <t>Østfold ungdoms- og familiesenter - omsorg, avdeling Dal</t>
        </is>
      </c>
      <c r="D5542" s="18" t="n"/>
      <c r="E5542" s="18" t="n">
        <v>187226</v>
      </c>
      <c r="F5542" s="18" t="n">
        <v>158705</v>
      </c>
      <c r="G5542" s="18" t="n">
        <v>400539</v>
      </c>
      <c r="H5542" s="18" t="n">
        <v>834077</v>
      </c>
      <c r="I5542" s="18" t="n">
        <v>348091</v>
      </c>
      <c r="J5542" s="19" t="n">
        <v>474631.0133324956</v>
      </c>
      <c r="K5542" s="35" t="n">
        <v>0.1677010182807768</v>
      </c>
    </row>
    <row r="5543">
      <c r="A5543" s="36" t="inlineStr">
        <is>
          <t>Turnustillegg vikarer</t>
        </is>
      </c>
      <c r="B5543" s="36" t="inlineStr">
        <is>
          <t>Region Øst</t>
        </is>
      </c>
      <c r="C5543" s="36" t="inlineStr">
        <is>
          <t>Østfold ungdoms- og familiesenter - omsorg, avdeling Rokkeveien ungdomshjem</t>
        </is>
      </c>
      <c r="D5543" s="26" t="n">
        <v>248947</v>
      </c>
      <c r="E5543" s="26" t="n">
        <v>234185</v>
      </c>
      <c r="F5543" s="26" t="n">
        <v>414592</v>
      </c>
      <c r="G5543" s="26" t="n">
        <v>438917</v>
      </c>
      <c r="H5543" s="26" t="n">
        <v>600425</v>
      </c>
      <c r="I5543" s="26" t="n">
        <v>378904</v>
      </c>
      <c r="J5543" s="19" t="n">
        <v>448227.0965051316</v>
      </c>
      <c r="K5543" s="37" t="n">
        <v>0.08763821535936867</v>
      </c>
    </row>
    <row r="5544">
      <c r="A5544" s="34" t="inlineStr">
        <is>
          <t>Turnustillegg vikarer</t>
        </is>
      </c>
      <c r="B5544" s="34" t="inlineStr">
        <is>
          <t>Region Øst</t>
        </is>
      </c>
      <c r="C5544" s="34" t="inlineStr">
        <is>
          <t>Østfold ungdoms- og familiesenter - omsorg, avdeling Tune ungdomshjem</t>
        </is>
      </c>
      <c r="D5544" s="18" t="n">
        <v>314421</v>
      </c>
      <c r="E5544" s="18" t="n">
        <v>387237</v>
      </c>
      <c r="F5544" s="18" t="n">
        <v>419544</v>
      </c>
      <c r="G5544" s="18" t="n">
        <v>480230</v>
      </c>
      <c r="H5544" s="18" t="n">
        <v>582125</v>
      </c>
      <c r="I5544" s="18" t="n">
        <v>751377</v>
      </c>
      <c r="J5544" s="19" t="n">
        <v>1064624.45496669</v>
      </c>
      <c r="K5544" s="35" t="n">
        <v>0.1903351833993869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65" customWidth="1" min="3" max="3"/>
  </cols>
  <sheetData>
    <row r="2">
      <c r="B2" s="38" t="inlineStr">
        <is>
          <t>Slik beregnet vi prediksjon 2027 — Lønnsutgifter</t>
        </is>
      </c>
    </row>
    <row r="4">
      <c r="B4" s="39" t="inlineStr">
        <is>
          <t>Steg 1: Velg enhet</t>
        </is>
      </c>
    </row>
    <row r="5" ht="16" customHeight="1">
      <c r="B5" t="inlineStr"/>
      <c r="C5" s="40" t="inlineStr">
        <is>
          <t>Eksempel: «Totalsum» (Region Øst)</t>
        </is>
      </c>
    </row>
    <row r="6" ht="16" customHeight="1">
      <c r="B6" t="inlineStr"/>
      <c r="C6" s="40" t="inlineStr">
        <is>
          <t>Kategori: AGA SPK-tilskudd</t>
        </is>
      </c>
    </row>
    <row r="8">
      <c r="B8" s="39" t="inlineStr">
        <is>
          <t>Steg 2: Hent historiske lønnskostnader</t>
        </is>
      </c>
    </row>
    <row r="9" ht="16" customHeight="1">
      <c r="B9" t="inlineStr"/>
      <c r="C9" s="41" t="inlineStr">
        <is>
          <t>2020:    1,505,303,670 kr</t>
        </is>
      </c>
    </row>
    <row r="10" ht="16" customHeight="1">
      <c r="B10" t="inlineStr"/>
      <c r="C10" s="41" t="inlineStr">
        <is>
          <t>2021:    1,566,790,215 kr</t>
        </is>
      </c>
    </row>
    <row r="11" ht="16" customHeight="1">
      <c r="B11" t="inlineStr"/>
      <c r="C11" s="41" t="inlineStr">
        <is>
          <t>2022:    1,619,503,517 kr</t>
        </is>
      </c>
    </row>
    <row r="12" ht="16" customHeight="1">
      <c r="B12" t="inlineStr"/>
      <c r="C12" s="41" t="inlineStr">
        <is>
          <t>2023:    1,829,507,616 kr</t>
        </is>
      </c>
    </row>
    <row r="13" ht="16" customHeight="1">
      <c r="B13" t="inlineStr"/>
      <c r="C13" s="41" t="inlineStr">
        <is>
          <t>2024:    1,999,937,228 kr</t>
        </is>
      </c>
    </row>
    <row r="14" ht="16" customHeight="1">
      <c r="B14" t="inlineStr"/>
      <c r="C14" s="41" t="inlineStr">
        <is>
          <t>2025:    2,221,428,721 kr</t>
        </is>
      </c>
    </row>
    <row r="16">
      <c r="B16" s="39" t="inlineStr">
        <is>
          <t>Steg 3: Beregn CAGR (5-årig vekstrate)</t>
        </is>
      </c>
    </row>
    <row r="17" ht="16" customHeight="1">
      <c r="B17" t="inlineStr"/>
      <c r="C17" s="41" t="inlineStr">
        <is>
          <t>CAGR = (2025-verdi / 2020-verdi)^(1/5) - 1</t>
        </is>
      </c>
    </row>
    <row r="18" ht="16" customHeight="1">
      <c r="B18" t="inlineStr"/>
      <c r="C18" s="41" t="inlineStr">
        <is>
          <t>CAGR = (2,221,428,721 / 1,505,303,670)^(1/5) - 1</t>
        </is>
      </c>
    </row>
    <row r="19" ht="16" customHeight="1">
      <c r="B19" t="inlineStr"/>
      <c r="C19" s="41" t="inlineStr">
        <is>
          <t>CAGR = 8.09% per år</t>
        </is>
      </c>
    </row>
    <row r="20" ht="16" customHeight="1">
      <c r="B20" t="inlineStr"/>
      <c r="C20" s="41" t="inlineStr">
        <is>
          <t>(Kappet til maks ±25% for å unngå ekstremverdier)</t>
        </is>
      </c>
    </row>
    <row r="22">
      <c r="B22" s="39" t="inlineStr">
        <is>
          <t>Steg 4: Prediker 2027</t>
        </is>
      </c>
    </row>
    <row r="23" ht="16" customHeight="1">
      <c r="B23" t="inlineStr"/>
      <c r="C23" s="41" t="inlineStr">
        <is>
          <t>Prediksjon 2027 = 2025-verdi × (1 + CAGR)²</t>
        </is>
      </c>
    </row>
    <row r="24" ht="16" customHeight="1">
      <c r="B24" t="inlineStr"/>
      <c r="C24" s="41">
        <f> 2,221,428,721 × (1 + 0.0809)²</f>
        <v/>
      </c>
    </row>
    <row r="25" ht="16" customHeight="1">
      <c r="B25" t="inlineStr"/>
      <c r="C25" s="41">
        <f> 2,595,587,580 kr</f>
        <v/>
      </c>
    </row>
    <row r="27">
      <c r="B27" s="39" t="inlineStr">
        <is>
          <t>Steg 5: Sum alle enheter</t>
        </is>
      </c>
    </row>
    <row r="28" ht="16" customHeight="1">
      <c r="B28" t="inlineStr"/>
      <c r="C28" s="41" t="inlineStr">
        <is>
          <t>Totalprediksjon 2027 = sum av alle enheters prediksjon</t>
        </is>
      </c>
    </row>
    <row r="29" ht="16" customHeight="1">
      <c r="B29" t="inlineStr"/>
      <c r="C29" s="41">
        <f> 5,258,458,641 kr</f>
        <v/>
      </c>
    </row>
    <row r="30" ht="16" customHeight="1">
      <c r="B30" t="inlineStr"/>
      <c r="C30" s="41" t="inlineStr">
        <is>
          <t xml:space="preserve">  (5258M kr)</t>
        </is>
      </c>
    </row>
    <row r="32">
      <c r="B32" s="39" t="inlineStr">
        <is>
          <t>Validering</t>
        </is>
      </c>
    </row>
    <row r="33" ht="16" customHeight="1">
      <c r="B33" t="inlineStr"/>
      <c r="C33" s="41" t="inlineStr">
        <is>
          <t>Total 2025 (faktisk):        4,442,857,501 kr</t>
        </is>
      </c>
    </row>
    <row r="34" ht="16" customHeight="1">
      <c r="B34" t="inlineStr"/>
      <c r="C34" s="41" t="inlineStr">
        <is>
          <t>Prediksjon 2027:             5,258,458,641 kr</t>
        </is>
      </c>
    </row>
    <row r="35" ht="16" customHeight="1">
      <c r="B35" t="inlineStr"/>
      <c r="C35" s="41" t="inlineStr">
        <is>
          <t>Implisert 2-årig vekst:   18.4%</t>
        </is>
      </c>
    </row>
    <row r="36" ht="16" customHeight="1">
      <c r="B36" t="inlineStr"/>
      <c r="C36" s="41" t="inlineStr">
        <is>
          <t>Norsk lønnsoppgjør 2025:  ~5% (NHO/LO) — veksten er i tråd med observert trend</t>
        </is>
      </c>
    </row>
  </sheetData>
  <mergeCells count="7">
    <mergeCell ref="B16:C16"/>
    <mergeCell ref="B2:C2"/>
    <mergeCell ref="B22:C22"/>
    <mergeCell ref="B32:C32"/>
    <mergeCell ref="B27:C27"/>
    <mergeCell ref="B8:C8"/>
    <mergeCell ref="B4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55" customWidth="1" min="3" max="3"/>
    <col width="20" customWidth="1" min="4" max="4"/>
  </cols>
  <sheetData>
    <row r="2">
      <c r="B2" s="38" t="inlineStr">
        <is>
          <t>Tilbakemelding fra økonomiavdelingen</t>
        </is>
      </c>
    </row>
    <row r="4">
      <c r="B4" s="42" t="inlineStr">
        <is>
          <t>Vennligst fyll inn tilbakemelding på prediksjonsmodellen:</t>
        </is>
      </c>
    </row>
    <row r="6">
      <c r="B6" s="43" t="inlineStr">
        <is>
          <t>Nr.</t>
        </is>
      </c>
      <c r="C6" s="43" t="inlineStr">
        <is>
          <t>Spørsmål</t>
        </is>
      </c>
      <c r="D6" s="43" t="inlineStr">
        <is>
          <t>Svar / Kommentar</t>
        </is>
      </c>
    </row>
    <row r="7" ht="30" customHeight="1">
      <c r="B7" s="44" t="inlineStr">
        <is>
          <t>1</t>
        </is>
      </c>
      <c r="C7" s="45" t="inlineStr">
        <is>
          <t>Er totalprediksjon 2027 på linje med budsjett?</t>
        </is>
      </c>
      <c r="D7" s="46" t="inlineStr">
        <is>
          <t>Vår prediksjon: 5258M kr</t>
        </is>
      </c>
    </row>
    <row r="8" ht="30" customHeight="1">
      <c r="B8" s="47" t="inlineStr">
        <is>
          <t>2</t>
        </is>
      </c>
      <c r="C8" s="48" t="inlineStr">
        <is>
          <t>Hvilke enheter forventes åpnet/nedlagt 2026-2027?</t>
        </is>
      </c>
      <c r="D8" s="46" t="inlineStr">
        <is>
          <t>Angi enhetsnavn og estimert lønnskostnad</t>
        </is>
      </c>
    </row>
    <row r="9" ht="30" customHeight="1">
      <c r="B9" s="44" t="inlineStr">
        <is>
          <t>3</t>
        </is>
      </c>
      <c r="C9" s="45" t="inlineStr">
        <is>
          <t>Planlegges lønnsoppgjør utover historisk trend?</t>
        </is>
      </c>
      <c r="D9" s="46" t="inlineStr">
        <is>
          <t>F.eks. særskilte tillegg, stillingsøkninger</t>
        </is>
      </c>
    </row>
    <row r="10" ht="30" customHeight="1">
      <c r="B10" s="47" t="inlineStr">
        <is>
          <t>4</t>
        </is>
      </c>
      <c r="C10" s="48" t="inlineStr">
        <is>
          <t>Er AGA/pensjonssatser forventet å endres?</t>
        </is>
      </c>
      <c r="D10" s="46" t="inlineStr">
        <is>
          <t>Noter eventuelle regelendringer</t>
        </is>
      </c>
    </row>
    <row r="11" ht="30" customHeight="1">
      <c r="B11" s="44" t="inlineStr">
        <is>
          <t>5</t>
        </is>
      </c>
      <c r="C11" s="45" t="inlineStr">
        <is>
          <t>Spesielle kommentarer per region?</t>
        </is>
      </c>
      <c r="D11" s="46" t="inlineStr">
        <is>
          <t>F.eks. Region Nord har økt kapasitet</t>
        </is>
      </c>
    </row>
    <row r="12" ht="30" customHeight="1">
      <c r="B12" s="47" t="inlineStr">
        <is>
          <t>6</t>
        </is>
      </c>
      <c r="C12" s="48" t="inlineStr">
        <is>
          <t>Godkjenner dere metoden (per-enhet CAGR)?</t>
        </is>
      </c>
      <c r="D12" s="46" t="inlineStr">
        <is>
          <t>Alternativ: Flat % per lønnsoppgjør</t>
        </is>
      </c>
    </row>
    <row r="13" ht="30" customHeight="1">
      <c r="B13" s="44" t="inlineStr">
        <is>
          <t>7</t>
        </is>
      </c>
      <c r="C13" s="45" t="inlineStr">
        <is>
          <t>Ønskes separat prediksjon per stillingskategori?</t>
        </is>
      </c>
      <c r="D13" s="46" t="inlineStr">
        <is>
          <t>Faste, vikarer, overtid, mv.</t>
        </is>
      </c>
    </row>
  </sheetData>
  <mergeCells count="2">
    <mergeCell ref="B2:D2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2026-03-28T00:31:59Z</dcterms:created>
  <dcterms:modified xmlns:dcterms="http://purl.org/dc/terms/" xmlns:xsi="http://www.w3.org/2001/XMLSchema-instance" xsi:type="dcterms:W3CDTF">2026-03-28T00:32:03Z</dcterms:modified>
</cp:coreProperties>
</file>